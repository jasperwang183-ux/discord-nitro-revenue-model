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Params" sheetId="3" state="visible" r:id="rId3"/>
    <sheet name="Curves" sheetId="4" state="visible" r:id="rId4"/>
    <sheet name="MAU" sheetId="5" state="visible" r:id="rId5"/>
    <sheet name="Prices" sheetId="6" state="visible" r:id="rId6"/>
    <sheet name="Adds" sheetId="7" state="visible" r:id="rId7"/>
    <sheet name="Paid" sheetId="8" state="visible" r:id="rId8"/>
    <sheet name="Legacy" sheetId="9" state="visible" r:id="rId9"/>
    <sheet name="React" sheetId="10" state="visible" r:id="rId10"/>
    <sheet name="Subs" sheetId="11" state="visible" r:id="rId11"/>
    <sheet name="Revenue" sheetId="12" state="visible" r:id="rId12"/>
    <sheet name="Cohort_US_NitroM" sheetId="13" state="visible" r:id="rId13"/>
    <sheet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0.000"/>
    <numFmt numFmtId="165" formatCode="0.000"/>
    <numFmt numFmtId="166" formatCode="0.0%"/>
    <numFmt numFmtId="167" formatCode="$#,##0"/>
    <numFmt numFmtId="168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Discord Nitro subscription revenue model (portfolio project). All Discord figures are third-party estimates.</t>
        </is>
      </c>
    </row>
    <row r="2">
      <c r="A2" t="inlineStr">
        <is>
          <t>Scenario: base. Generated by nitro_model.excel_export from data/assumptions.csv; mirrors src/nitro_model/cohorts.py.</t>
        </is>
      </c>
    </row>
    <row r="3">
      <c r="A3" t="inlineStr">
        <is>
          <t>Flow: Assumptions -&gt; Params -&gt; Curves / MAU / Prices -&gt; Adds -&gt; Paid, Legacy, React -&gt; Subs -&gt; Revenue -&gt; Checks.</t>
        </is>
      </c>
    </row>
    <row r="4">
      <c r="A4" t="inlineStr">
        <is>
          <t>Change inputs only on the Assumptions sheet (yellow cells on Params link there). Params!k_cal is solved in Python.</t>
        </is>
      </c>
    </row>
    <row r="5">
      <c r="A5" t="inlineStr">
        <is>
          <t>Active subscribers = SUMPRODUCT(sign-ups to date, reversed survival curve). Cohort_US_NitroM shows one segment as a full triangle.</t>
        </is>
      </c>
    </row>
    <row r="6">
      <c r="A6" t="inlineStr">
        <is>
          <t>Revenue is at reference (FY2025 average) FX; the FX path arrives in Milestone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segment</t>
        </is>
      </c>
      <c r="D1" s="1" t="inlineStr">
        <is>
          <t>scenario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status</t>
        </is>
      </c>
      <c r="J1" s="1" t="inlineStr">
        <is>
          <t>source_ids</t>
        </is>
      </c>
      <c r="K1" s="1" t="inlineStr">
        <is>
          <t>as_of</t>
        </is>
      </c>
      <c r="L1" s="1" t="inlineStr">
        <is>
          <t>notes</t>
        </is>
      </c>
    </row>
    <row r="2">
      <c r="A2" t="inlineStr">
        <is>
          <t>model_start_year</t>
        </is>
      </c>
      <c r="B2" t="inlineStr">
        <is>
          <t>timeline</t>
        </is>
      </c>
      <c r="C2" t="inlineStr">
        <is>
          <t>all</t>
        </is>
      </c>
      <c r="D2" t="inlineStr">
        <is>
          <t>all</t>
        </is>
      </c>
      <c r="E2" t="n">
        <v>2025</v>
      </c>
      <c r="F2" t="inlineStr">
        <is>
          <t>year</t>
        </is>
      </c>
      <c r="I2" t="inlineStr">
        <is>
          <t>design</t>
        </is>
      </c>
      <c r="J2" t="inlineStr">
        <is>
          <t>P01</t>
        </is>
      </c>
      <c r="K2" t="inlineStr">
        <is>
          <t>2026-10-27</t>
        </is>
      </c>
      <c r="L2" t="inlineStr">
        <is>
          <t>FY2025 is the calibration year against public estimates</t>
        </is>
      </c>
    </row>
    <row r="3">
      <c r="A3" t="inlineStr">
        <is>
          <t>model_start_month</t>
        </is>
      </c>
      <c r="B3" t="inlineStr">
        <is>
          <t>timeline</t>
        </is>
      </c>
      <c r="C3" t="inlineStr">
        <is>
          <t>all</t>
        </is>
      </c>
      <c r="D3" t="inlineStr">
        <is>
          <t>all</t>
        </is>
      </c>
      <c r="E3" t="n">
        <v>1</v>
      </c>
      <c r="F3" t="inlineStr">
        <is>
          <t>month</t>
        </is>
      </c>
      <c r="I3" t="inlineStr">
        <is>
          <t>design</t>
        </is>
      </c>
      <c r="J3" t="inlineStr">
        <is>
          <t>P01</t>
        </is>
      </c>
      <c r="K3" t="inlineStr">
        <is>
          <t>2026-10-27</t>
        </is>
      </c>
    </row>
    <row r="4">
      <c r="A4" t="inlineStr">
        <is>
          <t>horizon_months</t>
        </is>
      </c>
      <c r="B4" t="inlineStr">
        <is>
          <t>timeline</t>
        </is>
      </c>
      <c r="C4" t="inlineStr">
        <is>
          <t>all</t>
        </is>
      </c>
      <c r="D4" t="inlineStr">
        <is>
          <t>all</t>
        </is>
      </c>
      <c r="E4" t="n">
        <v>72</v>
      </c>
      <c r="F4" t="inlineStr">
        <is>
          <t>months</t>
        </is>
      </c>
      <c r="I4" t="inlineStr">
        <is>
          <t>design</t>
        </is>
      </c>
      <c r="J4" t="inlineStr">
        <is>
          <t>P01</t>
        </is>
      </c>
      <c r="K4" t="inlineStr">
        <is>
          <t>2026-10-27</t>
        </is>
      </c>
      <c r="L4" t="inlineStr">
        <is>
          <t>Jan 2025 to Dec 2030: 12 calibration months + 60 forecast months</t>
        </is>
      </c>
    </row>
    <row r="5">
      <c r="A5" t="inlineStr">
        <is>
          <t>mau_jan2025</t>
        </is>
      </c>
      <c r="B5" t="inlineStr">
        <is>
          <t>mau</t>
        </is>
      </c>
      <c r="C5" t="inlineStr">
        <is>
          <t>all</t>
        </is>
      </c>
      <c r="D5" t="inlineStr">
        <is>
          <t>all</t>
        </is>
      </c>
      <c r="E5" t="n">
        <v>225</v>
      </c>
      <c r="F5" t="inlineStr">
        <is>
          <t>M users</t>
        </is>
      </c>
      <c r="G5" t="n">
        <v>200</v>
      </c>
      <c r="H5" t="n">
        <v>260</v>
      </c>
      <c r="I5" t="inlineStr">
        <is>
          <t>proposed</t>
        </is>
      </c>
      <c r="J5" t="inlineStr">
        <is>
          <t>S06;S02;S03;A01</t>
        </is>
      </c>
      <c r="K5" t="inlineStr">
        <is>
          <t>2026-10-27</t>
        </is>
      </c>
      <c r="L5" t="inlineStr">
        <is>
          <t>Discord says 200M+ (May 2025); trackers say 227.7M (2024) to 250-259M (2025). Start below tracker midpoint: trackers likely mix visits and registered users</t>
        </is>
      </c>
    </row>
    <row r="6">
      <c r="A6" t="inlineStr">
        <is>
          <t>mau_share</t>
        </is>
      </c>
      <c r="B6" t="inlineStr">
        <is>
          <t>mau</t>
        </is>
      </c>
      <c r="C6" t="inlineStr">
        <is>
          <t>US_CA</t>
        </is>
      </c>
      <c r="D6" t="inlineStr">
        <is>
          <t>all</t>
        </is>
      </c>
      <c r="E6" t="n">
        <v>0.31</v>
      </c>
      <c r="F6" t="inlineStr">
        <is>
          <t>share</t>
        </is>
      </c>
      <c r="G6" t="n">
        <v>0.27</v>
      </c>
      <c r="H6" t="n">
        <v>0.35</v>
      </c>
      <c r="I6" t="inlineStr">
        <is>
          <t>proposed</t>
        </is>
      </c>
      <c r="J6" t="inlineStr">
        <is>
          <t>S07;A01</t>
        </is>
      </c>
      <c r="K6" t="inlineStr">
        <is>
          <t>2026-10-27</t>
        </is>
      </c>
      <c r="L6" t="inlineStr">
        <is>
          <t>Semrush web traffic US 29.1% plus Canada. Caveat: web traffic misses desktop-app and mobile-app use so regional mix may skew; conv_rate by region absorbs part of the error</t>
        </is>
      </c>
    </row>
    <row r="7">
      <c r="A7" t="inlineStr">
        <is>
          <t>mau_share</t>
        </is>
      </c>
      <c r="B7" t="inlineStr">
        <is>
          <t>mau</t>
        </is>
      </c>
      <c r="C7" t="inlineStr">
        <is>
          <t>EUROPE</t>
        </is>
      </c>
      <c r="D7" t="inlineStr">
        <is>
          <t>all</t>
        </is>
      </c>
      <c r="E7" t="n">
        <v>0.28</v>
      </c>
      <c r="F7" t="inlineStr">
        <is>
          <t>share</t>
        </is>
      </c>
      <c r="G7" t="n">
        <v>0.22</v>
      </c>
      <c r="H7" t="n">
        <v>0.32</v>
      </c>
      <c r="I7" t="inlineStr">
        <is>
          <t>proposed</t>
        </is>
      </c>
      <c r="J7" t="inlineStr">
        <is>
          <t>S07;A01</t>
        </is>
      </c>
      <c r="K7" t="inlineStr">
        <is>
          <t>2026-10-27</t>
        </is>
      </c>
      <c r="L7" t="inlineStr">
        <is>
          <t>No direct Europe figure found; judgment from country traffic tail (DE/FR/UK/PL)</t>
        </is>
      </c>
    </row>
    <row r="8">
      <c r="A8" t="inlineStr">
        <is>
          <t>mau_share</t>
        </is>
      </c>
      <c r="B8" t="inlineStr">
        <is>
          <t>mau</t>
        </is>
      </c>
      <c r="C8" t="inlineStr">
        <is>
          <t>LATAM</t>
        </is>
      </c>
      <c r="D8" t="inlineStr">
        <is>
          <t>all</t>
        </is>
      </c>
      <c r="E8" t="n">
        <v>0.14</v>
      </c>
      <c r="F8" t="inlineStr">
        <is>
          <t>share</t>
        </is>
      </c>
      <c r="G8" t="n">
        <v>0.1</v>
      </c>
      <c r="H8" t="n">
        <v>0.18</v>
      </c>
      <c r="I8" t="inlineStr">
        <is>
          <t>proposed</t>
        </is>
      </c>
      <c r="J8" t="inlineStr">
        <is>
          <t>S07;A01</t>
        </is>
      </c>
      <c r="K8" t="inlineStr">
        <is>
          <t>2026-10-27</t>
        </is>
      </c>
      <c r="L8" t="inlineStr">
        <is>
          <t>Brazil 7.25% of traffic plus rest of LatAm</t>
        </is>
      </c>
    </row>
    <row r="9">
      <c r="A9" t="inlineStr">
        <is>
          <t>mau_share</t>
        </is>
      </c>
      <c r="B9" t="inlineStr">
        <is>
          <t>mau</t>
        </is>
      </c>
      <c r="C9" t="inlineStr">
        <is>
          <t>APAC</t>
        </is>
      </c>
      <c r="D9" t="inlineStr">
        <is>
          <t>all</t>
        </is>
      </c>
      <c r="E9" t="n">
        <v>0.15</v>
      </c>
      <c r="F9" t="inlineStr">
        <is>
          <t>share</t>
        </is>
      </c>
      <c r="G9" t="n">
        <v>0.1</v>
      </c>
      <c r="H9" t="n">
        <v>0.2</v>
      </c>
      <c r="I9" t="inlineStr">
        <is>
          <t>proposed</t>
        </is>
      </c>
      <c r="J9" t="inlineStr">
        <is>
          <t>S07;A01</t>
        </is>
      </c>
      <c r="K9" t="inlineStr">
        <is>
          <t>2026-10-27</t>
        </is>
      </c>
      <c r="L9" t="inlineStr">
        <is>
          <t>India 4.9% of traffic plus Japan/SEA/ANZ</t>
        </is>
      </c>
    </row>
    <row r="10">
      <c r="A10" t="inlineStr">
        <is>
          <t>mau_share</t>
        </is>
      </c>
      <c r="B10" t="inlineStr">
        <is>
          <t>mau</t>
        </is>
      </c>
      <c r="C10" t="inlineStr">
        <is>
          <t>ROW</t>
        </is>
      </c>
      <c r="D10" t="inlineStr">
        <is>
          <t>all</t>
        </is>
      </c>
      <c r="E10" t="n">
        <v>0.12</v>
      </c>
      <c r="F10" t="inlineStr">
        <is>
          <t>share</t>
        </is>
      </c>
      <c r="G10" t="n">
        <v>0.08</v>
      </c>
      <c r="H10" t="n">
        <v>0.16</v>
      </c>
      <c r="I10" t="inlineStr">
        <is>
          <t>proposed</t>
        </is>
      </c>
      <c r="J10" t="inlineStr">
        <is>
          <t>S07;A01</t>
        </is>
      </c>
      <c r="K10" t="inlineStr">
        <is>
          <t>2026-10-27</t>
        </is>
      </c>
      <c r="L10" t="inlineStr">
        <is>
          <t>Turkey, Russia, MENA, Africa</t>
        </is>
      </c>
    </row>
    <row r="11">
      <c r="A11" t="inlineStr">
        <is>
          <t>mau_growth_first</t>
        </is>
      </c>
      <c r="B11" t="inlineStr">
        <is>
          <t>mau</t>
        </is>
      </c>
      <c r="C11" t="inlineStr">
        <is>
          <t>all</t>
        </is>
      </c>
      <c r="D11" t="inlineStr">
        <is>
          <t>base</t>
        </is>
      </c>
      <c r="E11" t="n">
        <v>0.1</v>
      </c>
      <c r="F11" t="inlineStr">
        <is>
          <t>YoY</t>
        </is>
      </c>
      <c r="G11" t="n">
        <v>0.06</v>
      </c>
      <c r="H11" t="n">
        <v>0.14</v>
      </c>
      <c r="I11" t="inlineStr">
        <is>
          <t>proposed</t>
        </is>
      </c>
      <c r="J11" t="inlineStr">
        <is>
          <t>S02;S03;A01</t>
        </is>
      </c>
      <c r="K11" t="inlineStr">
        <is>
          <t>2026-10-27</t>
        </is>
      </c>
      <c r="L11" t="inlineStr">
        <is>
          <t>Tracker YoY 2024-25: 8.7% (Resourcera) to 13.8% (Feedough); applies to 2025</t>
        </is>
      </c>
    </row>
    <row r="12">
      <c r="A12" t="inlineStr">
        <is>
          <t>mau_growth_first</t>
        </is>
      </c>
      <c r="B12" t="inlineStr">
        <is>
          <t>mau</t>
        </is>
      </c>
      <c r="C12" t="inlineStr">
        <is>
          <t>all</t>
        </is>
      </c>
      <c r="D12" t="inlineStr">
        <is>
          <t>upside</t>
        </is>
      </c>
      <c r="E12" t="n">
        <v>0.13</v>
      </c>
      <c r="F12" t="inlineStr">
        <is>
          <t>YoY</t>
        </is>
      </c>
      <c r="G12" t="n">
        <v>0.1</v>
      </c>
      <c r="H12" t="n">
        <v>0.16</v>
      </c>
      <c r="I12" t="inlineStr">
        <is>
          <t>proposed</t>
        </is>
      </c>
      <c r="J12" t="inlineStr">
        <is>
          <t>S02;A01</t>
        </is>
      </c>
      <c r="K12" t="inlineStr">
        <is>
          <t>2026-10-27</t>
        </is>
      </c>
      <c r="L12" t="inlineStr">
        <is>
          <t>Near the high tracker growth rate</t>
        </is>
      </c>
    </row>
    <row r="13">
      <c r="A13" t="inlineStr">
        <is>
          <t>mau_growth_first</t>
        </is>
      </c>
      <c r="B13" t="inlineStr">
        <is>
          <t>mau</t>
        </is>
      </c>
      <c r="C13" t="inlineStr">
        <is>
          <t>all</t>
        </is>
      </c>
      <c r="D13" t="inlineStr">
        <is>
          <t>downside</t>
        </is>
      </c>
      <c r="E13" t="n">
        <v>0.06</v>
      </c>
      <c r="F13" t="inlineStr">
        <is>
          <t>YoY</t>
        </is>
      </c>
      <c r="G13" t="n">
        <v>0.03</v>
      </c>
      <c r="H13" t="n">
        <v>0.09</v>
      </c>
      <c r="I13" t="inlineStr">
        <is>
          <t>proposed</t>
        </is>
      </c>
      <c r="J13" t="inlineStr">
        <is>
          <t>A01</t>
        </is>
      </c>
      <c r="K13" t="inlineStr">
        <is>
          <t>2026-10-27</t>
        </is>
      </c>
    </row>
    <row r="14">
      <c r="A14" t="inlineStr">
        <is>
          <t>mau_growth_last</t>
        </is>
      </c>
      <c r="B14" t="inlineStr">
        <is>
          <t>mau</t>
        </is>
      </c>
      <c r="C14" t="inlineStr">
        <is>
          <t>all</t>
        </is>
      </c>
      <c r="D14" t="inlineStr">
        <is>
          <t>base</t>
        </is>
      </c>
      <c r="E14" t="n">
        <v>0.04</v>
      </c>
      <c r="F14" t="inlineStr">
        <is>
          <t>YoY</t>
        </is>
      </c>
      <c r="G14" t="n">
        <v>0.02</v>
      </c>
      <c r="H14" t="n">
        <v>0.06</v>
      </c>
      <c r="I14" t="inlineStr">
        <is>
          <t>proposed</t>
        </is>
      </c>
      <c r="J14" t="inlineStr">
        <is>
          <t>A01</t>
        </is>
      </c>
      <c r="K14" t="inlineStr">
        <is>
          <t>2026-10-27</t>
        </is>
      </c>
      <c r="L14" t="inlineStr">
        <is>
          <t>Applies to 2030; linear fade from first-year growth</t>
        </is>
      </c>
    </row>
    <row r="15">
      <c r="A15" t="inlineStr">
        <is>
          <t>mau_growth_last</t>
        </is>
      </c>
      <c r="B15" t="inlineStr">
        <is>
          <t>mau</t>
        </is>
      </c>
      <c r="C15" t="inlineStr">
        <is>
          <t>all</t>
        </is>
      </c>
      <c r="D15" t="inlineStr">
        <is>
          <t>upside</t>
        </is>
      </c>
      <c r="E15" t="n">
        <v>0.06</v>
      </c>
      <c r="F15" t="inlineStr">
        <is>
          <t>YoY</t>
        </is>
      </c>
      <c r="G15" t="n">
        <v>0.04</v>
      </c>
      <c r="H15" t="n">
        <v>0.08</v>
      </c>
      <c r="I15" t="inlineStr">
        <is>
          <t>proposed</t>
        </is>
      </c>
      <c r="J15" t="inlineStr">
        <is>
          <t>A01</t>
        </is>
      </c>
      <c r="K15" t="inlineStr">
        <is>
          <t>2026-10-27</t>
        </is>
      </c>
    </row>
    <row r="16">
      <c r="A16" t="inlineStr">
        <is>
          <t>mau_growth_last</t>
        </is>
      </c>
      <c r="B16" t="inlineStr">
        <is>
          <t>mau</t>
        </is>
      </c>
      <c r="C16" t="inlineStr">
        <is>
          <t>all</t>
        </is>
      </c>
      <c r="D16" t="inlineStr">
        <is>
          <t>downside</t>
        </is>
      </c>
      <c r="E16" t="n">
        <v>0</v>
      </c>
      <c r="F16" t="inlineStr">
        <is>
          <t>YoY</t>
        </is>
      </c>
      <c r="G16" t="n">
        <v>-0.03</v>
      </c>
      <c r="H16" t="n">
        <v>0.02</v>
      </c>
      <c r="I16" t="inlineStr">
        <is>
          <t>proposed</t>
        </is>
      </c>
      <c r="J16" t="inlineStr">
        <is>
          <t>A01</t>
        </is>
      </c>
      <c r="K16" t="inlineStr">
        <is>
          <t>2026-10-27</t>
        </is>
      </c>
      <c r="L16" t="inlineStr">
        <is>
          <t>Flat MAU by 2030</t>
        </is>
      </c>
    </row>
    <row r="17">
      <c r="A17" t="inlineStr">
        <is>
          <t>conv_rate</t>
        </is>
      </c>
      <c r="B17" t="inlineStr">
        <is>
          <t>conversion</t>
        </is>
      </c>
      <c r="C17" t="inlineStr">
        <is>
          <t>US_CA</t>
        </is>
      </c>
      <c r="D17" t="inlineStr">
        <is>
          <t>all</t>
        </is>
      </c>
      <c r="E17" t="n">
        <v>0.0045</v>
      </c>
      <c r="F17" t="inlineStr">
        <is>
          <t>gross adds / MAU / month</t>
        </is>
      </c>
      <c r="G17" t="n">
        <v>0.003</v>
      </c>
      <c r="H17" t="n">
        <v>0.006</v>
      </c>
      <c r="I17" t="inlineStr">
        <is>
          <t>proposed</t>
        </is>
      </c>
      <c r="J17" t="inlineStr">
        <is>
          <t>A01</t>
        </is>
      </c>
      <c r="K17" t="inlineStr">
        <is>
          <t>2026-10-27</t>
        </is>
      </c>
      <c r="L17" t="inlineStr">
        <is>
          <t>Back-solved: ~0.65M gross adds/mo holds ~7.3M subs at a ~13-month blended lifetime. Split by willingness to pay. Recalibrated in M3</t>
        </is>
      </c>
    </row>
    <row r="18">
      <c r="A18" t="inlineStr">
        <is>
          <t>conv_rate</t>
        </is>
      </c>
      <c r="B18" t="inlineStr">
        <is>
          <t>conversion</t>
        </is>
      </c>
      <c r="C18" t="inlineStr">
        <is>
          <t>EUROPE</t>
        </is>
      </c>
      <c r="D18" t="inlineStr">
        <is>
          <t>all</t>
        </is>
      </c>
      <c r="E18" t="n">
        <v>0.0032</v>
      </c>
      <c r="F18" t="inlineStr">
        <is>
          <t>gross adds / MAU / month</t>
        </is>
      </c>
      <c r="G18" t="n">
        <v>0.002</v>
      </c>
      <c r="H18" t="n">
        <v>0.0045</v>
      </c>
      <c r="I18" t="inlineStr">
        <is>
          <t>proposed</t>
        </is>
      </c>
      <c r="J18" t="inlineStr">
        <is>
          <t>A01</t>
        </is>
      </c>
      <c r="K18" t="inlineStr">
        <is>
          <t>2026-10-27</t>
        </is>
      </c>
    </row>
    <row r="19">
      <c r="A19" t="inlineStr">
        <is>
          <t>conv_rate</t>
        </is>
      </c>
      <c r="B19" t="inlineStr">
        <is>
          <t>conversion</t>
        </is>
      </c>
      <c r="C19" t="inlineStr">
        <is>
          <t>LATAM</t>
        </is>
      </c>
      <c r="D19" t="inlineStr">
        <is>
          <t>all</t>
        </is>
      </c>
      <c r="E19" t="n">
        <v>0.0015</v>
      </c>
      <c r="F19" t="inlineStr">
        <is>
          <t>gross adds / MAU / month</t>
        </is>
      </c>
      <c r="G19" t="n">
        <v>0.0008</v>
      </c>
      <c r="H19" t="n">
        <v>0.0025</v>
      </c>
      <c r="I19" t="inlineStr">
        <is>
          <t>proposed</t>
        </is>
      </c>
      <c r="J19" t="inlineStr">
        <is>
          <t>A01</t>
        </is>
      </c>
      <c r="K19" t="inlineStr">
        <is>
          <t>2026-10-27</t>
        </is>
      </c>
    </row>
    <row r="20">
      <c r="A20" t="inlineStr">
        <is>
          <t>conv_rate</t>
        </is>
      </c>
      <c r="B20" t="inlineStr">
        <is>
          <t>conversion</t>
        </is>
      </c>
      <c r="C20" t="inlineStr">
        <is>
          <t>APAC</t>
        </is>
      </c>
      <c r="D20" t="inlineStr">
        <is>
          <t>all</t>
        </is>
      </c>
      <c r="E20" t="n">
        <v>0.0018</v>
      </c>
      <c r="F20" t="inlineStr">
        <is>
          <t>gross adds / MAU / month</t>
        </is>
      </c>
      <c r="G20" t="n">
        <v>0.001</v>
      </c>
      <c r="H20" t="n">
        <v>0.0028</v>
      </c>
      <c r="I20" t="inlineStr">
        <is>
          <t>proposed</t>
        </is>
      </c>
      <c r="J20" t="inlineStr">
        <is>
          <t>A01</t>
        </is>
      </c>
      <c r="K20" t="inlineStr">
        <is>
          <t>2026-10-27</t>
        </is>
      </c>
    </row>
    <row r="21">
      <c r="A21" t="inlineStr">
        <is>
          <t>conv_rate</t>
        </is>
      </c>
      <c r="B21" t="inlineStr">
        <is>
          <t>conversion</t>
        </is>
      </c>
      <c r="C21" t="inlineStr">
        <is>
          <t>ROW</t>
        </is>
      </c>
      <c r="D21" t="inlineStr">
        <is>
          <t>all</t>
        </is>
      </c>
      <c r="E21" t="n">
        <v>0.0015</v>
      </c>
      <c r="F21" t="inlineStr">
        <is>
          <t>gross adds / MAU / month</t>
        </is>
      </c>
      <c r="G21" t="n">
        <v>0.0008</v>
      </c>
      <c r="H21" t="n">
        <v>0.0025</v>
      </c>
      <c r="I21" t="inlineStr">
        <is>
          <t>proposed</t>
        </is>
      </c>
      <c r="J21" t="inlineStr">
        <is>
          <t>A01</t>
        </is>
      </c>
      <c r="K21" t="inlineStr">
        <is>
          <t>2026-10-27</t>
        </is>
      </c>
    </row>
    <row r="22">
      <c r="A22" t="inlineStr">
        <is>
          <t>conv_multiplier</t>
        </is>
      </c>
      <c r="B22" t="inlineStr">
        <is>
          <t>conversion</t>
        </is>
      </c>
      <c r="C22" t="inlineStr">
        <is>
          <t>all</t>
        </is>
      </c>
      <c r="D22" t="inlineStr">
        <is>
          <t>base</t>
        </is>
      </c>
      <c r="E22" t="n">
        <v>1</v>
      </c>
      <c r="F22" t="inlineStr">
        <is>
          <t>x</t>
        </is>
      </c>
      <c r="I22" t="inlineStr">
        <is>
          <t>design</t>
        </is>
      </c>
      <c r="J22" t="inlineStr">
        <is>
          <t>P01</t>
        </is>
      </c>
      <c r="K22" t="inlineStr">
        <is>
          <t>2026-10-27</t>
        </is>
      </c>
    </row>
    <row r="23">
      <c r="A23" t="inlineStr">
        <is>
          <t>conv_multiplier</t>
        </is>
      </c>
      <c r="B23" t="inlineStr">
        <is>
          <t>conversion</t>
        </is>
      </c>
      <c r="C23" t="inlineStr">
        <is>
          <t>all</t>
        </is>
      </c>
      <c r="D23" t="inlineStr">
        <is>
          <t>upside</t>
        </is>
      </c>
      <c r="E23" t="n">
        <v>1.1</v>
      </c>
      <c r="F23" t="inlineStr">
        <is>
          <t>x</t>
        </is>
      </c>
      <c r="G23" t="n">
        <v>1.05</v>
      </c>
      <c r="H23" t="n">
        <v>1.2</v>
      </c>
      <c r="I23" t="inlineStr">
        <is>
          <t>proposed</t>
        </is>
      </c>
      <c r="J23" t="inlineStr">
        <is>
          <t>A01</t>
        </is>
      </c>
      <c r="K23" t="inlineStr">
        <is>
          <t>2026-10-27</t>
        </is>
      </c>
    </row>
    <row r="24">
      <c r="A24" t="inlineStr">
        <is>
          <t>conv_multiplier</t>
        </is>
      </c>
      <c r="B24" t="inlineStr">
        <is>
          <t>conversion</t>
        </is>
      </c>
      <c r="C24" t="inlineStr">
        <is>
          <t>all</t>
        </is>
      </c>
      <c r="D24" t="inlineStr">
        <is>
          <t>downside</t>
        </is>
      </c>
      <c r="E24" t="n">
        <v>0.9</v>
      </c>
      <c r="F24" t="inlineStr">
        <is>
          <t>x</t>
        </is>
      </c>
      <c r="G24" t="n">
        <v>0.8</v>
      </c>
      <c r="H24" t="n">
        <v>0.95</v>
      </c>
      <c r="I24" t="inlineStr">
        <is>
          <t>proposed</t>
        </is>
      </c>
      <c r="J24" t="inlineStr">
        <is>
          <t>A01</t>
        </is>
      </c>
      <c r="K24" t="inlineStr">
        <is>
          <t>2026-10-27</t>
        </is>
      </c>
    </row>
    <row r="25">
      <c r="A25" t="inlineStr">
        <is>
          <t>plan_mix</t>
        </is>
      </c>
      <c r="B25" t="inlineStr">
        <is>
          <t>mix_plan</t>
        </is>
      </c>
      <c r="C25" t="inlineStr">
        <is>
          <t>NITRO_M</t>
        </is>
      </c>
      <c r="D25" t="inlineStr">
        <is>
          <t>all</t>
        </is>
      </c>
      <c r="E25" t="n">
        <v>0.45</v>
      </c>
      <c r="F25" t="inlineStr">
        <is>
          <t>share of gross adds</t>
        </is>
      </c>
      <c r="G25" t="n">
        <v>0.35</v>
      </c>
      <c r="H25" t="n">
        <v>0.55</v>
      </c>
      <c r="I25" t="inlineStr">
        <is>
          <t>proposed</t>
        </is>
      </c>
      <c r="J25" t="inlineStr">
        <is>
          <t>A01</t>
        </is>
      </c>
      <c r="K25" t="inlineStr">
        <is>
          <t>2026-10-27</t>
        </is>
      </c>
      <c r="L25" t="inlineStr">
        <is>
          <t>No public plan mix. Drives most of the ARPU gap vs list price</t>
        </is>
      </c>
    </row>
    <row r="26">
      <c r="A26" t="inlineStr">
        <is>
          <t>plan_mix</t>
        </is>
      </c>
      <c r="B26" t="inlineStr">
        <is>
          <t>mix_plan</t>
        </is>
      </c>
      <c r="C26" t="inlineStr">
        <is>
          <t>NITRO_A</t>
        </is>
      </c>
      <c r="D26" t="inlineStr">
        <is>
          <t>all</t>
        </is>
      </c>
      <c r="E26" t="n">
        <v>0.15</v>
      </c>
      <c r="F26" t="inlineStr">
        <is>
          <t>share of gross adds</t>
        </is>
      </c>
      <c r="G26" t="n">
        <v>0.08</v>
      </c>
      <c r="H26" t="n">
        <v>0.25</v>
      </c>
      <c r="I26" t="inlineStr">
        <is>
          <t>proposed</t>
        </is>
      </c>
      <c r="J26" t="inlineStr">
        <is>
          <t>S15;A01</t>
        </is>
      </c>
      <c r="K26" t="inlineStr">
        <is>
          <t>2026-10-27</t>
        </is>
      </c>
      <c r="L26" t="inlineStr">
        <is>
          <t>Duolingo shows annual share can reach 47-71% when pushed hard; Discord does not push annual that hard</t>
        </is>
      </c>
    </row>
    <row r="27">
      <c r="A27" t="inlineStr">
        <is>
          <t>plan_mix</t>
        </is>
      </c>
      <c r="B27" t="inlineStr">
        <is>
          <t>mix_plan</t>
        </is>
      </c>
      <c r="C27" t="inlineStr">
        <is>
          <t>BASIC_M</t>
        </is>
      </c>
      <c r="D27" t="inlineStr">
        <is>
          <t>all</t>
        </is>
      </c>
      <c r="E27" t="n">
        <v>0.32</v>
      </c>
      <c r="F27" t="inlineStr">
        <is>
          <t>share of gross adds</t>
        </is>
      </c>
      <c r="G27" t="n">
        <v>0.2</v>
      </c>
      <c r="H27" t="n">
        <v>0.45</v>
      </c>
      <c r="I27" t="inlineStr">
        <is>
          <t>proposed</t>
        </is>
      </c>
      <c r="J27" t="inlineStr">
        <is>
          <t>A01</t>
        </is>
      </c>
      <c r="K27" t="inlineStr">
        <is>
          <t>2026-10-27</t>
        </is>
      </c>
    </row>
    <row r="28">
      <c r="A28" t="inlineStr">
        <is>
          <t>plan_mix</t>
        </is>
      </c>
      <c r="B28" t="inlineStr">
        <is>
          <t>mix_plan</t>
        </is>
      </c>
      <c r="C28" t="inlineStr">
        <is>
          <t>BASIC_A</t>
        </is>
      </c>
      <c r="D28" t="inlineStr">
        <is>
          <t>all</t>
        </is>
      </c>
      <c r="E28" t="n">
        <v>0.08</v>
      </c>
      <c r="F28" t="inlineStr">
        <is>
          <t>share of gross adds</t>
        </is>
      </c>
      <c r="G28" t="n">
        <v>0.03</v>
      </c>
      <c r="H28" t="n">
        <v>0.15</v>
      </c>
      <c r="I28" t="inlineStr">
        <is>
          <t>proposed</t>
        </is>
      </c>
      <c r="J28" t="inlineStr">
        <is>
          <t>A01</t>
        </is>
      </c>
      <c r="K28" t="inlineStr">
        <is>
          <t>2026-10-27</t>
        </is>
      </c>
    </row>
    <row r="29">
      <c r="A29" t="inlineStr">
        <is>
          <t>platform_mix</t>
        </is>
      </c>
      <c r="B29" t="inlineStr">
        <is>
          <t>mix_platform</t>
        </is>
      </c>
      <c r="C29" t="inlineStr">
        <is>
          <t>US_CA|WEB</t>
        </is>
      </c>
      <c r="D29" t="inlineStr">
        <is>
          <t>all</t>
        </is>
      </c>
      <c r="E29" t="n">
        <v>0.55</v>
      </c>
      <c r="F29" t="inlineStr">
        <is>
          <t>share of gross adds</t>
        </is>
      </c>
      <c r="G29" t="n">
        <v>0.45</v>
      </c>
      <c r="H29" t="n">
        <v>0.65</v>
      </c>
      <c r="I29" t="inlineStr">
        <is>
          <t>proposed</t>
        </is>
      </c>
      <c r="J29" t="inlineStr">
        <is>
          <t>A01</t>
        </is>
      </c>
      <c r="K29" t="inlineStr">
        <is>
          <t>2026-10-27</t>
        </is>
      </c>
      <c r="L29" t="inlineStr">
        <is>
          <t>Desktop-first product; web/desktop billing avoids app store fees</t>
        </is>
      </c>
    </row>
    <row r="30">
      <c r="A30" t="inlineStr">
        <is>
          <t>platform_mix</t>
        </is>
      </c>
      <c r="B30" t="inlineStr">
        <is>
          <t>mix_platform</t>
        </is>
      </c>
      <c r="C30" t="inlineStr">
        <is>
          <t>US_CA|IOS</t>
        </is>
      </c>
      <c r="D30" t="inlineStr">
        <is>
          <t>all</t>
        </is>
      </c>
      <c r="E30" t="n">
        <v>0.3</v>
      </c>
      <c r="F30" t="inlineStr">
        <is>
          <t>share of gross adds</t>
        </is>
      </c>
      <c r="G30" t="n">
        <v>0.2</v>
      </c>
      <c r="H30" t="n">
        <v>0.4</v>
      </c>
      <c r="I30" t="inlineStr">
        <is>
          <t>proposed</t>
        </is>
      </c>
      <c r="J30" t="inlineStr">
        <is>
          <t>A01</t>
        </is>
      </c>
      <c r="K30" t="inlineStr">
        <is>
          <t>2026-10-27</t>
        </is>
      </c>
      <c r="L30" t="inlineStr">
        <is>
          <t>High iPhone share in US</t>
        </is>
      </c>
    </row>
    <row r="31">
      <c r="A31" t="inlineStr">
        <is>
          <t>platform_mix</t>
        </is>
      </c>
      <c r="B31" t="inlineStr">
        <is>
          <t>mix_platform</t>
        </is>
      </c>
      <c r="C31" t="inlineStr">
        <is>
          <t>US_CA|ANDROID</t>
        </is>
      </c>
      <c r="D31" t="inlineStr">
        <is>
          <t>all</t>
        </is>
      </c>
      <c r="E31" t="n">
        <v>0.15</v>
      </c>
      <c r="F31" t="inlineStr">
        <is>
          <t>share of gross adds</t>
        </is>
      </c>
      <c r="G31" t="n">
        <v>0.1</v>
      </c>
      <c r="H31" t="n">
        <v>0.2</v>
      </c>
      <c r="I31" t="inlineStr">
        <is>
          <t>proposed</t>
        </is>
      </c>
      <c r="J31" t="inlineStr">
        <is>
          <t>A01</t>
        </is>
      </c>
      <c r="K31" t="inlineStr">
        <is>
          <t>2026-10-27</t>
        </is>
      </c>
    </row>
    <row r="32">
      <c r="A32" t="inlineStr">
        <is>
          <t>platform_mix</t>
        </is>
      </c>
      <c r="B32" t="inlineStr">
        <is>
          <t>mix_platform</t>
        </is>
      </c>
      <c r="C32" t="inlineStr">
        <is>
          <t>EUROPE|WEB</t>
        </is>
      </c>
      <c r="D32" t="inlineStr">
        <is>
          <t>all</t>
        </is>
      </c>
      <c r="E32" t="n">
        <v>0.6</v>
      </c>
      <c r="F32" t="inlineStr">
        <is>
          <t>share of gross adds</t>
        </is>
      </c>
      <c r="G32" t="n">
        <v>0.5</v>
      </c>
      <c r="H32" t="n">
        <v>0.7</v>
      </c>
      <c r="I32" t="inlineStr">
        <is>
          <t>proposed</t>
        </is>
      </c>
      <c r="J32" t="inlineStr">
        <is>
          <t>A01</t>
        </is>
      </c>
      <c r="K32" t="inlineStr">
        <is>
          <t>2026-10-27</t>
        </is>
      </c>
    </row>
    <row r="33">
      <c r="A33" t="inlineStr">
        <is>
          <t>platform_mix</t>
        </is>
      </c>
      <c r="B33" t="inlineStr">
        <is>
          <t>mix_platform</t>
        </is>
      </c>
      <c r="C33" t="inlineStr">
        <is>
          <t>EUROPE|IOS</t>
        </is>
      </c>
      <c r="D33" t="inlineStr">
        <is>
          <t>all</t>
        </is>
      </c>
      <c r="E33" t="n">
        <v>0.22</v>
      </c>
      <c r="F33" t="inlineStr">
        <is>
          <t>share of gross adds</t>
        </is>
      </c>
      <c r="G33" t="n">
        <v>0.15</v>
      </c>
      <c r="H33" t="n">
        <v>0.3</v>
      </c>
      <c r="I33" t="inlineStr">
        <is>
          <t>proposed</t>
        </is>
      </c>
      <c r="J33" t="inlineStr">
        <is>
          <t>A01</t>
        </is>
      </c>
      <c r="K33" t="inlineStr">
        <is>
          <t>2026-10-27</t>
        </is>
      </c>
    </row>
    <row r="34">
      <c r="A34" t="inlineStr">
        <is>
          <t>platform_mix</t>
        </is>
      </c>
      <c r="B34" t="inlineStr">
        <is>
          <t>mix_platform</t>
        </is>
      </c>
      <c r="C34" t="inlineStr">
        <is>
          <t>EUROPE|ANDROID</t>
        </is>
      </c>
      <c r="D34" t="inlineStr">
        <is>
          <t>all</t>
        </is>
      </c>
      <c r="E34" t="n">
        <v>0.18</v>
      </c>
      <c r="F34" t="inlineStr">
        <is>
          <t>share of gross adds</t>
        </is>
      </c>
      <c r="G34" t="n">
        <v>0.12</v>
      </c>
      <c r="H34" t="n">
        <v>0.25</v>
      </c>
      <c r="I34" t="inlineStr">
        <is>
          <t>proposed</t>
        </is>
      </c>
      <c r="J34" t="inlineStr">
        <is>
          <t>A01</t>
        </is>
      </c>
      <c r="K34" t="inlineStr">
        <is>
          <t>2026-10-27</t>
        </is>
      </c>
    </row>
    <row r="35">
      <c r="A35" t="inlineStr">
        <is>
          <t>platform_mix</t>
        </is>
      </c>
      <c r="B35" t="inlineStr">
        <is>
          <t>mix_platform</t>
        </is>
      </c>
      <c r="C35" t="inlineStr">
        <is>
          <t>LATAM|WEB</t>
        </is>
      </c>
      <c r="D35" t="inlineStr">
        <is>
          <t>all</t>
        </is>
      </c>
      <c r="E35" t="n">
        <v>0.55</v>
      </c>
      <c r="F35" t="inlineStr">
        <is>
          <t>share of gross adds</t>
        </is>
      </c>
      <c r="G35" t="n">
        <v>0.45</v>
      </c>
      <c r="H35" t="n">
        <v>0.65</v>
      </c>
      <c r="I35" t="inlineStr">
        <is>
          <t>proposed</t>
        </is>
      </c>
      <c r="J35" t="inlineStr">
        <is>
          <t>A01</t>
        </is>
      </c>
      <c r="K35" t="inlineStr">
        <is>
          <t>2026-10-27</t>
        </is>
      </c>
    </row>
    <row r="36">
      <c r="A36" t="inlineStr">
        <is>
          <t>platform_mix</t>
        </is>
      </c>
      <c r="B36" t="inlineStr">
        <is>
          <t>mix_platform</t>
        </is>
      </c>
      <c r="C36" t="inlineStr">
        <is>
          <t>LATAM|IOS</t>
        </is>
      </c>
      <c r="D36" t="inlineStr">
        <is>
          <t>all</t>
        </is>
      </c>
      <c r="E36" t="n">
        <v>0.1</v>
      </c>
      <c r="F36" t="inlineStr">
        <is>
          <t>share of gross adds</t>
        </is>
      </c>
      <c r="G36" t="n">
        <v>0.05</v>
      </c>
      <c r="H36" t="n">
        <v>0.15</v>
      </c>
      <c r="I36" t="inlineStr">
        <is>
          <t>proposed</t>
        </is>
      </c>
      <c r="J36" t="inlineStr">
        <is>
          <t>A01</t>
        </is>
      </c>
      <c r="K36" t="inlineStr">
        <is>
          <t>2026-10-27</t>
        </is>
      </c>
      <c r="L36" t="inlineStr">
        <is>
          <t>Android-dominant region</t>
        </is>
      </c>
    </row>
    <row r="37">
      <c r="A37" t="inlineStr">
        <is>
          <t>platform_mix</t>
        </is>
      </c>
      <c r="B37" t="inlineStr">
        <is>
          <t>mix_platform</t>
        </is>
      </c>
      <c r="C37" t="inlineStr">
        <is>
          <t>LATAM|ANDROID</t>
        </is>
      </c>
      <c r="D37" t="inlineStr">
        <is>
          <t>all</t>
        </is>
      </c>
      <c r="E37" t="n">
        <v>0.35</v>
      </c>
      <c r="F37" t="inlineStr">
        <is>
          <t>share of gross adds</t>
        </is>
      </c>
      <c r="G37" t="n">
        <v>0.25</v>
      </c>
      <c r="H37" t="n">
        <v>0.45</v>
      </c>
      <c r="I37" t="inlineStr">
        <is>
          <t>proposed</t>
        </is>
      </c>
      <c r="J37" t="inlineStr">
        <is>
          <t>A01</t>
        </is>
      </c>
      <c r="K37" t="inlineStr">
        <is>
          <t>2026-10-27</t>
        </is>
      </c>
    </row>
    <row r="38">
      <c r="A38" t="inlineStr">
        <is>
          <t>platform_mix</t>
        </is>
      </c>
      <c r="B38" t="inlineStr">
        <is>
          <t>mix_platform</t>
        </is>
      </c>
      <c r="C38" t="inlineStr">
        <is>
          <t>APAC|WEB</t>
        </is>
      </c>
      <c r="D38" t="inlineStr">
        <is>
          <t>all</t>
        </is>
      </c>
      <c r="E38" t="n">
        <v>0.55</v>
      </c>
      <c r="F38" t="inlineStr">
        <is>
          <t>share of gross adds</t>
        </is>
      </c>
      <c r="G38" t="n">
        <v>0.45</v>
      </c>
      <c r="H38" t="n">
        <v>0.65</v>
      </c>
      <c r="I38" t="inlineStr">
        <is>
          <t>proposed</t>
        </is>
      </c>
      <c r="J38" t="inlineStr">
        <is>
          <t>A01</t>
        </is>
      </c>
      <c r="K38" t="inlineStr">
        <is>
          <t>2026-10-27</t>
        </is>
      </c>
    </row>
    <row r="39">
      <c r="A39" t="inlineStr">
        <is>
          <t>platform_mix</t>
        </is>
      </c>
      <c r="B39" t="inlineStr">
        <is>
          <t>mix_platform</t>
        </is>
      </c>
      <c r="C39" t="inlineStr">
        <is>
          <t>APAC|IOS</t>
        </is>
      </c>
      <c r="D39" t="inlineStr">
        <is>
          <t>all</t>
        </is>
      </c>
      <c r="E39" t="n">
        <v>0.2</v>
      </c>
      <c r="F39" t="inlineStr">
        <is>
          <t>share of gross adds</t>
        </is>
      </c>
      <c r="G39" t="n">
        <v>0.1</v>
      </c>
      <c r="H39" t="n">
        <v>0.3</v>
      </c>
      <c r="I39" t="inlineStr">
        <is>
          <t>proposed</t>
        </is>
      </c>
      <c r="J39" t="inlineStr">
        <is>
          <t>A01</t>
        </is>
      </c>
      <c r="K39" t="inlineStr">
        <is>
          <t>2026-10-27</t>
        </is>
      </c>
      <c r="L39" t="inlineStr">
        <is>
          <t>Japan iOS-heavy; India Android-heavy</t>
        </is>
      </c>
    </row>
    <row r="40">
      <c r="A40" t="inlineStr">
        <is>
          <t>platform_mix</t>
        </is>
      </c>
      <c r="B40" t="inlineStr">
        <is>
          <t>mix_platform</t>
        </is>
      </c>
      <c r="C40" t="inlineStr">
        <is>
          <t>APAC|ANDROID</t>
        </is>
      </c>
      <c r="D40" t="inlineStr">
        <is>
          <t>all</t>
        </is>
      </c>
      <c r="E40" t="n">
        <v>0.25</v>
      </c>
      <c r="F40" t="inlineStr">
        <is>
          <t>share of gross adds</t>
        </is>
      </c>
      <c r="G40" t="n">
        <v>0.15</v>
      </c>
      <c r="H40" t="n">
        <v>0.35</v>
      </c>
      <c r="I40" t="inlineStr">
        <is>
          <t>proposed</t>
        </is>
      </c>
      <c r="J40" t="inlineStr">
        <is>
          <t>A01</t>
        </is>
      </c>
      <c r="K40" t="inlineStr">
        <is>
          <t>2026-10-27</t>
        </is>
      </c>
    </row>
    <row r="41">
      <c r="A41" t="inlineStr">
        <is>
          <t>platform_mix</t>
        </is>
      </c>
      <c r="B41" t="inlineStr">
        <is>
          <t>mix_platform</t>
        </is>
      </c>
      <c r="C41" t="inlineStr">
        <is>
          <t>ROW|WEB</t>
        </is>
      </c>
      <c r="D41" t="inlineStr">
        <is>
          <t>all</t>
        </is>
      </c>
      <c r="E41" t="n">
        <v>0.55</v>
      </c>
      <c r="F41" t="inlineStr">
        <is>
          <t>share of gross adds</t>
        </is>
      </c>
      <c r="G41" t="n">
        <v>0.45</v>
      </c>
      <c r="H41" t="n">
        <v>0.65</v>
      </c>
      <c r="I41" t="inlineStr">
        <is>
          <t>proposed</t>
        </is>
      </c>
      <c r="J41" t="inlineStr">
        <is>
          <t>A01</t>
        </is>
      </c>
      <c r="K41" t="inlineStr">
        <is>
          <t>2026-10-27</t>
        </is>
      </c>
    </row>
    <row r="42">
      <c r="A42" t="inlineStr">
        <is>
          <t>platform_mix</t>
        </is>
      </c>
      <c r="B42" t="inlineStr">
        <is>
          <t>mix_platform</t>
        </is>
      </c>
      <c r="C42" t="inlineStr">
        <is>
          <t>ROW|IOS</t>
        </is>
      </c>
      <c r="D42" t="inlineStr">
        <is>
          <t>all</t>
        </is>
      </c>
      <c r="E42" t="n">
        <v>0.15</v>
      </c>
      <c r="F42" t="inlineStr">
        <is>
          <t>share of gross adds</t>
        </is>
      </c>
      <c r="G42" t="n">
        <v>0.1</v>
      </c>
      <c r="H42" t="n">
        <v>0.2</v>
      </c>
      <c r="I42" t="inlineStr">
        <is>
          <t>proposed</t>
        </is>
      </c>
      <c r="J42" t="inlineStr">
        <is>
          <t>A01</t>
        </is>
      </c>
      <c r="K42" t="inlineStr">
        <is>
          <t>2026-10-27</t>
        </is>
      </c>
    </row>
    <row r="43">
      <c r="A43" t="inlineStr">
        <is>
          <t>platform_mix</t>
        </is>
      </c>
      <c r="B43" t="inlineStr">
        <is>
          <t>mix_platform</t>
        </is>
      </c>
      <c r="C43" t="inlineStr">
        <is>
          <t>ROW|ANDROID</t>
        </is>
      </c>
      <c r="D43" t="inlineStr">
        <is>
          <t>all</t>
        </is>
      </c>
      <c r="E43" t="n">
        <v>0.3</v>
      </c>
      <c r="F43" t="inlineStr">
        <is>
          <t>share of gross adds</t>
        </is>
      </c>
      <c r="G43" t="n">
        <v>0.2</v>
      </c>
      <c r="H43" t="n">
        <v>0.4</v>
      </c>
      <c r="I43" t="inlineStr">
        <is>
          <t>proposed</t>
        </is>
      </c>
      <c r="J43" t="inlineStr">
        <is>
          <t>A01</t>
        </is>
      </c>
      <c r="K43" t="inlineStr">
        <is>
          <t>2026-10-27</t>
        </is>
      </c>
    </row>
    <row r="44">
      <c r="A44" t="inlineStr">
        <is>
          <t>churn_m1</t>
        </is>
      </c>
      <c r="B44" t="inlineStr">
        <is>
          <t>churn</t>
        </is>
      </c>
      <c r="C44" t="inlineStr">
        <is>
          <t>MONTHLY</t>
        </is>
      </c>
      <c r="D44" t="inlineStr">
        <is>
          <t>base</t>
        </is>
      </c>
      <c r="E44" t="n">
        <v>0.3</v>
      </c>
      <c r="F44" t="inlineStr">
        <is>
          <t>share of cohort</t>
        </is>
      </c>
      <c r="G44" t="n">
        <v>0.25</v>
      </c>
      <c r="H44" t="n">
        <v>0.35</v>
      </c>
      <c r="I44" t="inlineStr">
        <is>
          <t>benchmark</t>
        </is>
      </c>
      <c r="J44" t="inlineStr">
        <is>
          <t>S13;S16;A01</t>
        </is>
      </c>
      <c r="K44" t="inlineStr">
        <is>
          <t>2026-10-27</t>
        </is>
      </c>
      <c r="L44" t="inlineStr">
        <is>
          <t>Base = Spotify global average plus RevenueCat app benchmarks. Applies to paid starts (direct or converted trialists); trial drop-off is trial_to_paid</t>
        </is>
      </c>
    </row>
    <row r="45">
      <c r="A45" t="inlineStr">
        <is>
          <t>churn_m1</t>
        </is>
      </c>
      <c r="B45" t="inlineStr">
        <is>
          <t>churn</t>
        </is>
      </c>
      <c r="C45" t="inlineStr">
        <is>
          <t>MONTHLY</t>
        </is>
      </c>
      <c r="D45" t="inlineStr">
        <is>
          <t>upside</t>
        </is>
      </c>
      <c r="E45" t="n">
        <v>0.22</v>
      </c>
      <c r="F45" t="inlineStr">
        <is>
          <t>share of cohort</t>
        </is>
      </c>
      <c r="G45" t="n">
        <v>0.18</v>
      </c>
      <c r="H45" t="n">
        <v>0.26</v>
      </c>
      <c r="I45" t="inlineStr">
        <is>
          <t>benchmark</t>
        </is>
      </c>
      <c r="J45" t="inlineStr">
        <is>
          <t>S14;A01</t>
        </is>
      </c>
      <c r="K45" t="inlineStr">
        <is>
          <t>2026-10-27</t>
        </is>
      </c>
      <c r="L45" t="inlineStr">
        <is>
          <t>Upside = Spotify mature markets (US 1-2% tail)</t>
        </is>
      </c>
    </row>
    <row r="46">
      <c r="A46" t="inlineStr">
        <is>
          <t>churn_m1</t>
        </is>
      </c>
      <c r="B46" t="inlineStr">
        <is>
          <t>churn</t>
        </is>
      </c>
      <c r="C46" t="inlineStr">
        <is>
          <t>MONTHLY</t>
        </is>
      </c>
      <c r="D46" t="inlineStr">
        <is>
          <t>downside</t>
        </is>
      </c>
      <c r="E46" t="n">
        <v>0.4</v>
      </c>
      <c r="F46" t="inlineStr">
        <is>
          <t>share of cohort</t>
        </is>
      </c>
      <c r="G46" t="n">
        <v>0.35</v>
      </c>
      <c r="H46" t="n">
        <v>0.5</v>
      </c>
      <c r="I46" t="inlineStr">
        <is>
          <t>benchmark</t>
        </is>
      </c>
      <c r="J46" t="inlineStr">
        <is>
          <t>S15;S16;A01</t>
        </is>
      </c>
      <c r="K46" t="inlineStr">
        <is>
          <t>2026-10-27</t>
        </is>
      </c>
      <c r="L46" t="inlineStr">
        <is>
          <t>Downside = Duolingo monthly (9% renew at 12 mo) / RevenueCat expensive monthly (6.7%)</t>
        </is>
      </c>
    </row>
    <row r="47">
      <c r="A47" t="inlineStr">
        <is>
          <t>churn_m2</t>
        </is>
      </c>
      <c r="B47" t="inlineStr">
        <is>
          <t>churn</t>
        </is>
      </c>
      <c r="C47" t="inlineStr">
        <is>
          <t>MONTHLY</t>
        </is>
      </c>
      <c r="D47" t="inlineStr">
        <is>
          <t>base</t>
        </is>
      </c>
      <c r="E47" t="n">
        <v>0.14</v>
      </c>
      <c r="F47" t="inlineStr">
        <is>
          <t>share of survivors</t>
        </is>
      </c>
      <c r="G47" t="n">
        <v>0.1</v>
      </c>
      <c r="H47" t="n">
        <v>0.18</v>
      </c>
      <c r="I47" t="inlineStr">
        <is>
          <t>benchmark</t>
        </is>
      </c>
      <c r="J47" t="inlineStr">
        <is>
          <t>S13;S16;A01</t>
        </is>
      </c>
      <c r="K47" t="inlineStr">
        <is>
          <t>2026-10-27</t>
        </is>
      </c>
    </row>
    <row r="48">
      <c r="A48" t="inlineStr">
        <is>
          <t>churn_m2</t>
        </is>
      </c>
      <c r="B48" t="inlineStr">
        <is>
          <t>churn</t>
        </is>
      </c>
      <c r="C48" t="inlineStr">
        <is>
          <t>MONTHLY</t>
        </is>
      </c>
      <c r="D48" t="inlineStr">
        <is>
          <t>upside</t>
        </is>
      </c>
      <c r="E48" t="n">
        <v>0.1</v>
      </c>
      <c r="F48" t="inlineStr">
        <is>
          <t>share of survivors</t>
        </is>
      </c>
      <c r="G48" t="n">
        <v>0.07000000000000001</v>
      </c>
      <c r="H48" t="n">
        <v>0.13</v>
      </c>
      <c r="I48" t="inlineStr">
        <is>
          <t>benchmark</t>
        </is>
      </c>
      <c r="J48" t="inlineStr">
        <is>
          <t>S14;A01</t>
        </is>
      </c>
      <c r="K48" t="inlineStr">
        <is>
          <t>2026-10-27</t>
        </is>
      </c>
    </row>
    <row r="49">
      <c r="A49" t="inlineStr">
        <is>
          <t>churn_m2</t>
        </is>
      </c>
      <c r="B49" t="inlineStr">
        <is>
          <t>churn</t>
        </is>
      </c>
      <c r="C49" t="inlineStr">
        <is>
          <t>MONTHLY</t>
        </is>
      </c>
      <c r="D49" t="inlineStr">
        <is>
          <t>downside</t>
        </is>
      </c>
      <c r="E49" t="n">
        <v>0.2</v>
      </c>
      <c r="F49" t="inlineStr">
        <is>
          <t>share of survivors</t>
        </is>
      </c>
      <c r="G49" t="n">
        <v>0.15</v>
      </c>
      <c r="H49" t="n">
        <v>0.25</v>
      </c>
      <c r="I49" t="inlineStr">
        <is>
          <t>benchmark</t>
        </is>
      </c>
      <c r="J49" t="inlineStr">
        <is>
          <t>S15;S16;A01</t>
        </is>
      </c>
      <c r="K49" t="inlineStr">
        <is>
          <t>2026-10-27</t>
        </is>
      </c>
    </row>
    <row r="50">
      <c r="A50" t="inlineStr">
        <is>
          <t>churn_m3</t>
        </is>
      </c>
      <c r="B50" t="inlineStr">
        <is>
          <t>churn</t>
        </is>
      </c>
      <c r="C50" t="inlineStr">
        <is>
          <t>MONTHLY</t>
        </is>
      </c>
      <c r="D50" t="inlineStr">
        <is>
          <t>base</t>
        </is>
      </c>
      <c r="E50" t="n">
        <v>0.09</v>
      </c>
      <c r="F50" t="inlineStr">
        <is>
          <t>share of survivors</t>
        </is>
      </c>
      <c r="G50" t="n">
        <v>0.06</v>
      </c>
      <c r="H50" t="n">
        <v>0.12</v>
      </c>
      <c r="I50" t="inlineStr">
        <is>
          <t>benchmark</t>
        </is>
      </c>
      <c r="J50" t="inlineStr">
        <is>
          <t>S13;S16;A01</t>
        </is>
      </c>
      <c r="K50" t="inlineStr">
        <is>
          <t>2026-10-27</t>
        </is>
      </c>
    </row>
    <row r="51">
      <c r="A51" t="inlineStr">
        <is>
          <t>churn_m3</t>
        </is>
      </c>
      <c r="B51" t="inlineStr">
        <is>
          <t>churn</t>
        </is>
      </c>
      <c r="C51" t="inlineStr">
        <is>
          <t>MONTHLY</t>
        </is>
      </c>
      <c r="D51" t="inlineStr">
        <is>
          <t>upside</t>
        </is>
      </c>
      <c r="E51" t="n">
        <v>0.06</v>
      </c>
      <c r="F51" t="inlineStr">
        <is>
          <t>share of survivors</t>
        </is>
      </c>
      <c r="G51" t="n">
        <v>0.04</v>
      </c>
      <c r="H51" t="n">
        <v>0.08</v>
      </c>
      <c r="I51" t="inlineStr">
        <is>
          <t>benchmark</t>
        </is>
      </c>
      <c r="J51" t="inlineStr">
        <is>
          <t>S14;A01</t>
        </is>
      </c>
      <c r="K51" t="inlineStr">
        <is>
          <t>2026-10-27</t>
        </is>
      </c>
    </row>
    <row r="52">
      <c r="A52" t="inlineStr">
        <is>
          <t>churn_m3</t>
        </is>
      </c>
      <c r="B52" t="inlineStr">
        <is>
          <t>churn</t>
        </is>
      </c>
      <c r="C52" t="inlineStr">
        <is>
          <t>MONTHLY</t>
        </is>
      </c>
      <c r="D52" t="inlineStr">
        <is>
          <t>downside</t>
        </is>
      </c>
      <c r="E52" t="n">
        <v>0.12</v>
      </c>
      <c r="F52" t="inlineStr">
        <is>
          <t>share of survivors</t>
        </is>
      </c>
      <c r="G52" t="n">
        <v>0.09</v>
      </c>
      <c r="H52" t="n">
        <v>0.16</v>
      </c>
      <c r="I52" t="inlineStr">
        <is>
          <t>benchmark</t>
        </is>
      </c>
      <c r="J52" t="inlineStr">
        <is>
          <t>S15;S16;A01</t>
        </is>
      </c>
      <c r="K52" t="inlineStr">
        <is>
          <t>2026-10-27</t>
        </is>
      </c>
    </row>
    <row r="53">
      <c r="A53" t="inlineStr">
        <is>
          <t>churn_tail</t>
        </is>
      </c>
      <c r="B53" t="inlineStr">
        <is>
          <t>churn</t>
        </is>
      </c>
      <c r="C53" t="inlineStr">
        <is>
          <t>MONTHLY</t>
        </is>
      </c>
      <c r="D53" t="inlineStr">
        <is>
          <t>base</t>
        </is>
      </c>
      <c r="E53" t="n">
        <v>0.05</v>
      </c>
      <c r="F53" t="inlineStr">
        <is>
          <t>share of survivors / month</t>
        </is>
      </c>
      <c r="G53" t="n">
        <v>0.039</v>
      </c>
      <c r="H53" t="n">
        <v>0.06</v>
      </c>
      <c r="I53" t="inlineStr">
        <is>
          <t>benchmark</t>
        </is>
      </c>
      <c r="J53" t="inlineStr">
        <is>
          <t>S13;S14</t>
        </is>
      </c>
      <c r="K53" t="inlineStr">
        <is>
          <t>2026-10-27</t>
        </is>
      </c>
      <c r="L53" t="inlineStr">
        <is>
          <t>Spotify Premium 4.8% (Q4'19) and 3.9% (2021 avg); Nitro is more discretionary so slightly higher</t>
        </is>
      </c>
    </row>
    <row r="54">
      <c r="A54" t="inlineStr">
        <is>
          <t>churn_tail</t>
        </is>
      </c>
      <c r="B54" t="inlineStr">
        <is>
          <t>churn</t>
        </is>
      </c>
      <c r="C54" t="inlineStr">
        <is>
          <t>MONTHLY</t>
        </is>
      </c>
      <c r="D54" t="inlineStr">
        <is>
          <t>upside</t>
        </is>
      </c>
      <c r="E54" t="n">
        <v>0.03</v>
      </c>
      <c r="F54" t="inlineStr">
        <is>
          <t>share of survivors / month</t>
        </is>
      </c>
      <c r="G54" t="n">
        <v>0.02</v>
      </c>
      <c r="H54" t="n">
        <v>0.039</v>
      </c>
      <c r="I54" t="inlineStr">
        <is>
          <t>benchmark</t>
        </is>
      </c>
      <c r="J54" t="inlineStr">
        <is>
          <t>S14</t>
        </is>
      </c>
      <c r="K54" t="inlineStr">
        <is>
          <t>2026-10-27</t>
        </is>
      </c>
      <c r="L54" t="inlineStr">
        <is>
          <t>Spotify mature markets 1-2%; Nitro set above that</t>
        </is>
      </c>
    </row>
    <row r="55">
      <c r="A55" t="inlineStr">
        <is>
          <t>churn_tail</t>
        </is>
      </c>
      <c r="B55" t="inlineStr">
        <is>
          <t>churn</t>
        </is>
      </c>
      <c r="C55" t="inlineStr">
        <is>
          <t>MONTHLY</t>
        </is>
      </c>
      <c r="D55" t="inlineStr">
        <is>
          <t>downside</t>
        </is>
      </c>
      <c r="E55" t="n">
        <v>0.08</v>
      </c>
      <c r="F55" t="inlineStr">
        <is>
          <t>share of survivors / month</t>
        </is>
      </c>
      <c r="G55" t="n">
        <v>0.06</v>
      </c>
      <c r="H55" t="n">
        <v>0.1</v>
      </c>
      <c r="I55" t="inlineStr">
        <is>
          <t>benchmark</t>
        </is>
      </c>
      <c r="J55" t="inlineStr">
        <is>
          <t>S13;S15</t>
        </is>
      </c>
      <c r="K55" t="inlineStr">
        <is>
          <t>2026-10-27</t>
        </is>
      </c>
      <c r="L55" t="inlineStr">
        <is>
          <t>Early Spotify (7.5% Q4'15); Duolingo monthly 4.5-month average lifetime</t>
        </is>
      </c>
    </row>
    <row r="56">
      <c r="A56" t="inlineStr">
        <is>
          <t>annual_renewal_first</t>
        </is>
      </c>
      <c r="B56" t="inlineStr">
        <is>
          <t>churn</t>
        </is>
      </c>
      <c r="C56" t="inlineStr">
        <is>
          <t>ANNUAL</t>
        </is>
      </c>
      <c r="D56" t="inlineStr">
        <is>
          <t>base</t>
        </is>
      </c>
      <c r="E56" t="n">
        <v>0.45</v>
      </c>
      <c r="F56" t="inlineStr">
        <is>
          <t>share renewing</t>
        </is>
      </c>
      <c r="G56" t="n">
        <v>0.36</v>
      </c>
      <c r="H56" t="n">
        <v>0.55</v>
      </c>
      <c r="I56" t="inlineStr">
        <is>
          <t>benchmark</t>
        </is>
      </c>
      <c r="J56" t="inlineStr">
        <is>
          <t>S15;S16</t>
        </is>
      </c>
      <c r="K56" t="inlineStr">
        <is>
          <t>2026-10-27</t>
        </is>
      </c>
      <c r="L56" t="inlineStr">
        <is>
          <t>Duolingo ~40% first renewal; RevenueCat cheap annual up to 36%. Nitro set slightly above as a habit product</t>
        </is>
      </c>
    </row>
    <row r="57">
      <c r="A57" t="inlineStr">
        <is>
          <t>annual_renewal_first</t>
        </is>
      </c>
      <c r="B57" t="inlineStr">
        <is>
          <t>churn</t>
        </is>
      </c>
      <c r="C57" t="inlineStr">
        <is>
          <t>ANNUAL</t>
        </is>
      </c>
      <c r="D57" t="inlineStr">
        <is>
          <t>upside</t>
        </is>
      </c>
      <c r="E57" t="n">
        <v>0.55</v>
      </c>
      <c r="F57" t="inlineStr">
        <is>
          <t>share renewing</t>
        </is>
      </c>
      <c r="G57" t="n">
        <v>0.45</v>
      </c>
      <c r="H57" t="n">
        <v>0.65</v>
      </c>
      <c r="I57" t="inlineStr">
        <is>
          <t>benchmark</t>
        </is>
      </c>
      <c r="J57" t="inlineStr">
        <is>
          <t>S15;A01</t>
        </is>
      </c>
      <c r="K57" t="inlineStr">
        <is>
          <t>2026-10-27</t>
        </is>
      </c>
    </row>
    <row r="58">
      <c r="A58" t="inlineStr">
        <is>
          <t>annual_renewal_first</t>
        </is>
      </c>
      <c r="B58" t="inlineStr">
        <is>
          <t>churn</t>
        </is>
      </c>
      <c r="C58" t="inlineStr">
        <is>
          <t>ANNUAL</t>
        </is>
      </c>
      <c r="D58" t="inlineStr">
        <is>
          <t>downside</t>
        </is>
      </c>
      <c r="E58" t="n">
        <v>0.35</v>
      </c>
      <c r="F58" t="inlineStr">
        <is>
          <t>share renewing</t>
        </is>
      </c>
      <c r="G58" t="n">
        <v>0.3</v>
      </c>
      <c r="H58" t="n">
        <v>0.4</v>
      </c>
      <c r="I58" t="inlineStr">
        <is>
          <t>benchmark</t>
        </is>
      </c>
      <c r="J58" t="inlineStr">
        <is>
          <t>S16</t>
        </is>
      </c>
      <c r="K58" t="inlineStr">
        <is>
          <t>2026-10-27</t>
        </is>
      </c>
    </row>
    <row r="59">
      <c r="A59" t="inlineStr">
        <is>
          <t>annual_renewal_later</t>
        </is>
      </c>
      <c r="B59" t="inlineStr">
        <is>
          <t>churn</t>
        </is>
      </c>
      <c r="C59" t="inlineStr">
        <is>
          <t>ANNUAL</t>
        </is>
      </c>
      <c r="D59" t="inlineStr">
        <is>
          <t>base</t>
        </is>
      </c>
      <c r="E59" t="n">
        <v>0.65</v>
      </c>
      <c r="F59" t="inlineStr">
        <is>
          <t>share renewing</t>
        </is>
      </c>
      <c r="G59" t="n">
        <v>0.55</v>
      </c>
      <c r="H59" t="n">
        <v>0.75</v>
      </c>
      <c r="I59" t="inlineStr">
        <is>
          <t>proposed</t>
        </is>
      </c>
      <c r="J59" t="inlineStr">
        <is>
          <t>A01</t>
        </is>
      </c>
      <c r="K59" t="inlineStr">
        <is>
          <t>2026-10-27</t>
        </is>
      </c>
      <c r="L59" t="inlineStr">
        <is>
          <t>No public second-renewal data found; tenured renewers are stickier</t>
        </is>
      </c>
    </row>
    <row r="60">
      <c r="A60" t="inlineStr">
        <is>
          <t>annual_renewal_later</t>
        </is>
      </c>
      <c r="B60" t="inlineStr">
        <is>
          <t>churn</t>
        </is>
      </c>
      <c r="C60" t="inlineStr">
        <is>
          <t>ANNUAL</t>
        </is>
      </c>
      <c r="D60" t="inlineStr">
        <is>
          <t>upside</t>
        </is>
      </c>
      <c r="E60" t="n">
        <v>0.75</v>
      </c>
      <c r="F60" t="inlineStr">
        <is>
          <t>share renewing</t>
        </is>
      </c>
      <c r="G60" t="n">
        <v>0.65</v>
      </c>
      <c r="H60" t="n">
        <v>0.85</v>
      </c>
      <c r="I60" t="inlineStr">
        <is>
          <t>proposed</t>
        </is>
      </c>
      <c r="J60" t="inlineStr">
        <is>
          <t>A01</t>
        </is>
      </c>
      <c r="K60" t="inlineStr">
        <is>
          <t>2026-10-27</t>
        </is>
      </c>
    </row>
    <row r="61">
      <c r="A61" t="inlineStr">
        <is>
          <t>annual_renewal_later</t>
        </is>
      </c>
      <c r="B61" t="inlineStr">
        <is>
          <t>churn</t>
        </is>
      </c>
      <c r="C61" t="inlineStr">
        <is>
          <t>ANNUAL</t>
        </is>
      </c>
      <c r="D61" t="inlineStr">
        <is>
          <t>downside</t>
        </is>
      </c>
      <c r="E61" t="n">
        <v>0.55</v>
      </c>
      <c r="F61" t="inlineStr">
        <is>
          <t>share renewing</t>
        </is>
      </c>
      <c r="G61" t="n">
        <v>0.45</v>
      </c>
      <c r="H61" t="n">
        <v>0.65</v>
      </c>
      <c r="I61" t="inlineStr">
        <is>
          <t>proposed</t>
        </is>
      </c>
      <c r="J61" t="inlineStr">
        <is>
          <t>A01</t>
        </is>
      </c>
      <c r="K61" t="inlineStr">
        <is>
          <t>2026-10-27</t>
        </is>
      </c>
    </row>
    <row r="62">
      <c r="A62" t="inlineStr">
        <is>
          <t>react_rate</t>
        </is>
      </c>
      <c r="B62" t="inlineStr">
        <is>
          <t>reactivation</t>
        </is>
      </c>
      <c r="C62" t="inlineStr">
        <is>
          <t>all</t>
        </is>
      </c>
      <c r="D62" t="inlineStr">
        <is>
          <t>base</t>
        </is>
      </c>
      <c r="E62" t="n">
        <v>0.015</v>
      </c>
      <c r="F62" t="inlineStr">
        <is>
          <t>share of churned pool / month</t>
        </is>
      </c>
      <c r="G62" t="n">
        <v>0.005</v>
      </c>
      <c r="H62" t="n">
        <v>0.03</v>
      </c>
      <c r="I62" t="inlineStr">
        <is>
          <t>proposed</t>
        </is>
      </c>
      <c r="J62" t="inlineStr">
        <is>
          <t>A01</t>
        </is>
      </c>
      <c r="K62" t="inlineStr">
        <is>
          <t>2026-10-27</t>
        </is>
      </c>
      <c r="L62" t="inlineStr">
        <is>
          <t>No public win-back data; churned users within the window return at this rate</t>
        </is>
      </c>
    </row>
    <row r="63">
      <c r="A63" t="inlineStr">
        <is>
          <t>react_rate</t>
        </is>
      </c>
      <c r="B63" t="inlineStr">
        <is>
          <t>reactivation</t>
        </is>
      </c>
      <c r="C63" t="inlineStr">
        <is>
          <t>all</t>
        </is>
      </c>
      <c r="D63" t="inlineStr">
        <is>
          <t>upside</t>
        </is>
      </c>
      <c r="E63" t="n">
        <v>0.02</v>
      </c>
      <c r="F63" t="inlineStr">
        <is>
          <t>share of churned pool / month</t>
        </is>
      </c>
      <c r="G63" t="n">
        <v>0.01</v>
      </c>
      <c r="H63" t="n">
        <v>0.03</v>
      </c>
      <c r="I63" t="inlineStr">
        <is>
          <t>proposed</t>
        </is>
      </c>
      <c r="J63" t="inlineStr">
        <is>
          <t>A01</t>
        </is>
      </c>
      <c r="K63" t="inlineStr">
        <is>
          <t>2026-10-27</t>
        </is>
      </c>
    </row>
    <row r="64">
      <c r="A64" t="inlineStr">
        <is>
          <t>react_rate</t>
        </is>
      </c>
      <c r="B64" t="inlineStr">
        <is>
          <t>reactivation</t>
        </is>
      </c>
      <c r="C64" t="inlineStr">
        <is>
          <t>all</t>
        </is>
      </c>
      <c r="D64" t="inlineStr">
        <is>
          <t>downside</t>
        </is>
      </c>
      <c r="E64" t="n">
        <v>0.01</v>
      </c>
      <c r="F64" t="inlineStr">
        <is>
          <t>share of churned pool / month</t>
        </is>
      </c>
      <c r="G64" t="n">
        <v>0.005</v>
      </c>
      <c r="H64" t="n">
        <v>0.02</v>
      </c>
      <c r="I64" t="inlineStr">
        <is>
          <t>proposed</t>
        </is>
      </c>
      <c r="J64" t="inlineStr">
        <is>
          <t>A01</t>
        </is>
      </c>
      <c r="K64" t="inlineStr">
        <is>
          <t>2026-10-27</t>
        </is>
      </c>
    </row>
    <row r="65">
      <c r="A65" t="inlineStr">
        <is>
          <t>react_window_months</t>
        </is>
      </c>
      <c r="B65" t="inlineStr">
        <is>
          <t>reactivation</t>
        </is>
      </c>
      <c r="C65" t="inlineStr">
        <is>
          <t>all</t>
        </is>
      </c>
      <c r="D65" t="inlineStr">
        <is>
          <t>all</t>
        </is>
      </c>
      <c r="E65" t="n">
        <v>24</v>
      </c>
      <c r="F65" t="inlineStr">
        <is>
          <t>months</t>
        </is>
      </c>
      <c r="G65" t="n">
        <v>12</v>
      </c>
      <c r="H65" t="n">
        <v>36</v>
      </c>
      <c r="I65" t="inlineStr">
        <is>
          <t>proposed</t>
        </is>
      </c>
      <c r="J65" t="inlineStr">
        <is>
          <t>A01</t>
        </is>
      </c>
      <c r="K65" t="inlineStr">
        <is>
          <t>2026-10-27</t>
        </is>
      </c>
      <c r="L65" t="inlineStr">
        <is>
          <t>Churned users older than this drop out of the pool</t>
        </is>
      </c>
    </row>
    <row r="66">
      <c r="A66" t="inlineStr">
        <is>
          <t>react_churn_tail</t>
        </is>
      </c>
      <c r="B66" t="inlineStr">
        <is>
          <t>reactivation</t>
        </is>
      </c>
      <c r="C66" t="inlineStr">
        <is>
          <t>all</t>
        </is>
      </c>
      <c r="D66" t="inlineStr">
        <is>
          <t>all</t>
        </is>
      </c>
      <c r="E66" t="n">
        <v>0.07000000000000001</v>
      </c>
      <c r="F66" t="inlineStr">
        <is>
          <t>share of survivors / month</t>
        </is>
      </c>
      <c r="G66" t="n">
        <v>0.05</v>
      </c>
      <c r="H66" t="n">
        <v>0.1</v>
      </c>
      <c r="I66" t="inlineStr">
        <is>
          <t>proposed</t>
        </is>
      </c>
      <c r="J66" t="inlineStr">
        <is>
          <t>A01</t>
        </is>
      </c>
      <c r="K66" t="inlineStr">
        <is>
          <t>2026-10-27</t>
        </is>
      </c>
      <c r="L66" t="inlineStr">
        <is>
          <t>Reactivated users rejoin on monthly plans; flatter than new-user month-1 churn but above base tail</t>
        </is>
      </c>
    </row>
    <row r="67">
      <c r="A67" t="inlineStr">
        <is>
          <t>open_subs</t>
        </is>
      </c>
      <c r="B67" t="inlineStr">
        <is>
          <t>opening_book</t>
        </is>
      </c>
      <c r="C67" t="inlineStr">
        <is>
          <t>all</t>
        </is>
      </c>
      <c r="D67" t="inlineStr">
        <is>
          <t>all</t>
        </is>
      </c>
      <c r="E67" t="n">
        <v>6.75</v>
      </c>
      <c r="F67" t="inlineStr">
        <is>
          <t>M subscribers</t>
        </is>
      </c>
      <c r="G67" t="n">
        <v>6</v>
      </c>
      <c r="H67" t="n">
        <v>7.3</v>
      </c>
      <c r="I67" t="inlineStr">
        <is>
          <t>derived</t>
        </is>
      </c>
      <c r="J67" t="inlineStr">
        <is>
          <t>S01;S02;S03</t>
        </is>
      </c>
      <c r="K67" t="inlineStr">
        <is>
          <t>2026-10-27</t>
        </is>
      </c>
      <c r="L67" t="inlineStr">
        <is>
          <t>Jan 2025 book = 7.3M mid-2025 / 1.17^0.5 (17% YoY growth per Feedough)</t>
        </is>
      </c>
    </row>
    <row r="68">
      <c r="A68" t="inlineStr">
        <is>
          <t>open_plan_mix</t>
        </is>
      </c>
      <c r="B68" t="inlineStr">
        <is>
          <t>opening_book</t>
        </is>
      </c>
      <c r="C68" t="inlineStr">
        <is>
          <t>NITRO_M</t>
        </is>
      </c>
      <c r="D68" t="inlineStr">
        <is>
          <t>all</t>
        </is>
      </c>
      <c r="E68" t="n">
        <v>0.4</v>
      </c>
      <c r="F68" t="inlineStr">
        <is>
          <t>share</t>
        </is>
      </c>
      <c r="G68" t="n">
        <v>0.3</v>
      </c>
      <c r="H68" t="n">
        <v>0.5</v>
      </c>
      <c r="I68" t="inlineStr">
        <is>
          <t>proposed</t>
        </is>
      </c>
      <c r="J68" t="inlineStr">
        <is>
          <t>A01</t>
        </is>
      </c>
      <c r="K68" t="inlineStr">
        <is>
          <t>2026-10-27</t>
        </is>
      </c>
      <c r="L68" t="inlineStr">
        <is>
          <t>Tenured book skews to annual vs gross adds</t>
        </is>
      </c>
    </row>
    <row r="69">
      <c r="A69" t="inlineStr">
        <is>
          <t>open_plan_mix</t>
        </is>
      </c>
      <c r="B69" t="inlineStr">
        <is>
          <t>opening_book</t>
        </is>
      </c>
      <c r="C69" t="inlineStr">
        <is>
          <t>NITRO_A</t>
        </is>
      </c>
      <c r="D69" t="inlineStr">
        <is>
          <t>all</t>
        </is>
      </c>
      <c r="E69" t="n">
        <v>0.22</v>
      </c>
      <c r="F69" t="inlineStr">
        <is>
          <t>share</t>
        </is>
      </c>
      <c r="G69" t="n">
        <v>0.12</v>
      </c>
      <c r="H69" t="n">
        <v>0.3</v>
      </c>
      <c r="I69" t="inlineStr">
        <is>
          <t>proposed</t>
        </is>
      </c>
      <c r="J69" t="inlineStr">
        <is>
          <t>A01</t>
        </is>
      </c>
      <c r="K69" t="inlineStr">
        <is>
          <t>2026-10-27</t>
        </is>
      </c>
    </row>
    <row r="70">
      <c r="A70" t="inlineStr">
        <is>
          <t>open_plan_mix</t>
        </is>
      </c>
      <c r="B70" t="inlineStr">
        <is>
          <t>opening_book</t>
        </is>
      </c>
      <c r="C70" t="inlineStr">
        <is>
          <t>BASIC_M</t>
        </is>
      </c>
      <c r="D70" t="inlineStr">
        <is>
          <t>all</t>
        </is>
      </c>
      <c r="E70" t="n">
        <v>0.28</v>
      </c>
      <c r="F70" t="inlineStr">
        <is>
          <t>share</t>
        </is>
      </c>
      <c r="G70" t="n">
        <v>0.2</v>
      </c>
      <c r="H70" t="n">
        <v>0.4</v>
      </c>
      <c r="I70" t="inlineStr">
        <is>
          <t>proposed</t>
        </is>
      </c>
      <c r="J70" t="inlineStr">
        <is>
          <t>A01</t>
        </is>
      </c>
      <c r="K70" t="inlineStr">
        <is>
          <t>2026-10-27</t>
        </is>
      </c>
    </row>
    <row r="71">
      <c r="A71" t="inlineStr">
        <is>
          <t>open_plan_mix</t>
        </is>
      </c>
      <c r="B71" t="inlineStr">
        <is>
          <t>opening_book</t>
        </is>
      </c>
      <c r="C71" t="inlineStr">
        <is>
          <t>BASIC_A</t>
        </is>
      </c>
      <c r="D71" t="inlineStr">
        <is>
          <t>all</t>
        </is>
      </c>
      <c r="E71" t="n">
        <v>0.1</v>
      </c>
      <c r="F71" t="inlineStr">
        <is>
          <t>share</t>
        </is>
      </c>
      <c r="G71" t="n">
        <v>0.05</v>
      </c>
      <c r="H71" t="n">
        <v>0.15</v>
      </c>
      <c r="I71" t="inlineStr">
        <is>
          <t>proposed</t>
        </is>
      </c>
      <c r="J71" t="inlineStr">
        <is>
          <t>A01</t>
        </is>
      </c>
      <c r="K71" t="inlineStr">
        <is>
          <t>2026-10-27</t>
        </is>
      </c>
    </row>
    <row r="72">
      <c r="A72" t="inlineStr">
        <is>
          <t>open_region_mix</t>
        </is>
      </c>
      <c r="B72" t="inlineStr">
        <is>
          <t>opening_book</t>
        </is>
      </c>
      <c r="C72" t="inlineStr">
        <is>
          <t>US_CA</t>
        </is>
      </c>
      <c r="D72" t="inlineStr">
        <is>
          <t>all</t>
        </is>
      </c>
      <c r="E72" t="n">
        <v>0.45</v>
      </c>
      <c r="F72" t="inlineStr">
        <is>
          <t>share</t>
        </is>
      </c>
      <c r="G72" t="n">
        <v>0.38</v>
      </c>
      <c r="H72" t="n">
        <v>0.52</v>
      </c>
      <c r="I72" t="inlineStr">
        <is>
          <t>proposed</t>
        </is>
      </c>
      <c r="J72" t="inlineStr">
        <is>
          <t>A01</t>
        </is>
      </c>
      <c r="K72" t="inlineStr">
        <is>
          <t>2026-10-27</t>
        </is>
      </c>
      <c r="L72" t="inlineStr">
        <is>
          <t>Payers skew to high-income regions vs MAU mix</t>
        </is>
      </c>
    </row>
    <row r="73">
      <c r="A73" t="inlineStr">
        <is>
          <t>open_region_mix</t>
        </is>
      </c>
      <c r="B73" t="inlineStr">
        <is>
          <t>opening_book</t>
        </is>
      </c>
      <c r="C73" t="inlineStr">
        <is>
          <t>EUROPE</t>
        </is>
      </c>
      <c r="D73" t="inlineStr">
        <is>
          <t>all</t>
        </is>
      </c>
      <c r="E73" t="n">
        <v>0.3</v>
      </c>
      <c r="F73" t="inlineStr">
        <is>
          <t>share</t>
        </is>
      </c>
      <c r="G73" t="n">
        <v>0.25</v>
      </c>
      <c r="H73" t="n">
        <v>0.35</v>
      </c>
      <c r="I73" t="inlineStr">
        <is>
          <t>proposed</t>
        </is>
      </c>
      <c r="J73" t="inlineStr">
        <is>
          <t>A01</t>
        </is>
      </c>
      <c r="K73" t="inlineStr">
        <is>
          <t>2026-10-27</t>
        </is>
      </c>
    </row>
    <row r="74">
      <c r="A74" t="inlineStr">
        <is>
          <t>open_region_mix</t>
        </is>
      </c>
      <c r="B74" t="inlineStr">
        <is>
          <t>opening_book</t>
        </is>
      </c>
      <c r="C74" t="inlineStr">
        <is>
          <t>LATAM</t>
        </is>
      </c>
      <c r="D74" t="inlineStr">
        <is>
          <t>all</t>
        </is>
      </c>
      <c r="E74" t="n">
        <v>0.08</v>
      </c>
      <c r="F74" t="inlineStr">
        <is>
          <t>share</t>
        </is>
      </c>
      <c r="G74" t="n">
        <v>0.05</v>
      </c>
      <c r="H74" t="n">
        <v>0.12</v>
      </c>
      <c r="I74" t="inlineStr">
        <is>
          <t>proposed</t>
        </is>
      </c>
      <c r="J74" t="inlineStr">
        <is>
          <t>A01</t>
        </is>
      </c>
      <c r="K74" t="inlineStr">
        <is>
          <t>2026-10-27</t>
        </is>
      </c>
    </row>
    <row r="75">
      <c r="A75" t="inlineStr">
        <is>
          <t>open_region_mix</t>
        </is>
      </c>
      <c r="B75" t="inlineStr">
        <is>
          <t>opening_book</t>
        </is>
      </c>
      <c r="C75" t="inlineStr">
        <is>
          <t>APAC</t>
        </is>
      </c>
      <c r="D75" t="inlineStr">
        <is>
          <t>all</t>
        </is>
      </c>
      <c r="E75" t="n">
        <v>0.1</v>
      </c>
      <c r="F75" t="inlineStr">
        <is>
          <t>share</t>
        </is>
      </c>
      <c r="G75" t="n">
        <v>0.06</v>
      </c>
      <c r="H75" t="n">
        <v>0.14</v>
      </c>
      <c r="I75" t="inlineStr">
        <is>
          <t>proposed</t>
        </is>
      </c>
      <c r="J75" t="inlineStr">
        <is>
          <t>A01</t>
        </is>
      </c>
      <c r="K75" t="inlineStr">
        <is>
          <t>2026-10-27</t>
        </is>
      </c>
    </row>
    <row r="76">
      <c r="A76" t="inlineStr">
        <is>
          <t>open_region_mix</t>
        </is>
      </c>
      <c r="B76" t="inlineStr">
        <is>
          <t>opening_book</t>
        </is>
      </c>
      <c r="C76" t="inlineStr">
        <is>
          <t>ROW</t>
        </is>
      </c>
      <c r="D76" t="inlineStr">
        <is>
          <t>all</t>
        </is>
      </c>
      <c r="E76" t="n">
        <v>0.07000000000000001</v>
      </c>
      <c r="F76" t="inlineStr">
        <is>
          <t>share</t>
        </is>
      </c>
      <c r="G76" t="n">
        <v>0.04</v>
      </c>
      <c r="H76" t="n">
        <v>0.1</v>
      </c>
      <c r="I76" t="inlineStr">
        <is>
          <t>proposed</t>
        </is>
      </c>
      <c r="J76" t="inlineStr">
        <is>
          <t>A01</t>
        </is>
      </c>
      <c r="K76" t="inlineStr">
        <is>
          <t>2026-10-27</t>
        </is>
      </c>
    </row>
    <row r="77">
      <c r="A77" t="inlineStr">
        <is>
          <t>open_y1_share</t>
        </is>
      </c>
      <c r="B77" t="inlineStr">
        <is>
          <t>opening_book</t>
        </is>
      </c>
      <c r="C77" t="inlineStr">
        <is>
          <t>all</t>
        </is>
      </c>
      <c r="D77" t="inlineStr">
        <is>
          <t>all</t>
        </is>
      </c>
      <c r="E77" t="n">
        <v>0.35</v>
      </c>
      <c r="F77" t="inlineStr">
        <is>
          <t>share of book in first year of tenure</t>
        </is>
      </c>
      <c r="G77" t="n">
        <v>0.25</v>
      </c>
      <c r="H77" t="n">
        <v>0.45</v>
      </c>
      <c r="I77" t="inlineStr">
        <is>
          <t>proposed</t>
        </is>
      </c>
      <c r="J77" t="inlineStr">
        <is>
          <t>A01</t>
        </is>
      </c>
      <c r="K77" t="inlineStr">
        <is>
          <t>2026-10-28</t>
        </is>
      </c>
      <c r="L77" t="inlineStr">
        <is>
          <t>Drives the Apple 30% vs 15% fee split for the opening book only; new cohorts get tenure from the cohort engine</t>
        </is>
      </c>
    </row>
    <row r="78">
      <c r="A78" t="inlineStr">
        <is>
          <t>open_churn_tail</t>
        </is>
      </c>
      <c r="B78" t="inlineStr">
        <is>
          <t>opening_book</t>
        </is>
      </c>
      <c r="C78" t="inlineStr">
        <is>
          <t>MONTHLY</t>
        </is>
      </c>
      <c r="D78" t="inlineStr">
        <is>
          <t>base</t>
        </is>
      </c>
      <c r="E78" t="n">
        <v>0.035</v>
      </c>
      <c r="F78" t="inlineStr">
        <is>
          <t>share / month</t>
        </is>
      </c>
      <c r="G78" t="n">
        <v>0.025</v>
      </c>
      <c r="H78" t="n">
        <v>0.05</v>
      </c>
      <c r="I78" t="inlineStr">
        <is>
          <t>benchmark</t>
        </is>
      </c>
      <c r="J78" t="inlineStr">
        <is>
          <t>S13;S14</t>
        </is>
      </c>
      <c r="K78" t="inlineStr">
        <is>
          <t>2026-10-27</t>
        </is>
      </c>
      <c r="L78" t="inlineStr">
        <is>
          <t>Tenured monthly subscribers: between Spotify global (3.9%) and mature (1-2%)</t>
        </is>
      </c>
    </row>
    <row r="79">
      <c r="A79" t="inlineStr">
        <is>
          <t>open_churn_tail</t>
        </is>
      </c>
      <c r="B79" t="inlineStr">
        <is>
          <t>opening_book</t>
        </is>
      </c>
      <c r="C79" t="inlineStr">
        <is>
          <t>MONTHLY</t>
        </is>
      </c>
      <c r="D79" t="inlineStr">
        <is>
          <t>upside</t>
        </is>
      </c>
      <c r="E79" t="n">
        <v>0.025</v>
      </c>
      <c r="F79" t="inlineStr">
        <is>
          <t>share / month</t>
        </is>
      </c>
      <c r="G79" t="n">
        <v>0.015</v>
      </c>
      <c r="H79" t="n">
        <v>0.035</v>
      </c>
      <c r="I79" t="inlineStr">
        <is>
          <t>benchmark</t>
        </is>
      </c>
      <c r="J79" t="inlineStr">
        <is>
          <t>S14</t>
        </is>
      </c>
      <c r="K79" t="inlineStr">
        <is>
          <t>2026-10-27</t>
        </is>
      </c>
    </row>
    <row r="80">
      <c r="A80" t="inlineStr">
        <is>
          <t>open_churn_tail</t>
        </is>
      </c>
      <c r="B80" t="inlineStr">
        <is>
          <t>opening_book</t>
        </is>
      </c>
      <c r="C80" t="inlineStr">
        <is>
          <t>MONTHLY</t>
        </is>
      </c>
      <c r="D80" t="inlineStr">
        <is>
          <t>downside</t>
        </is>
      </c>
      <c r="E80" t="n">
        <v>0.05</v>
      </c>
      <c r="F80" t="inlineStr">
        <is>
          <t>share / month</t>
        </is>
      </c>
      <c r="G80" t="n">
        <v>0.035</v>
      </c>
      <c r="H80" t="n">
        <v>0.06</v>
      </c>
      <c r="I80" t="inlineStr">
        <is>
          <t>benchmark</t>
        </is>
      </c>
      <c r="J80" t="inlineStr">
        <is>
          <t>S13</t>
        </is>
      </c>
      <c r="K80" t="inlineStr">
        <is>
          <t>2026-10-27</t>
        </is>
      </c>
    </row>
    <row r="81">
      <c r="A81" t="inlineStr">
        <is>
          <t>list_price</t>
        </is>
      </c>
      <c r="B81" t="inlineStr">
        <is>
          <t>pricing</t>
        </is>
      </c>
      <c r="C81" t="inlineStr">
        <is>
          <t>NITRO_M</t>
        </is>
      </c>
      <c r="D81" t="inlineStr">
        <is>
          <t>all</t>
        </is>
      </c>
      <c r="E81" t="n">
        <v>9.99</v>
      </c>
      <c r="F81" t="inlineStr">
        <is>
          <t>USD / month</t>
        </is>
      </c>
      <c r="I81" t="inlineStr">
        <is>
          <t>verified</t>
        </is>
      </c>
      <c r="J81" t="inlineStr">
        <is>
          <t>S08;S09</t>
        </is>
      </c>
      <c r="K81" t="inlineStr">
        <is>
          <t>2026-07-01</t>
        </is>
      </c>
      <c r="L81" t="inlineStr">
        <is>
          <t>US list price; unchanged for years</t>
        </is>
      </c>
    </row>
    <row r="82">
      <c r="A82" t="inlineStr">
        <is>
          <t>list_price</t>
        </is>
      </c>
      <c r="B82" t="inlineStr">
        <is>
          <t>pricing</t>
        </is>
      </c>
      <c r="C82" t="inlineStr">
        <is>
          <t>NITRO_A</t>
        </is>
      </c>
      <c r="D82" t="inlineStr">
        <is>
          <t>all</t>
        </is>
      </c>
      <c r="E82" t="n">
        <v>99.98999999999999</v>
      </c>
      <c r="F82" t="inlineStr">
        <is>
          <t>USD / year</t>
        </is>
      </c>
      <c r="I82" t="inlineStr">
        <is>
          <t>verified</t>
        </is>
      </c>
      <c r="J82" t="inlineStr">
        <is>
          <t>S08;S09</t>
        </is>
      </c>
      <c r="K82" t="inlineStr">
        <is>
          <t>2026-07-01</t>
        </is>
      </c>
      <c r="L82" t="inlineStr">
        <is>
          <t>~17% below 12x monthly</t>
        </is>
      </c>
    </row>
    <row r="83">
      <c r="A83" t="inlineStr">
        <is>
          <t>list_price</t>
        </is>
      </c>
      <c r="B83" t="inlineStr">
        <is>
          <t>pricing</t>
        </is>
      </c>
      <c r="C83" t="inlineStr">
        <is>
          <t>BASIC_M</t>
        </is>
      </c>
      <c r="D83" t="inlineStr">
        <is>
          <t>all</t>
        </is>
      </c>
      <c r="E83" t="n">
        <v>2.99</v>
      </c>
      <c r="F83" t="inlineStr">
        <is>
          <t>USD / month</t>
        </is>
      </c>
      <c r="I83" t="inlineStr">
        <is>
          <t>verified</t>
        </is>
      </c>
      <c r="J83" t="inlineStr">
        <is>
          <t>S08;S09</t>
        </is>
      </c>
      <c r="K83" t="inlineStr">
        <is>
          <t>2026-07-01</t>
        </is>
      </c>
    </row>
    <row r="84">
      <c r="A84" t="inlineStr">
        <is>
          <t>list_price</t>
        </is>
      </c>
      <c r="B84" t="inlineStr">
        <is>
          <t>pricing</t>
        </is>
      </c>
      <c r="C84" t="inlineStr">
        <is>
          <t>BASIC_A</t>
        </is>
      </c>
      <c r="D84" t="inlineStr">
        <is>
          <t>all</t>
        </is>
      </c>
      <c r="E84" t="n">
        <v>29.99</v>
      </c>
      <c r="F84" t="inlineStr">
        <is>
          <t>USD / year</t>
        </is>
      </c>
      <c r="I84" t="inlineStr">
        <is>
          <t>verified</t>
        </is>
      </c>
      <c r="J84" t="inlineStr">
        <is>
          <t>S08;S09</t>
        </is>
      </c>
      <c r="K84" t="inlineStr">
        <is>
          <t>2026-07-01</t>
        </is>
      </c>
    </row>
    <row r="85">
      <c r="A85" t="inlineStr">
        <is>
          <t>price_index</t>
        </is>
      </c>
      <c r="B85" t="inlineStr">
        <is>
          <t>pricing</t>
        </is>
      </c>
      <c r="C85" t="inlineStr">
        <is>
          <t>US_CA</t>
        </is>
      </c>
      <c r="D85" t="inlineStr">
        <is>
          <t>all</t>
        </is>
      </c>
      <c r="E85" t="n">
        <v>1</v>
      </c>
      <c r="F85" t="inlineStr">
        <is>
          <t>x US price in USD at 2025 avg FX</t>
        </is>
      </c>
      <c r="I85" t="inlineStr">
        <is>
          <t>design</t>
        </is>
      </c>
      <c r="J85" t="inlineStr">
        <is>
          <t>P01</t>
        </is>
      </c>
      <c r="K85" t="inlineStr">
        <is>
          <t>2026-10-27</t>
        </is>
      </c>
      <c r="L85" t="inlineStr">
        <is>
          <t>Reference market</t>
        </is>
      </c>
    </row>
    <row r="86">
      <c r="A86" t="inlineStr">
        <is>
          <t>price_index</t>
        </is>
      </c>
      <c r="B86" t="inlineStr">
        <is>
          <t>pricing</t>
        </is>
      </c>
      <c r="C86" t="inlineStr">
        <is>
          <t>EUROPE</t>
        </is>
      </c>
      <c r="D86" t="inlineStr">
        <is>
          <t>all</t>
        </is>
      </c>
      <c r="E86" t="n">
        <v>1.1</v>
      </c>
      <c r="F86" t="inlineStr">
        <is>
          <t>x US price in USD at 2025 avg FX</t>
        </is>
      </c>
      <c r="G86" t="n">
        <v>1</v>
      </c>
      <c r="H86" t="n">
        <v>1.15</v>
      </c>
      <c r="I86" t="inlineStr">
        <is>
          <t>proposed</t>
        </is>
      </c>
      <c r="J86" t="inlineStr">
        <is>
          <t>A01</t>
        </is>
      </c>
      <c r="K86" t="inlineStr">
        <is>
          <t>2026-10-27</t>
        </is>
      </c>
      <c r="L86" t="inlineStr">
        <is>
          <t>Assumes EUR 9.99 VAT-inclusive (~$11.30 at 2025 avg FX). EUR price NOT verified: check at checkout</t>
        </is>
      </c>
    </row>
    <row r="87">
      <c r="A87" t="inlineStr">
        <is>
          <t>price_index</t>
        </is>
      </c>
      <c r="B87" t="inlineStr">
        <is>
          <t>pricing</t>
        </is>
      </c>
      <c r="C87" t="inlineStr">
        <is>
          <t>LATAM</t>
        </is>
      </c>
      <c r="D87" t="inlineStr">
        <is>
          <t>all</t>
        </is>
      </c>
      <c r="E87" t="n">
        <v>0.45</v>
      </c>
      <c r="F87" t="inlineStr">
        <is>
          <t>x US price in USD at 2025 avg FX</t>
        </is>
      </c>
      <c r="G87" t="n">
        <v>0.3</v>
      </c>
      <c r="H87" t="n">
        <v>0.6</v>
      </c>
      <c r="I87" t="inlineStr">
        <is>
          <t>proposed</t>
        </is>
      </c>
      <c r="J87" t="inlineStr">
        <is>
          <t>S10;A01</t>
        </is>
      </c>
      <c r="K87" t="inlineStr">
        <is>
          <t>2026-10-27</t>
        </is>
      </c>
      <c r="L87" t="inlineStr">
        <is>
          <t>Localized pricing exists in Brazil per forum posts; level unverified</t>
        </is>
      </c>
    </row>
    <row r="88">
      <c r="A88" t="inlineStr">
        <is>
          <t>price_index</t>
        </is>
      </c>
      <c r="B88" t="inlineStr">
        <is>
          <t>pricing</t>
        </is>
      </c>
      <c r="C88" t="inlineStr">
        <is>
          <t>APAC</t>
        </is>
      </c>
      <c r="D88" t="inlineStr">
        <is>
          <t>all</t>
        </is>
      </c>
      <c r="E88" t="n">
        <v>0.75</v>
      </c>
      <c r="F88" t="inlineStr">
        <is>
          <t>x US price in USD at 2025 avg FX</t>
        </is>
      </c>
      <c r="G88" t="n">
        <v>0.5</v>
      </c>
      <c r="H88" t="n">
        <v>1</v>
      </c>
      <c r="I88" t="inlineStr">
        <is>
          <t>proposed</t>
        </is>
      </c>
      <c r="J88" t="inlineStr">
        <is>
          <t>S10;A01</t>
        </is>
      </c>
      <c r="K88" t="inlineStr">
        <is>
          <t>2026-10-27</t>
        </is>
      </c>
      <c r="L88" t="inlineStr">
        <is>
          <t>Japan localized; India reportedly not localized (~INR 850 = ~$10)</t>
        </is>
      </c>
    </row>
    <row r="89">
      <c r="A89" t="inlineStr">
        <is>
          <t>price_index</t>
        </is>
      </c>
      <c r="B89" t="inlineStr">
        <is>
          <t>pricing</t>
        </is>
      </c>
      <c r="C89" t="inlineStr">
        <is>
          <t>ROW</t>
        </is>
      </c>
      <c r="D89" t="inlineStr">
        <is>
          <t>all</t>
        </is>
      </c>
      <c r="E89" t="n">
        <v>0.6</v>
      </c>
      <c r="F89" t="inlineStr">
        <is>
          <t>x US price in USD at 2025 avg FX</t>
        </is>
      </c>
      <c r="G89" t="n">
        <v>0.3</v>
      </c>
      <c r="H89" t="n">
        <v>0.8</v>
      </c>
      <c r="I89" t="inlineStr">
        <is>
          <t>proposed</t>
        </is>
      </c>
      <c r="J89" t="inlineStr">
        <is>
          <t>S10;A01</t>
        </is>
      </c>
      <c r="K89" t="inlineStr">
        <is>
          <t>2026-10-27</t>
        </is>
      </c>
      <c r="L89" t="inlineStr">
        <is>
          <t>Turkey ~$3.20 per forum anecdote; RoW blends deep and no discounts</t>
        </is>
      </c>
    </row>
    <row r="90">
      <c r="A90" t="inlineStr">
        <is>
          <t>indirect_tax</t>
        </is>
      </c>
      <c r="B90" t="inlineStr">
        <is>
          <t>pricing</t>
        </is>
      </c>
      <c r="C90" t="inlineStr">
        <is>
          <t>US_CA</t>
        </is>
      </c>
      <c r="D90" t="inlineStr">
        <is>
          <t>all</t>
        </is>
      </c>
      <c r="E90" t="n">
        <v>0</v>
      </c>
      <c r="F90" t="inlineStr">
        <is>
          <t>share of gross price</t>
        </is>
      </c>
      <c r="I90" t="inlineStr">
        <is>
          <t>design</t>
        </is>
      </c>
      <c r="J90" t="inlineStr">
        <is>
          <t>P01</t>
        </is>
      </c>
      <c r="K90" t="inlineStr">
        <is>
          <t>2026-10-27</t>
        </is>
      </c>
      <c r="L90" t="inlineStr">
        <is>
          <t>US sales tax is added on top of list price so it is not in revenue</t>
        </is>
      </c>
    </row>
    <row r="91">
      <c r="A91" t="inlineStr">
        <is>
          <t>indirect_tax</t>
        </is>
      </c>
      <c r="B91" t="inlineStr">
        <is>
          <t>pricing</t>
        </is>
      </c>
      <c r="C91" t="inlineStr">
        <is>
          <t>EUROPE</t>
        </is>
      </c>
      <c r="D91" t="inlineStr">
        <is>
          <t>all</t>
        </is>
      </c>
      <c r="E91" t="n">
        <v>0.167</v>
      </c>
      <c r="F91" t="inlineStr">
        <is>
          <t>share of gross price</t>
        </is>
      </c>
      <c r="G91" t="n">
        <v>0.15</v>
      </c>
      <c r="H91" t="n">
        <v>0.18</v>
      </c>
      <c r="I91" t="inlineStr">
        <is>
          <t>proposed</t>
        </is>
      </c>
      <c r="J91" t="inlineStr">
        <is>
          <t>A01</t>
        </is>
      </c>
      <c r="K91" t="inlineStr">
        <is>
          <t>2026-10-27</t>
        </is>
      </c>
      <c r="L91" t="inlineStr">
        <is>
          <t>Prices shown VAT-inclusive. A ~20% VAT rate removes 0.20/1.20 = 16.7% of the gross price; EU rates run 17-27%</t>
        </is>
      </c>
    </row>
    <row r="92">
      <c r="A92" t="inlineStr">
        <is>
          <t>indirect_tax</t>
        </is>
      </c>
      <c r="B92" t="inlineStr">
        <is>
          <t>pricing</t>
        </is>
      </c>
      <c r="C92" t="inlineStr">
        <is>
          <t>LATAM</t>
        </is>
      </c>
      <c r="D92" t="inlineStr">
        <is>
          <t>all</t>
        </is>
      </c>
      <c r="E92" t="n">
        <v>0.12</v>
      </c>
      <c r="F92" t="inlineStr">
        <is>
          <t>share of gross price</t>
        </is>
      </c>
      <c r="G92" t="n">
        <v>0.05</v>
      </c>
      <c r="H92" t="n">
        <v>0.2</v>
      </c>
      <c r="I92" t="inlineStr">
        <is>
          <t>proposed</t>
        </is>
      </c>
      <c r="J92" t="inlineStr">
        <is>
          <t>A01</t>
        </is>
      </c>
      <c r="K92" t="inlineStr">
        <is>
          <t>2026-10-27</t>
        </is>
      </c>
      <c r="L92" t="inlineStr">
        <is>
          <t>Digital services taxes vary by country</t>
        </is>
      </c>
    </row>
    <row r="93">
      <c r="A93" t="inlineStr">
        <is>
          <t>indirect_tax</t>
        </is>
      </c>
      <c r="B93" t="inlineStr">
        <is>
          <t>pricing</t>
        </is>
      </c>
      <c r="C93" t="inlineStr">
        <is>
          <t>APAC</t>
        </is>
      </c>
      <c r="D93" t="inlineStr">
        <is>
          <t>all</t>
        </is>
      </c>
      <c r="E93" t="n">
        <v>0.1</v>
      </c>
      <c r="F93" t="inlineStr">
        <is>
          <t>share of gross price</t>
        </is>
      </c>
      <c r="G93" t="n">
        <v>0.05</v>
      </c>
      <c r="H93" t="n">
        <v>0.15</v>
      </c>
      <c r="I93" t="inlineStr">
        <is>
          <t>proposed</t>
        </is>
      </c>
      <c r="J93" t="inlineStr">
        <is>
          <t>A01</t>
        </is>
      </c>
      <c r="K93" t="inlineStr">
        <is>
          <t>2026-10-27</t>
        </is>
      </c>
      <c r="L93" t="inlineStr">
        <is>
          <t>Japan consumption tax 10%; India GST 18%</t>
        </is>
      </c>
    </row>
    <row r="94">
      <c r="A94" t="inlineStr">
        <is>
          <t>indirect_tax</t>
        </is>
      </c>
      <c r="B94" t="inlineStr">
        <is>
          <t>pricing</t>
        </is>
      </c>
      <c r="C94" t="inlineStr">
        <is>
          <t>ROW</t>
        </is>
      </c>
      <c r="D94" t="inlineStr">
        <is>
          <t>all</t>
        </is>
      </c>
      <c r="E94" t="n">
        <v>0.1</v>
      </c>
      <c r="F94" t="inlineStr">
        <is>
          <t>share of gross price</t>
        </is>
      </c>
      <c r="G94" t="n">
        <v>0.05</v>
      </c>
      <c r="H94" t="n">
        <v>0.2</v>
      </c>
      <c r="I94" t="inlineStr">
        <is>
          <t>proposed</t>
        </is>
      </c>
      <c r="J94" t="inlineStr">
        <is>
          <t>A01</t>
        </is>
      </c>
      <c r="K94" t="inlineStr">
        <is>
          <t>2026-10-27</t>
        </is>
      </c>
    </row>
    <row r="95">
      <c r="A95" t="inlineStr">
        <is>
          <t>trial_share</t>
        </is>
      </c>
      <c r="B95" t="inlineStr">
        <is>
          <t>promo</t>
        </is>
      </c>
      <c r="C95" t="inlineStr">
        <is>
          <t>all</t>
        </is>
      </c>
      <c r="D95" t="inlineStr">
        <is>
          <t>all</t>
        </is>
      </c>
      <c r="E95" t="n">
        <v>0.15</v>
      </c>
      <c r="F95" t="inlineStr">
        <is>
          <t>share of gross adds starting on a free trial</t>
        </is>
      </c>
      <c r="G95" t="n">
        <v>0</v>
      </c>
      <c r="H95" t="n">
        <v>0.4</v>
      </c>
      <c r="I95" t="inlineStr">
        <is>
          <t>proposed</t>
        </is>
      </c>
      <c r="J95" t="inlineStr">
        <is>
          <t>A01</t>
        </is>
      </c>
      <c r="K95" t="inlineStr">
        <is>
          <t>2026-10-28</t>
        </is>
      </c>
      <c r="L95" t="inlineStr">
        <is>
          <t>Partner promos and free trial months. Trialists pay $0 while in trial, then convert or leave</t>
        </is>
      </c>
    </row>
    <row r="96">
      <c r="A96" t="inlineStr">
        <is>
          <t>trial_months</t>
        </is>
      </c>
      <c r="B96" t="inlineStr">
        <is>
          <t>promo</t>
        </is>
      </c>
      <c r="C96" t="inlineStr">
        <is>
          <t>all</t>
        </is>
      </c>
      <c r="D96" t="inlineStr">
        <is>
          <t>all</t>
        </is>
      </c>
      <c r="E96" t="n">
        <v>1</v>
      </c>
      <c r="F96" t="inlineStr">
        <is>
          <t>months</t>
        </is>
      </c>
      <c r="G96" t="n">
        <v>1</v>
      </c>
      <c r="H96" t="n">
        <v>3</v>
      </c>
      <c r="I96" t="inlineStr">
        <is>
          <t>proposed</t>
        </is>
      </c>
      <c r="J96" t="inlineStr">
        <is>
          <t>A01</t>
        </is>
      </c>
      <c r="K96" t="inlineStr">
        <is>
          <t>2026-10-28</t>
        </is>
      </c>
      <c r="L96" t="inlineStr">
        <is>
          <t>Length of the free period</t>
        </is>
      </c>
    </row>
    <row r="97">
      <c r="A97" t="inlineStr">
        <is>
          <t>trial_to_paid</t>
        </is>
      </c>
      <c r="B97" t="inlineStr">
        <is>
          <t>promo</t>
        </is>
      </c>
      <c r="C97" t="inlineStr">
        <is>
          <t>all</t>
        </is>
      </c>
      <c r="D97" t="inlineStr">
        <is>
          <t>base</t>
        </is>
      </c>
      <c r="E97" t="n">
        <v>0.4</v>
      </c>
      <c r="F97" t="inlineStr">
        <is>
          <t>share of trialists converting to paid</t>
        </is>
      </c>
      <c r="G97" t="n">
        <v>0.25</v>
      </c>
      <c r="H97" t="n">
        <v>0.6</v>
      </c>
      <c r="I97" t="inlineStr">
        <is>
          <t>proposed</t>
        </is>
      </c>
      <c r="J97" t="inlineStr">
        <is>
          <t>S16;A01</t>
        </is>
      </c>
      <c r="K97" t="inlineStr">
        <is>
          <t>2026-10-28</t>
        </is>
      </c>
      <c r="L97" t="inlineStr">
        <is>
          <t>No public Discord rate. RevenueCat (S16) shows trial conversion clusters at install day but the rate is not in the public preview</t>
        </is>
      </c>
    </row>
    <row r="98">
      <c r="A98" t="inlineStr">
        <is>
          <t>trial_to_paid</t>
        </is>
      </c>
      <c r="B98" t="inlineStr">
        <is>
          <t>promo</t>
        </is>
      </c>
      <c r="C98" t="inlineStr">
        <is>
          <t>all</t>
        </is>
      </c>
      <c r="D98" t="inlineStr">
        <is>
          <t>upside</t>
        </is>
      </c>
      <c r="E98" t="n">
        <v>0.5</v>
      </c>
      <c r="F98" t="inlineStr">
        <is>
          <t>share of trialists converting to paid</t>
        </is>
      </c>
      <c r="G98" t="n">
        <v>0.25</v>
      </c>
      <c r="H98" t="n">
        <v>0.6</v>
      </c>
      <c r="I98" t="inlineStr">
        <is>
          <t>proposed</t>
        </is>
      </c>
      <c r="J98" t="inlineStr">
        <is>
          <t>A01</t>
        </is>
      </c>
      <c r="K98" t="inlineStr">
        <is>
          <t>2026-10-28</t>
        </is>
      </c>
    </row>
    <row r="99">
      <c r="A99" t="inlineStr">
        <is>
          <t>trial_to_paid</t>
        </is>
      </c>
      <c r="B99" t="inlineStr">
        <is>
          <t>promo</t>
        </is>
      </c>
      <c r="C99" t="inlineStr">
        <is>
          <t>all</t>
        </is>
      </c>
      <c r="D99" t="inlineStr">
        <is>
          <t>downside</t>
        </is>
      </c>
      <c r="E99" t="n">
        <v>0.3</v>
      </c>
      <c r="F99" t="inlineStr">
        <is>
          <t>share of trialists converting to paid</t>
        </is>
      </c>
      <c r="G99" t="n">
        <v>0.25</v>
      </c>
      <c r="H99" t="n">
        <v>0.6</v>
      </c>
      <c r="I99" t="inlineStr">
        <is>
          <t>proposed</t>
        </is>
      </c>
      <c r="J99" t="inlineStr">
        <is>
          <t>A01</t>
        </is>
      </c>
      <c r="K99" t="inlineStr">
        <is>
          <t>2026-10-28</t>
        </is>
      </c>
    </row>
    <row r="100">
      <c r="A100" t="inlineStr">
        <is>
          <t>count_trials_as_subs</t>
        </is>
      </c>
      <c r="B100" t="inlineStr">
        <is>
          <t>promo</t>
        </is>
      </c>
      <c r="C100" t="inlineStr">
        <is>
          <t>all</t>
        </is>
      </c>
      <c r="D100" t="inlineStr">
        <is>
          <t>all</t>
        </is>
      </c>
      <c r="E100" t="n">
        <v>1</v>
      </c>
      <c r="F100" t="inlineStr">
        <is>
          <t>flag</t>
        </is>
      </c>
      <c r="G100" t="n">
        <v>0</v>
      </c>
      <c r="H100" t="n">
        <v>1</v>
      </c>
      <c r="I100" t="inlineStr">
        <is>
          <t>proposed</t>
        </is>
      </c>
      <c r="J100" t="inlineStr">
        <is>
          <t>S13;A01</t>
        </is>
      </c>
      <c r="K100" t="inlineStr">
        <is>
          <t>2026-10-28</t>
        </is>
      </c>
      <c r="L100" t="inlineStr">
        <is>
          <t>Definition: does the 7.3M anchor count trialists? Spotify counts trialists as subscribers (S13). Unknown for the third-party Discord figure</t>
        </is>
      </c>
    </row>
    <row r="101">
      <c r="A101" t="inlineStr">
        <is>
          <t>avg_discount</t>
        </is>
      </c>
      <c r="B101" t="inlineStr">
        <is>
          <t>promo</t>
        </is>
      </c>
      <c r="C101" t="inlineStr">
        <is>
          <t>all</t>
        </is>
      </c>
      <c r="D101" t="inlineStr">
        <is>
          <t>all</t>
        </is>
      </c>
      <c r="E101" t="n">
        <v>0.05</v>
      </c>
      <c r="F101" t="inlineStr">
        <is>
          <t>share of list price</t>
        </is>
      </c>
      <c r="G101" t="n">
        <v>0</v>
      </c>
      <c r="H101" t="n">
        <v>0.15</v>
      </c>
      <c r="I101" t="inlineStr">
        <is>
          <t>proposed</t>
        </is>
      </c>
      <c r="J101" t="inlineStr">
        <is>
          <t>A01</t>
        </is>
      </c>
      <c r="K101" t="inlineStr">
        <is>
          <t>2026-10-27</t>
        </is>
      </c>
      <c r="L101" t="inlineStr">
        <is>
          <t>Average discount on paying subscribers (sale pricing; first-month offers)</t>
        </is>
      </c>
    </row>
    <row r="102">
      <c r="A102" t="inlineStr">
        <is>
          <t>store_fee</t>
        </is>
      </c>
      <c r="B102" t="inlineStr">
        <is>
          <t>fees</t>
        </is>
      </c>
      <c r="C102" t="inlineStr">
        <is>
          <t>IOS_Y1</t>
        </is>
      </c>
      <c r="D102" t="inlineStr">
        <is>
          <t>all</t>
        </is>
      </c>
      <c r="E102" t="n">
        <v>0.3</v>
      </c>
      <c r="F102" t="inlineStr">
        <is>
          <t>share of gross</t>
        </is>
      </c>
      <c r="I102" t="inlineStr">
        <is>
          <t>verified</t>
        </is>
      </c>
      <c r="J102" t="inlineStr">
        <is>
          <t>S11</t>
        </is>
      </c>
      <c r="K102" t="inlineStr">
        <is>
          <t>2026-10-27</t>
        </is>
      </c>
      <c r="L102" t="inlineStr">
        <is>
          <t>Apple standard rate in subscriber's first year</t>
        </is>
      </c>
    </row>
    <row r="103">
      <c r="A103" t="inlineStr">
        <is>
          <t>store_fee</t>
        </is>
      </c>
      <c r="B103" t="inlineStr">
        <is>
          <t>fees</t>
        </is>
      </c>
      <c r="C103" t="inlineStr">
        <is>
          <t>IOS_LATER</t>
        </is>
      </c>
      <c r="D103" t="inlineStr">
        <is>
          <t>all</t>
        </is>
      </c>
      <c r="E103" t="n">
        <v>0.15</v>
      </c>
      <c r="F103" t="inlineStr">
        <is>
          <t>share of gross</t>
        </is>
      </c>
      <c r="I103" t="inlineStr">
        <is>
          <t>verified</t>
        </is>
      </c>
      <c r="J103" t="inlineStr">
        <is>
          <t>S11</t>
        </is>
      </c>
      <c r="K103" t="inlineStr">
        <is>
          <t>2026-10-27</t>
        </is>
      </c>
      <c r="L103" t="inlineStr">
        <is>
          <t>Apple rate after a subscriber's first year</t>
        </is>
      </c>
    </row>
    <row r="104">
      <c r="A104" t="inlineStr">
        <is>
          <t>store_fee</t>
        </is>
      </c>
      <c r="B104" t="inlineStr">
        <is>
          <t>fees</t>
        </is>
      </c>
      <c r="C104" t="inlineStr">
        <is>
          <t>ANDROID</t>
        </is>
      </c>
      <c r="D104" t="inlineStr">
        <is>
          <t>all</t>
        </is>
      </c>
      <c r="E104" t="n">
        <v>0.15</v>
      </c>
      <c r="F104" t="inlineStr">
        <is>
          <t>share of gross</t>
        </is>
      </c>
      <c r="I104" t="inlineStr">
        <is>
          <t>verified</t>
        </is>
      </c>
      <c r="J104" t="inlineStr">
        <is>
          <t>S12</t>
        </is>
      </c>
      <c r="K104" t="inlineStr">
        <is>
          <t>2026-10-27</t>
        </is>
      </c>
      <c r="L104" t="inlineStr">
        <is>
          <t>Google Play subscriptions 15% from day one (10% service + 5% billing in US/UK/EEA from 2026-06-30)</t>
        </is>
      </c>
    </row>
    <row r="105">
      <c r="A105" t="inlineStr">
        <is>
          <t>store_fee</t>
        </is>
      </c>
      <c r="B105" t="inlineStr">
        <is>
          <t>fees</t>
        </is>
      </c>
      <c r="C105" t="inlineStr">
        <is>
          <t>WEB</t>
        </is>
      </c>
      <c r="D105" t="inlineStr">
        <is>
          <t>all</t>
        </is>
      </c>
      <c r="E105" t="n">
        <v>0.03</v>
      </c>
      <c r="F105" t="inlineStr">
        <is>
          <t>share of gross</t>
        </is>
      </c>
      <c r="G105" t="n">
        <v>0.02</v>
      </c>
      <c r="H105" t="n">
        <v>0.04</v>
      </c>
      <c r="I105" t="inlineStr">
        <is>
          <t>proposed</t>
        </is>
      </c>
      <c r="J105" t="inlineStr">
        <is>
          <t>A01</t>
        </is>
      </c>
      <c r="K105" t="inlineStr">
        <is>
          <t>2026-10-27</t>
        </is>
      </c>
      <c r="L105" t="inlineStr">
        <is>
          <t>Card processing on direct web/desktop billing</t>
        </is>
      </c>
    </row>
    <row r="106">
      <c r="A106" t="inlineStr">
        <is>
          <t>fx_weight</t>
        </is>
      </c>
      <c r="B106" t="inlineStr">
        <is>
          <t>fx</t>
        </is>
      </c>
      <c r="C106" t="inlineStr">
        <is>
          <t>US_CA|USD</t>
        </is>
      </c>
      <c r="D106" t="inlineStr">
        <is>
          <t>all</t>
        </is>
      </c>
      <c r="E106" t="n">
        <v>1</v>
      </c>
      <c r="F106" t="inlineStr">
        <is>
          <t>weight</t>
        </is>
      </c>
      <c r="I106" t="inlineStr">
        <is>
          <t>design</t>
        </is>
      </c>
      <c r="J106" t="inlineStr">
        <is>
          <t>P01</t>
        </is>
      </c>
      <c r="K106" t="inlineStr">
        <is>
          <t>2026-10-27</t>
        </is>
      </c>
      <c r="L106" t="inlineStr">
        <is>
          <t>Region currency basket</t>
        </is>
      </c>
    </row>
    <row r="107">
      <c r="A107" t="inlineStr">
        <is>
          <t>fx_weight</t>
        </is>
      </c>
      <c r="B107" t="inlineStr">
        <is>
          <t>fx</t>
        </is>
      </c>
      <c r="C107" t="inlineStr">
        <is>
          <t>EUROPE|EUR</t>
        </is>
      </c>
      <c r="D107" t="inlineStr">
        <is>
          <t>all</t>
        </is>
      </c>
      <c r="E107" t="n">
        <v>1</v>
      </c>
      <c r="F107" t="inlineStr">
        <is>
          <t>weight</t>
        </is>
      </c>
      <c r="I107" t="inlineStr">
        <is>
          <t>design</t>
        </is>
      </c>
      <c r="J107" t="inlineStr">
        <is>
          <t>P01</t>
        </is>
      </c>
      <c r="K107" t="inlineStr">
        <is>
          <t>2026-10-27</t>
        </is>
      </c>
      <c r="L107" t="inlineStr">
        <is>
          <t>GBP/PLN etc proxied by EUR</t>
        </is>
      </c>
    </row>
    <row r="108">
      <c r="A108" t="inlineStr">
        <is>
          <t>fx_weight</t>
        </is>
      </c>
      <c r="B108" t="inlineStr">
        <is>
          <t>fx</t>
        </is>
      </c>
      <c r="C108" t="inlineStr">
        <is>
          <t>LATAM|BRL</t>
        </is>
      </c>
      <c r="D108" t="inlineStr">
        <is>
          <t>all</t>
        </is>
      </c>
      <c r="E108" t="n">
        <v>1</v>
      </c>
      <c r="F108" t="inlineStr">
        <is>
          <t>weight</t>
        </is>
      </c>
      <c r="I108" t="inlineStr">
        <is>
          <t>design</t>
        </is>
      </c>
      <c r="J108" t="inlineStr">
        <is>
          <t>P01</t>
        </is>
      </c>
      <c r="K108" t="inlineStr">
        <is>
          <t>2026-10-27</t>
        </is>
      </c>
      <c r="L108" t="inlineStr">
        <is>
          <t>Brazil as proxy for LatAm currencies</t>
        </is>
      </c>
    </row>
    <row r="109">
      <c r="A109" t="inlineStr">
        <is>
          <t>fx_weight</t>
        </is>
      </c>
      <c r="B109" t="inlineStr">
        <is>
          <t>fx</t>
        </is>
      </c>
      <c r="C109" t="inlineStr">
        <is>
          <t>APAC|JPY</t>
        </is>
      </c>
      <c r="D109" t="inlineStr">
        <is>
          <t>all</t>
        </is>
      </c>
      <c r="E109" t="n">
        <v>0.5</v>
      </c>
      <c r="F109" t="inlineStr">
        <is>
          <t>weight</t>
        </is>
      </c>
      <c r="G109" t="n">
        <v>0.3</v>
      </c>
      <c r="H109" t="n">
        <v>0.7</v>
      </c>
      <c r="I109" t="inlineStr">
        <is>
          <t>proposed</t>
        </is>
      </c>
      <c r="J109" t="inlineStr">
        <is>
          <t>A01</t>
        </is>
      </c>
      <c r="K109" t="inlineStr">
        <is>
          <t>2026-10-27</t>
        </is>
      </c>
      <c r="L109" t="inlineStr">
        <is>
          <t>APAC basket: JPY/INR blend</t>
        </is>
      </c>
    </row>
    <row r="110">
      <c r="A110" t="inlineStr">
        <is>
          <t>fx_weight</t>
        </is>
      </c>
      <c r="B110" t="inlineStr">
        <is>
          <t>fx</t>
        </is>
      </c>
      <c r="C110" t="inlineStr">
        <is>
          <t>APAC|INR</t>
        </is>
      </c>
      <c r="D110" t="inlineStr">
        <is>
          <t>all</t>
        </is>
      </c>
      <c r="E110" t="n">
        <v>0.5</v>
      </c>
      <c r="F110" t="inlineStr">
        <is>
          <t>weight</t>
        </is>
      </c>
      <c r="G110" t="n">
        <v>0.3</v>
      </c>
      <c r="H110" t="n">
        <v>0.7</v>
      </c>
      <c r="I110" t="inlineStr">
        <is>
          <t>proposed</t>
        </is>
      </c>
      <c r="J110" t="inlineStr">
        <is>
          <t>A01</t>
        </is>
      </c>
      <c r="K110" t="inlineStr">
        <is>
          <t>2026-10-27</t>
        </is>
      </c>
    </row>
    <row r="111">
      <c r="A111" t="inlineStr">
        <is>
          <t>fx_weight</t>
        </is>
      </c>
      <c r="B111" t="inlineStr">
        <is>
          <t>fx</t>
        </is>
      </c>
      <c r="C111" t="inlineStr">
        <is>
          <t>ROW|USD</t>
        </is>
      </c>
      <c r="D111" t="inlineStr">
        <is>
          <t>all</t>
        </is>
      </c>
      <c r="E111" t="n">
        <v>1</v>
      </c>
      <c r="F111" t="inlineStr">
        <is>
          <t>weight</t>
        </is>
      </c>
      <c r="I111" t="inlineStr">
        <is>
          <t>design</t>
        </is>
      </c>
      <c r="J111" t="inlineStr">
        <is>
          <t>P01</t>
        </is>
      </c>
      <c r="K111" t="inlineStr">
        <is>
          <t>2026-10-27</t>
        </is>
      </c>
      <c r="L111" t="inlineStr">
        <is>
          <t>RoW priced in USD</t>
        </is>
      </c>
    </row>
    <row r="112">
      <c r="A112" t="inlineStr">
        <is>
          <t>fx_avg_2025</t>
        </is>
      </c>
      <c r="B112" t="inlineStr">
        <is>
          <t>fx</t>
        </is>
      </c>
      <c r="C112" t="inlineStr">
        <is>
          <t>EUR</t>
        </is>
      </c>
      <c r="D112" t="inlineStr">
        <is>
          <t>all</t>
        </is>
      </c>
      <c r="E112" t="n">
        <v>0.884486</v>
      </c>
      <c r="F112" t="inlineStr">
        <is>
          <t>local per USD</t>
        </is>
      </c>
      <c r="I112" t="inlineStr">
        <is>
          <t>verified</t>
        </is>
      </c>
      <c r="J112" t="inlineStr">
        <is>
          <t>S17</t>
        </is>
      </c>
      <c r="K112" t="inlineStr">
        <is>
          <t>2026-10-27</t>
        </is>
      </c>
      <c r="L112" t="inlineStr">
        <is>
          <t>FRED AEXUSEU 1.1306 USD per EUR inverted</t>
        </is>
      </c>
    </row>
    <row r="113">
      <c r="A113" t="inlineStr">
        <is>
          <t>fx_avg_2025</t>
        </is>
      </c>
      <c r="B113" t="inlineStr">
        <is>
          <t>fx</t>
        </is>
      </c>
      <c r="C113" t="inlineStr">
        <is>
          <t>JPY</t>
        </is>
      </c>
      <c r="D113" t="inlineStr">
        <is>
          <t>all</t>
        </is>
      </c>
      <c r="E113" t="n">
        <v>149.5686</v>
      </c>
      <c r="F113" t="inlineStr">
        <is>
          <t>local per USD</t>
        </is>
      </c>
      <c r="I113" t="inlineStr">
        <is>
          <t>verified</t>
        </is>
      </c>
      <c r="J113" t="inlineStr">
        <is>
          <t>S17</t>
        </is>
      </c>
      <c r="K113" t="inlineStr">
        <is>
          <t>2026-10-27</t>
        </is>
      </c>
      <c r="L113" t="inlineStr">
        <is>
          <t>FRED AEXJPUS</t>
        </is>
      </c>
    </row>
    <row r="114">
      <c r="A114" t="inlineStr">
        <is>
          <t>fx_avg_2025</t>
        </is>
      </c>
      <c r="B114" t="inlineStr">
        <is>
          <t>fx</t>
        </is>
      </c>
      <c r="C114" t="inlineStr">
        <is>
          <t>BRL</t>
        </is>
      </c>
      <c r="D114" t="inlineStr">
        <is>
          <t>all</t>
        </is>
      </c>
      <c r="E114" t="n">
        <v>5.5891</v>
      </c>
      <c r="F114" t="inlineStr">
        <is>
          <t>local per USD</t>
        </is>
      </c>
      <c r="I114" t="inlineStr">
        <is>
          <t>verified</t>
        </is>
      </c>
      <c r="J114" t="inlineStr">
        <is>
          <t>S17</t>
        </is>
      </c>
      <c r="K114" t="inlineStr">
        <is>
          <t>2026-10-27</t>
        </is>
      </c>
      <c r="L114" t="inlineStr">
        <is>
          <t>FRED AEXBZUS</t>
        </is>
      </c>
    </row>
    <row r="115">
      <c r="A115" t="inlineStr">
        <is>
          <t>fx_avg_2025</t>
        </is>
      </c>
      <c r="B115" t="inlineStr">
        <is>
          <t>fx</t>
        </is>
      </c>
      <c r="C115" t="inlineStr">
        <is>
          <t>INR</t>
        </is>
      </c>
      <c r="D115" t="inlineStr">
        <is>
          <t>all</t>
        </is>
      </c>
      <c r="E115" t="n">
        <v>87.1468</v>
      </c>
      <c r="F115" t="inlineStr">
        <is>
          <t>local per USD</t>
        </is>
      </c>
      <c r="I115" t="inlineStr">
        <is>
          <t>verified</t>
        </is>
      </c>
      <c r="J115" t="inlineStr">
        <is>
          <t>S17</t>
        </is>
      </c>
      <c r="K115" t="inlineStr">
        <is>
          <t>2026-10-27</t>
        </is>
      </c>
      <c r="L115" t="inlineStr">
        <is>
          <t>FRED AEXINUS</t>
        </is>
      </c>
    </row>
    <row r="116">
      <c r="A116" t="inlineStr">
        <is>
          <t>fx_avg_2025</t>
        </is>
      </c>
      <c r="B116" t="inlineStr">
        <is>
          <t>fx</t>
        </is>
      </c>
      <c r="C116" t="inlineStr">
        <is>
          <t>USD</t>
        </is>
      </c>
      <c r="D116" t="inlineStr">
        <is>
          <t>all</t>
        </is>
      </c>
      <c r="E116" t="n">
        <v>1</v>
      </c>
      <c r="F116" t="inlineStr">
        <is>
          <t>local per USD</t>
        </is>
      </c>
      <c r="I116" t="inlineStr">
        <is>
          <t>design</t>
        </is>
      </c>
      <c r="J116" t="inlineStr">
        <is>
          <t>P01</t>
        </is>
      </c>
      <c r="K116" t="inlineStr">
        <is>
          <t>2026-10-27</t>
        </is>
      </c>
    </row>
    <row r="117">
      <c r="A117" t="inlineStr">
        <is>
          <t>fx_spot</t>
        </is>
      </c>
      <c r="B117" t="inlineStr">
        <is>
          <t>fx</t>
        </is>
      </c>
      <c r="C117" t="inlineStr">
        <is>
          <t>EUR</t>
        </is>
      </c>
      <c r="D117" t="inlineStr">
        <is>
          <t>all</t>
        </is>
      </c>
      <c r="E117" t="n">
        <v>0.890869</v>
      </c>
      <c r="F117" t="inlineStr">
        <is>
          <t>local per USD</t>
        </is>
      </c>
      <c r="I117" t="inlineStr">
        <is>
          <t>verified</t>
        </is>
      </c>
      <c r="J117" t="inlineStr">
        <is>
          <t>S18</t>
        </is>
      </c>
      <c r="K117" t="inlineStr">
        <is>
          <t>2026-10-19</t>
        </is>
      </c>
      <c r="L117" t="inlineStr">
        <is>
          <t>1/1.1225</t>
        </is>
      </c>
    </row>
    <row r="118">
      <c r="A118" t="inlineStr">
        <is>
          <t>fx_spot</t>
        </is>
      </c>
      <c r="B118" t="inlineStr">
        <is>
          <t>fx</t>
        </is>
      </c>
      <c r="C118" t="inlineStr">
        <is>
          <t>JPY</t>
        </is>
      </c>
      <c r="D118" t="inlineStr">
        <is>
          <t>all</t>
        </is>
      </c>
      <c r="E118" t="n">
        <v>158.245</v>
      </c>
      <c r="F118" t="inlineStr">
        <is>
          <t>local per USD</t>
        </is>
      </c>
      <c r="I118" t="inlineStr">
        <is>
          <t>verified</t>
        </is>
      </c>
      <c r="J118" t="inlineStr">
        <is>
          <t>S18</t>
        </is>
      </c>
      <c r="K118" t="inlineStr">
        <is>
          <t>2026-10-19</t>
        </is>
      </c>
      <c r="L118" t="inlineStr">
        <is>
          <t>177.63 / 1.1225</t>
        </is>
      </c>
    </row>
    <row r="119">
      <c r="A119" t="inlineStr">
        <is>
          <t>fx_spot</t>
        </is>
      </c>
      <c r="B119" t="inlineStr">
        <is>
          <t>fx</t>
        </is>
      </c>
      <c r="C119" t="inlineStr">
        <is>
          <t>BRL</t>
        </is>
      </c>
      <c r="D119" t="inlineStr">
        <is>
          <t>all</t>
        </is>
      </c>
      <c r="E119" t="n">
        <v>5.045256</v>
      </c>
      <c r="F119" t="inlineStr">
        <is>
          <t>local per USD</t>
        </is>
      </c>
      <c r="I119" t="inlineStr">
        <is>
          <t>verified</t>
        </is>
      </c>
      <c r="J119" t="inlineStr">
        <is>
          <t>S18</t>
        </is>
      </c>
      <c r="K119" t="inlineStr">
        <is>
          <t>2026-10-19</t>
        </is>
      </c>
      <c r="L119" t="inlineStr">
        <is>
          <t>5.6633 / 1.1225</t>
        </is>
      </c>
    </row>
    <row r="120">
      <c r="A120" t="inlineStr">
        <is>
          <t>fx_spot</t>
        </is>
      </c>
      <c r="B120" t="inlineStr">
        <is>
          <t>fx</t>
        </is>
      </c>
      <c r="C120" t="inlineStr">
        <is>
          <t>INR</t>
        </is>
      </c>
      <c r="D120" t="inlineStr">
        <is>
          <t>all</t>
        </is>
      </c>
      <c r="E120" t="n">
        <v>94.93006699999999</v>
      </c>
      <c r="F120" t="inlineStr">
        <is>
          <t>local per USD</t>
        </is>
      </c>
      <c r="I120" t="inlineStr">
        <is>
          <t>verified</t>
        </is>
      </c>
      <c r="J120" t="inlineStr">
        <is>
          <t>S18</t>
        </is>
      </c>
      <c r="K120" t="inlineStr">
        <is>
          <t>2026-10-19</t>
        </is>
      </c>
      <c r="L120" t="inlineStr">
        <is>
          <t>106.559 / 1.1225</t>
        </is>
      </c>
    </row>
    <row r="121">
      <c r="A121" t="inlineStr">
        <is>
          <t>fx_spot</t>
        </is>
      </c>
      <c r="B121" t="inlineStr">
        <is>
          <t>fx</t>
        </is>
      </c>
      <c r="C121" t="inlineStr">
        <is>
          <t>USD</t>
        </is>
      </c>
      <c r="D121" t="inlineStr">
        <is>
          <t>all</t>
        </is>
      </c>
      <c r="E121" t="n">
        <v>1</v>
      </c>
      <c r="F121" t="inlineStr">
        <is>
          <t>local per USD</t>
        </is>
      </c>
      <c r="I121" t="inlineStr">
        <is>
          <t>design</t>
        </is>
      </c>
      <c r="J121" t="inlineStr">
        <is>
          <t>P01</t>
        </is>
      </c>
      <c r="K121" t="inlineStr">
        <is>
          <t>2026-10-27</t>
        </is>
      </c>
    </row>
    <row r="122">
      <c r="A122" t="inlineStr">
        <is>
          <t>fx_spot_month_index</t>
        </is>
      </c>
      <c r="B122" t="inlineStr">
        <is>
          <t>fx</t>
        </is>
      </c>
      <c r="C122" t="inlineStr">
        <is>
          <t>all</t>
        </is>
      </c>
      <c r="D122" t="inlineStr">
        <is>
          <t>all</t>
        </is>
      </c>
      <c r="E122" t="n">
        <v>22</v>
      </c>
      <c r="F122" t="inlineStr">
        <is>
          <t>month index (Jan 2025 = 1)</t>
        </is>
      </c>
      <c r="I122" t="inlineStr">
        <is>
          <t>design</t>
        </is>
      </c>
      <c r="J122" t="inlineStr">
        <is>
          <t>P01</t>
        </is>
      </c>
      <c r="K122" t="inlineStr">
        <is>
          <t>2026-10-27</t>
        </is>
      </c>
      <c r="L122" t="inlineStr">
        <is>
          <t>Path: 2025 at FY avg; Jan-Oct 2026 linear to spot; Nov 2026+ covered-interest-parity forward from spot</t>
        </is>
      </c>
    </row>
    <row r="123">
      <c r="A123" t="inlineStr">
        <is>
          <t>policy_rate</t>
        </is>
      </c>
      <c r="B123" t="inlineStr">
        <is>
          <t>fx</t>
        </is>
      </c>
      <c r="C123" t="inlineStr">
        <is>
          <t>USD</t>
        </is>
      </c>
      <c r="D123" t="inlineStr">
        <is>
          <t>all</t>
        </is>
      </c>
      <c r="E123" t="n">
        <v>0.03625</v>
      </c>
      <c r="F123" t="inlineStr">
        <is>
          <t>annual</t>
        </is>
      </c>
      <c r="G123" t="n">
        <v>0.035</v>
      </c>
      <c r="H123" t="n">
        <v>0.0375</v>
      </c>
      <c r="I123" t="inlineStr">
        <is>
          <t>anchor</t>
        </is>
      </c>
      <c r="J123" t="inlineStr">
        <is>
          <t>S19</t>
        </is>
      </c>
      <c r="K123" t="inlineStr">
        <is>
          <t>2026-06-30</t>
        </is>
      </c>
      <c r="L123" t="inlineStr">
        <is>
          <t>Fed 3.50-3.75% midpoint; stale (June 2026) and low-authority source</t>
        </is>
      </c>
    </row>
    <row r="124">
      <c r="A124" t="inlineStr">
        <is>
          <t>policy_rate</t>
        </is>
      </c>
      <c r="B124" t="inlineStr">
        <is>
          <t>fx</t>
        </is>
      </c>
      <c r="C124" t="inlineStr">
        <is>
          <t>EUR</t>
        </is>
      </c>
      <c r="D124" t="inlineStr">
        <is>
          <t>all</t>
        </is>
      </c>
      <c r="E124" t="n">
        <v>0.024</v>
      </c>
      <c r="F124" t="inlineStr">
        <is>
          <t>annual</t>
        </is>
      </c>
      <c r="G124" t="n">
        <v>0.0225</v>
      </c>
      <c r="H124" t="n">
        <v>0.024</v>
      </c>
      <c r="I124" t="inlineStr">
        <is>
          <t>anchor</t>
        </is>
      </c>
      <c r="J124" t="inlineStr">
        <is>
          <t>S19</t>
        </is>
      </c>
      <c r="K124" t="inlineStr">
        <is>
          <t>2026-06-30</t>
        </is>
      </c>
      <c r="L124" t="inlineStr">
        <is>
          <t>ECB MRO 2.40% (deposit 2.25%)</t>
        </is>
      </c>
    </row>
    <row r="125">
      <c r="A125" t="inlineStr">
        <is>
          <t>policy_rate</t>
        </is>
      </c>
      <c r="B125" t="inlineStr">
        <is>
          <t>fx</t>
        </is>
      </c>
      <c r="C125" t="inlineStr">
        <is>
          <t>JPY</t>
        </is>
      </c>
      <c r="D125" t="inlineStr">
        <is>
          <t>all</t>
        </is>
      </c>
      <c r="E125" t="n">
        <v>0.01</v>
      </c>
      <c r="F125" t="inlineStr">
        <is>
          <t>annual</t>
        </is>
      </c>
      <c r="G125" t="n">
        <v>0.0075</v>
      </c>
      <c r="H125" t="n">
        <v>0.01</v>
      </c>
      <c r="I125" t="inlineStr">
        <is>
          <t>anchor</t>
        </is>
      </c>
      <c r="J125" t="inlineStr">
        <is>
          <t>S19</t>
        </is>
      </c>
      <c r="K125" t="inlineStr">
        <is>
          <t>2026-06-30</t>
        </is>
      </c>
      <c r="L125" t="inlineStr">
        <is>
          <t>Sources conflict: 1.00% vs 0.75%</t>
        </is>
      </c>
    </row>
    <row r="126">
      <c r="A126" t="inlineStr">
        <is>
          <t>policy_rate</t>
        </is>
      </c>
      <c r="B126" t="inlineStr">
        <is>
          <t>fx</t>
        </is>
      </c>
      <c r="C126" t="inlineStr">
        <is>
          <t>BRL</t>
        </is>
      </c>
      <c r="D126" t="inlineStr">
        <is>
          <t>all</t>
        </is>
      </c>
      <c r="E126" t="n">
        <v>0.1425</v>
      </c>
      <c r="F126" t="inlineStr">
        <is>
          <t>annual</t>
        </is>
      </c>
      <c r="G126" t="n">
        <v>0.13</v>
      </c>
      <c r="H126" t="n">
        <v>0.15</v>
      </c>
      <c r="I126" t="inlineStr">
        <is>
          <t>anchor</t>
        </is>
      </c>
      <c r="J126" t="inlineStr">
        <is>
          <t>S19</t>
        </is>
      </c>
      <c r="K126" t="inlineStr">
        <is>
          <t>2026-06-30</t>
        </is>
      </c>
      <c r="L126" t="inlineStr">
        <is>
          <t>Selic</t>
        </is>
      </c>
    </row>
    <row r="127">
      <c r="A127" t="inlineStr">
        <is>
          <t>policy_rate</t>
        </is>
      </c>
      <c r="B127" t="inlineStr">
        <is>
          <t>fx</t>
        </is>
      </c>
      <c r="C127" t="inlineStr">
        <is>
          <t>INR</t>
        </is>
      </c>
      <c r="D127" t="inlineStr">
        <is>
          <t>all</t>
        </is>
      </c>
      <c r="E127" t="n">
        <v>0.055</v>
      </c>
      <c r="F127" t="inlineStr">
        <is>
          <t>annual</t>
        </is>
      </c>
      <c r="G127" t="n">
        <v>0.05</v>
      </c>
      <c r="H127" t="n">
        <v>0.06</v>
      </c>
      <c r="I127" t="inlineStr">
        <is>
          <t>anchor</t>
        </is>
      </c>
      <c r="J127" t="inlineStr">
        <is>
          <t>S19</t>
        </is>
      </c>
      <c r="K127" t="inlineStr">
        <is>
          <t>2026-06-30</t>
        </is>
      </c>
      <c r="L127" t="inlineStr">
        <is>
          <t>RBI repo</t>
        </is>
      </c>
    </row>
    <row r="128">
      <c r="A128" t="inlineStr">
        <is>
          <t>fx_shock</t>
        </is>
      </c>
      <c r="B128" t="inlineStr">
        <is>
          <t>fx</t>
        </is>
      </c>
      <c r="C128" t="inlineStr">
        <is>
          <t>all</t>
        </is>
      </c>
      <c r="D128" t="inlineStr">
        <is>
          <t>all</t>
        </is>
      </c>
      <c r="E128" t="n">
        <v>0.1</v>
      </c>
      <c r="F128" t="inlineStr">
        <is>
          <t>USD move</t>
        </is>
      </c>
      <c r="I128" t="inlineStr">
        <is>
          <t>design</t>
        </is>
      </c>
      <c r="J128" t="inlineStr">
        <is>
          <t>P01</t>
        </is>
      </c>
      <c r="K128" t="inlineStr">
        <is>
          <t>2026-10-27</t>
        </is>
      </c>
      <c r="L128" t="inlineStr">
        <is>
          <t>PRD: +/-10% USD shock applied from Nov 2026</t>
        </is>
      </c>
    </row>
    <row r="129">
      <c r="A129" t="inlineStr">
        <is>
          <t>exp_enabled</t>
        </is>
      </c>
      <c r="B129" t="inlineStr">
        <is>
          <t>experiment</t>
        </is>
      </c>
      <c r="C129" t="inlineStr">
        <is>
          <t>all</t>
        </is>
      </c>
      <c r="D129" t="inlineStr">
        <is>
          <t>all</t>
        </is>
      </c>
      <c r="E129" t="n">
        <v>0</v>
      </c>
      <c r="F129" t="inlineStr">
        <is>
          <t>flag</t>
        </is>
      </c>
      <c r="I129" t="inlineStr">
        <is>
          <t>design</t>
        </is>
      </c>
      <c r="J129" t="inlineStr">
        <is>
          <t>P01</t>
        </is>
      </c>
      <c r="K129" t="inlineStr">
        <is>
          <t>2026-10-27</t>
        </is>
      </c>
      <c r="L129" t="inlineStr">
        <is>
          <t>Off by default</t>
        </is>
      </c>
    </row>
    <row r="130">
      <c r="A130" t="inlineStr">
        <is>
          <t>exp_start_month_index</t>
        </is>
      </c>
      <c r="B130" t="inlineStr">
        <is>
          <t>experiment</t>
        </is>
      </c>
      <c r="C130" t="inlineStr">
        <is>
          <t>all</t>
        </is>
      </c>
      <c r="D130" t="inlineStr">
        <is>
          <t>all</t>
        </is>
      </c>
      <c r="E130" t="n">
        <v>25</v>
      </c>
      <c r="F130" t="inlineStr">
        <is>
          <t>month index (Jan 2025 = 1)</t>
        </is>
      </c>
      <c r="I130" t="inlineStr">
        <is>
          <t>design</t>
        </is>
      </c>
      <c r="J130" t="inlineStr">
        <is>
          <t>P01</t>
        </is>
      </c>
      <c r="K130" t="inlineStr">
        <is>
          <t>2026-10-27</t>
        </is>
      </c>
      <c r="L130" t="inlineStr">
        <is>
          <t>Jan 2027</t>
        </is>
      </c>
    </row>
    <row r="131">
      <c r="A131" t="inlineStr">
        <is>
          <t>exp_conv_lift</t>
        </is>
      </c>
      <c r="B131" t="inlineStr">
        <is>
          <t>experiment</t>
        </is>
      </c>
      <c r="C131" t="inlineStr">
        <is>
          <t>all</t>
        </is>
      </c>
      <c r="D131" t="inlineStr">
        <is>
          <t>all</t>
        </is>
      </c>
      <c r="E131" t="n">
        <v>0.05</v>
      </c>
      <c r="F131" t="inlineStr">
        <is>
          <t>relative</t>
        </is>
      </c>
      <c r="G131" t="n">
        <v>0</v>
      </c>
      <c r="H131" t="n">
        <v>0.15</v>
      </c>
      <c r="I131" t="inlineStr">
        <is>
          <t>proposed</t>
        </is>
      </c>
      <c r="J131" t="inlineStr">
        <is>
          <t>A01</t>
        </is>
      </c>
      <c r="K131" t="inlineStr">
        <is>
          <t>2026-10-27</t>
        </is>
      </c>
      <c r="L131" t="inlineStr">
        <is>
          <t>Example: new perk lifts conversion 5% relative (hypothetical A/B readout)</t>
        </is>
      </c>
    </row>
    <row r="132">
      <c r="A132" t="inlineStr">
        <is>
          <t>exp_churn_change</t>
        </is>
      </c>
      <c r="B132" t="inlineStr">
        <is>
          <t>experiment</t>
        </is>
      </c>
      <c r="C132" t="inlineStr">
        <is>
          <t>all</t>
        </is>
      </c>
      <c r="D132" t="inlineStr">
        <is>
          <t>all</t>
        </is>
      </c>
      <c r="E132" t="n">
        <v>-0.03</v>
      </c>
      <c r="F132" t="inlineStr">
        <is>
          <t>relative</t>
        </is>
      </c>
      <c r="G132" t="n">
        <v>-0.1</v>
      </c>
      <c r="H132" t="n">
        <v>0.05</v>
      </c>
      <c r="I132" t="inlineStr">
        <is>
          <t>proposed</t>
        </is>
      </c>
      <c r="J132" t="inlineStr">
        <is>
          <t>A01</t>
        </is>
      </c>
      <c r="K132" t="inlineStr">
        <is>
          <t>2026-10-27</t>
        </is>
      </c>
      <c r="L132" t="inlineStr">
        <is>
          <t>Negative = lower churn</t>
        </is>
      </c>
    </row>
    <row r="133">
      <c r="A133" t="inlineStr">
        <is>
          <t>exp_price_change</t>
        </is>
      </c>
      <c r="B133" t="inlineStr">
        <is>
          <t>experiment</t>
        </is>
      </c>
      <c r="C133" t="inlineStr">
        <is>
          <t>all</t>
        </is>
      </c>
      <c r="D133" t="inlineStr">
        <is>
          <t>all</t>
        </is>
      </c>
      <c r="E133" t="n">
        <v>0</v>
      </c>
      <c r="F133" t="inlineStr">
        <is>
          <t>relative</t>
        </is>
      </c>
      <c r="G133" t="n">
        <v>-0.2</v>
      </c>
      <c r="H133" t="n">
        <v>0.2</v>
      </c>
      <c r="I133" t="inlineStr">
        <is>
          <t>proposed</t>
        </is>
      </c>
      <c r="J133" t="inlineStr">
        <is>
          <t>A01</t>
        </is>
      </c>
      <c r="K133" t="inlineStr">
        <is>
          <t>2026-10-27</t>
        </is>
      </c>
      <c r="L133" t="inlineStr">
        <is>
          <t>Set e.g. 0.10 to test a 10% price increase</t>
        </is>
      </c>
    </row>
    <row r="134">
      <c r="A134" t="inlineStr">
        <is>
          <t>cal_subs_mid2025</t>
        </is>
      </c>
      <c r="B134" t="inlineStr">
        <is>
          <t>calibration</t>
        </is>
      </c>
      <c r="C134" t="inlineStr">
        <is>
          <t>all</t>
        </is>
      </c>
      <c r="D134" t="inlineStr">
        <is>
          <t>all</t>
        </is>
      </c>
      <c r="E134" t="n">
        <v>7.3</v>
      </c>
      <c r="F134" t="inlineStr">
        <is>
          <t>M subscribers</t>
        </is>
      </c>
      <c r="G134" t="n">
        <v>6.57</v>
      </c>
      <c r="H134" t="n">
        <v>8.029999999999999</v>
      </c>
      <c r="I134" t="inlineStr">
        <is>
          <t>anchor</t>
        </is>
      </c>
      <c r="J134" t="inlineStr">
        <is>
          <t>S01;S02;S03</t>
        </is>
      </c>
      <c r="K134" t="inlineStr">
        <is>
          <t>2025-06-30</t>
        </is>
      </c>
      <c r="L134" t="inlineStr">
        <is>
          <t>Single most-repeated figure; test band +/-10%</t>
        </is>
      </c>
    </row>
    <row r="135">
      <c r="A135" t="inlineStr">
        <is>
          <t>cal_month_index</t>
        </is>
      </c>
      <c r="B135" t="inlineStr">
        <is>
          <t>calibration</t>
        </is>
      </c>
      <c r="C135" t="inlineStr">
        <is>
          <t>all</t>
        </is>
      </c>
      <c r="D135" t="inlineStr">
        <is>
          <t>all</t>
        </is>
      </c>
      <c r="E135" t="n">
        <v>6</v>
      </c>
      <c r="F135" t="inlineStr">
        <is>
          <t>month index (Jan 2025 = 1)</t>
        </is>
      </c>
      <c r="I135" t="inlineStr">
        <is>
          <t>design</t>
        </is>
      </c>
      <c r="J135" t="inlineStr">
        <is>
          <t>P01</t>
        </is>
      </c>
      <c r="K135" t="inlineStr">
        <is>
          <t>2026-10-28</t>
        </is>
      </c>
      <c r="L135" t="inlineStr">
        <is>
          <t>June 2025: the month the 7.3M subscriber anchor is matched (closing subscribers, counted definition)</t>
        </is>
      </c>
    </row>
    <row r="136">
      <c r="A136" t="inlineStr">
        <is>
          <t>cal_subs_growth_2025</t>
        </is>
      </c>
      <c r="B136" t="inlineStr">
        <is>
          <t>calibration</t>
        </is>
      </c>
      <c r="C136" t="inlineStr">
        <is>
          <t>all</t>
        </is>
      </c>
      <c r="D136" t="inlineStr">
        <is>
          <t>all</t>
        </is>
      </c>
      <c r="E136" t="n">
        <v>0.17</v>
      </c>
      <c r="F136" t="inlineStr">
        <is>
          <t>YoY</t>
        </is>
      </c>
      <c r="G136" t="n">
        <v>0.1</v>
      </c>
      <c r="H136" t="n">
        <v>0.25</v>
      </c>
      <c r="I136" t="inlineStr">
        <is>
          <t>anchor</t>
        </is>
      </c>
      <c r="J136" t="inlineStr">
        <is>
          <t>S02</t>
        </is>
      </c>
      <c r="K136" t="inlineStr">
        <is>
          <t>2025-11-20</t>
        </is>
      </c>
    </row>
    <row r="137">
      <c r="A137" t="inlineStr">
        <is>
          <t>cal_nitro_rev_2025</t>
        </is>
      </c>
      <c r="B137" t="inlineStr">
        <is>
          <t>calibration</t>
        </is>
      </c>
      <c r="C137" t="inlineStr">
        <is>
          <t>all</t>
        </is>
      </c>
      <c r="D137" t="inlineStr">
        <is>
          <t>all</t>
        </is>
      </c>
      <c r="E137" t="n">
        <v>365</v>
      </c>
      <c r="F137" t="inlineStr">
        <is>
          <t>USD M</t>
        </is>
      </c>
      <c r="G137" t="n">
        <v>280</v>
      </c>
      <c r="H137" t="n">
        <v>450</v>
      </c>
      <c r="I137" t="inlineStr">
        <is>
          <t>anchor</t>
        </is>
      </c>
      <c r="J137" t="inlineStr">
        <is>
          <t>S02;S03</t>
        </is>
      </c>
      <c r="K137" t="inlineStr">
        <is>
          <t>2026-07-24</t>
        </is>
      </c>
      <c r="L137" t="inlineStr">
        <is>
          <t>Value = midpoint, for reference only. Test: FY2025 modeled revenue must land in [low, high]</t>
        </is>
      </c>
    </row>
    <row r="138">
      <c r="A138" t="inlineStr">
        <is>
          <t>ctx_total_rev_2025</t>
        </is>
      </c>
      <c r="B138" t="inlineStr">
        <is>
          <t>context</t>
        </is>
      </c>
      <c r="C138" t="inlineStr">
        <is>
          <t>all</t>
        </is>
      </c>
      <c r="D138" t="inlineStr">
        <is>
          <t>all</t>
        </is>
      </c>
      <c r="E138" t="n">
        <v>561</v>
      </c>
      <c r="F138" t="inlineStr">
        <is>
          <t>USD M</t>
        </is>
      </c>
      <c r="G138" t="n">
        <v>561</v>
      </c>
      <c r="H138" t="n">
        <v>1200</v>
      </c>
      <c r="I138" t="inlineStr">
        <is>
          <t>anchor</t>
        </is>
      </c>
      <c r="J138" t="inlineStr">
        <is>
          <t>S02;S03;S05</t>
        </is>
      </c>
      <c r="K138" t="inlineStr">
        <is>
          <t>2026-07-24</t>
        </is>
      </c>
      <c r="L138" t="inlineStr">
        <is>
          <t>Low cluster $561M (Feedough); high cluster $879M-$1.2B (Resourcera, Revenue Memo)</t>
        </is>
      </c>
    </row>
    <row r="139">
      <c r="A139" t="inlineStr">
        <is>
          <t>ctx_arr_end2024</t>
        </is>
      </c>
      <c r="B139" t="inlineStr">
        <is>
          <t>context</t>
        </is>
      </c>
      <c r="C139" t="inlineStr">
        <is>
          <t>all</t>
        </is>
      </c>
      <c r="D139" t="inlineStr">
        <is>
          <t>all</t>
        </is>
      </c>
      <c r="E139" t="n">
        <v>725</v>
      </c>
      <c r="F139" t="inlineStr">
        <is>
          <t>USD M</t>
        </is>
      </c>
      <c r="G139" t="n">
        <v>600</v>
      </c>
      <c r="H139" t="n">
        <v>879</v>
      </c>
      <c r="I139" t="inlineStr">
        <is>
          <t>anchor</t>
        </is>
      </c>
      <c r="J139" t="inlineStr">
        <is>
          <t>S04</t>
        </is>
      </c>
      <c r="K139" t="inlineStr">
        <is>
          <t>2026-10-27</t>
        </is>
      </c>
      <c r="L139" t="inlineStr">
        <is>
          <t>Sacra estimate; inconsistent with $561M 2025 revenue at +29% growth</t>
        </is>
      </c>
    </row>
    <row r="140">
      <c r="A140" t="inlineStr">
        <is>
          <t>ctx_boosts_rev_2025</t>
        </is>
      </c>
      <c r="B140" t="inlineStr">
        <is>
          <t>context</t>
        </is>
      </c>
      <c r="C140" t="inlineStr">
        <is>
          <t>all</t>
        </is>
      </c>
      <c r="D140" t="inlineStr">
        <is>
          <t>all</t>
        </is>
      </c>
      <c r="E140" t="n">
        <v>430</v>
      </c>
      <c r="F140" t="inlineStr">
        <is>
          <t>USD M</t>
        </is>
      </c>
      <c r="G140" t="n">
        <v>430</v>
      </c>
      <c r="H140" t="n">
        <v>520</v>
      </c>
      <c r="I140" t="inlineStr">
        <is>
          <t>anchor</t>
        </is>
      </c>
      <c r="J140" t="inlineStr">
        <is>
          <t>S03</t>
        </is>
      </c>
      <c r="K140" t="inlineStr">
        <is>
          <t>2026-07-24</t>
        </is>
      </c>
      <c r="L140" t="inlineStr">
        <is>
          <t>Server Boosts per Resourcera; out of scope beyond this context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3" max="3"/>
  </cols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linked to</t>
        </is>
      </c>
    </row>
    <row r="2">
      <c r="A2" t="inlineStr">
        <is>
          <t>mau0</t>
        </is>
      </c>
      <c r="B2" s="2">
        <f>Assumptions!$E$5*1e+06</f>
        <v/>
      </c>
      <c r="C2" t="inlineStr">
        <is>
          <t>mau_jan2025[all]</t>
        </is>
      </c>
    </row>
    <row r="3">
      <c r="A3" t="inlineStr">
        <is>
          <t>mau_growth_first</t>
        </is>
      </c>
      <c r="B3" s="2">
        <f>Assumptions!$E$11</f>
        <v/>
      </c>
      <c r="C3" t="inlineStr">
        <is>
          <t>mau_growth_first[all]</t>
        </is>
      </c>
    </row>
    <row r="4">
      <c r="A4" t="inlineStr">
        <is>
          <t>mau_growth_last</t>
        </is>
      </c>
      <c r="B4" s="2">
        <f>Assumptions!$E$14</f>
        <v/>
      </c>
      <c r="C4" t="inlineStr">
        <is>
          <t>mau_growth_last[all]</t>
        </is>
      </c>
    </row>
    <row r="5">
      <c r="A5" t="inlineStr">
        <is>
          <t>conv_multiplier</t>
        </is>
      </c>
      <c r="B5" s="2">
        <f>Assumptions!$E$22</f>
        <v/>
      </c>
      <c r="C5" t="inlineStr">
        <is>
          <t>conv_multiplier[all]</t>
        </is>
      </c>
    </row>
    <row r="6">
      <c r="A6" t="inlineStr">
        <is>
          <t>trial_share</t>
        </is>
      </c>
      <c r="B6" s="2">
        <f>Assumptions!$E$95</f>
        <v/>
      </c>
      <c r="C6" t="inlineStr">
        <is>
          <t>trial_share[all]</t>
        </is>
      </c>
    </row>
    <row r="7">
      <c r="A7" t="inlineStr">
        <is>
          <t>trial_months</t>
        </is>
      </c>
      <c r="B7" s="2">
        <f>Assumptions!$E$96</f>
        <v/>
      </c>
      <c r="C7" t="inlineStr">
        <is>
          <t>trial_months[all]</t>
        </is>
      </c>
    </row>
    <row r="8">
      <c r="A8" t="inlineStr">
        <is>
          <t>trial_to_paid</t>
        </is>
      </c>
      <c r="B8" s="2">
        <f>Assumptions!$E$97</f>
        <v/>
      </c>
      <c r="C8" t="inlineStr">
        <is>
          <t>trial_to_paid[all]</t>
        </is>
      </c>
    </row>
    <row r="9">
      <c r="A9" t="inlineStr">
        <is>
          <t>count_trials_as_subs</t>
        </is>
      </c>
      <c r="B9" s="2">
        <f>Assumptions!$E$100</f>
        <v/>
      </c>
      <c r="C9" t="inlineStr">
        <is>
          <t>count_trials_as_subs[all]</t>
        </is>
      </c>
    </row>
    <row r="10">
      <c r="A10" t="inlineStr">
        <is>
          <t>churn_m1</t>
        </is>
      </c>
      <c r="B10" s="2">
        <f>Assumptions!$E$44</f>
        <v/>
      </c>
      <c r="C10" t="inlineStr">
        <is>
          <t>churn_m1[MONTHLY]</t>
        </is>
      </c>
    </row>
    <row r="11">
      <c r="A11" t="inlineStr">
        <is>
          <t>churn_m2</t>
        </is>
      </c>
      <c r="B11" s="2">
        <f>Assumptions!$E$47</f>
        <v/>
      </c>
      <c r="C11" t="inlineStr">
        <is>
          <t>churn_m2[MONTHLY]</t>
        </is>
      </c>
    </row>
    <row r="12">
      <c r="A12" t="inlineStr">
        <is>
          <t>churn_m3</t>
        </is>
      </c>
      <c r="B12" s="2">
        <f>Assumptions!$E$50</f>
        <v/>
      </c>
      <c r="C12" t="inlineStr">
        <is>
          <t>churn_m3[MONTHLY]</t>
        </is>
      </c>
    </row>
    <row r="13">
      <c r="A13" t="inlineStr">
        <is>
          <t>churn_tail</t>
        </is>
      </c>
      <c r="B13" s="2">
        <f>Assumptions!$E$53</f>
        <v/>
      </c>
      <c r="C13" t="inlineStr">
        <is>
          <t>churn_tail[MONTHLY]</t>
        </is>
      </c>
    </row>
    <row r="14">
      <c r="A14" t="inlineStr">
        <is>
          <t>annual_renewal_first</t>
        </is>
      </c>
      <c r="B14" s="2">
        <f>Assumptions!$E$56</f>
        <v/>
      </c>
      <c r="C14" t="inlineStr">
        <is>
          <t>annual_renewal_first[ANNUAL]</t>
        </is>
      </c>
    </row>
    <row r="15">
      <c r="A15" t="inlineStr">
        <is>
          <t>annual_renewal_later</t>
        </is>
      </c>
      <c r="B15" s="2">
        <f>Assumptions!$E$59</f>
        <v/>
      </c>
      <c r="C15" t="inlineStr">
        <is>
          <t>annual_renewal_later[ANNUAL]</t>
        </is>
      </c>
    </row>
    <row r="16">
      <c r="A16" t="inlineStr">
        <is>
          <t>react_rate</t>
        </is>
      </c>
      <c r="B16" s="2">
        <f>Assumptions!$E$62</f>
        <v/>
      </c>
      <c r="C16" t="inlineStr">
        <is>
          <t>react_rate[all]</t>
        </is>
      </c>
    </row>
    <row r="17">
      <c r="A17" t="inlineStr">
        <is>
          <t>react_window_months</t>
        </is>
      </c>
      <c r="B17" s="2">
        <f>Assumptions!$E$65</f>
        <v/>
      </c>
      <c r="C17" t="inlineStr">
        <is>
          <t>react_window_months[all]</t>
        </is>
      </c>
    </row>
    <row r="18">
      <c r="A18" t="inlineStr">
        <is>
          <t>react_churn_tail</t>
        </is>
      </c>
      <c r="B18" s="2">
        <f>Assumptions!$E$66</f>
        <v/>
      </c>
      <c r="C18" t="inlineStr">
        <is>
          <t>react_churn_tail[all]</t>
        </is>
      </c>
    </row>
    <row r="19">
      <c r="A19" t="inlineStr">
        <is>
          <t>open_subs</t>
        </is>
      </c>
      <c r="B19" s="2">
        <f>Assumptions!$E$67*1e+06</f>
        <v/>
      </c>
      <c r="C19" t="inlineStr">
        <is>
          <t>open_subs[all]</t>
        </is>
      </c>
    </row>
    <row r="20">
      <c r="A20" t="inlineStr">
        <is>
          <t>open_churn_tail</t>
        </is>
      </c>
      <c r="B20" s="2">
        <f>Assumptions!$E$78</f>
        <v/>
      </c>
      <c r="C20" t="inlineStr">
        <is>
          <t>open_churn_tail[MONTHLY]</t>
        </is>
      </c>
    </row>
    <row r="21">
      <c r="A21" t="inlineStr">
        <is>
          <t>open_y1_share</t>
        </is>
      </c>
      <c r="B21" s="2">
        <f>Assumptions!$E$77</f>
        <v/>
      </c>
      <c r="C21" t="inlineStr">
        <is>
          <t>open_y1_share[all]</t>
        </is>
      </c>
    </row>
    <row r="22">
      <c r="A22" t="inlineStr">
        <is>
          <t>avg_discount</t>
        </is>
      </c>
      <c r="B22" s="2">
        <f>Assumptions!$E$101</f>
        <v/>
      </c>
      <c r="C22" t="inlineStr">
        <is>
          <t>avg_discount[all]</t>
        </is>
      </c>
    </row>
    <row r="23">
      <c r="A23" t="inlineStr">
        <is>
          <t>fee_web</t>
        </is>
      </c>
      <c r="B23" s="2">
        <f>Assumptions!$E$105</f>
        <v/>
      </c>
      <c r="C23" t="inlineStr">
        <is>
          <t>store_fee[WEB]</t>
        </is>
      </c>
    </row>
    <row r="24">
      <c r="A24" t="inlineStr">
        <is>
          <t>fee_ios_y1</t>
        </is>
      </c>
      <c r="B24" s="2">
        <f>Assumptions!$E$102</f>
        <v/>
      </c>
      <c r="C24" t="inlineStr">
        <is>
          <t>store_fee[IOS_Y1]</t>
        </is>
      </c>
    </row>
    <row r="25">
      <c r="A25" t="inlineStr">
        <is>
          <t>fee_ios_later</t>
        </is>
      </c>
      <c r="B25" s="2">
        <f>Assumptions!$E$103</f>
        <v/>
      </c>
      <c r="C25" t="inlineStr">
        <is>
          <t>store_fee[IOS_LATER]</t>
        </is>
      </c>
    </row>
    <row r="26">
      <c r="A26" t="inlineStr">
        <is>
          <t>fee_android</t>
        </is>
      </c>
      <c r="B26" s="2">
        <f>Assumptions!$E$104</f>
        <v/>
      </c>
      <c r="C26" t="inlineStr">
        <is>
          <t>store_fee[ANDROID]</t>
        </is>
      </c>
    </row>
    <row r="27">
      <c r="A27" t="inlineStr">
        <is>
          <t>cal_target_subs</t>
        </is>
      </c>
      <c r="B27" s="2">
        <f>Assumptions!$E$134*1e+06</f>
        <v/>
      </c>
      <c r="C27" t="inlineStr">
        <is>
          <t>cal_subs_mid2025[all]</t>
        </is>
      </c>
    </row>
    <row r="28">
      <c r="A28" t="inlineStr">
        <is>
          <t>cal_month_index</t>
        </is>
      </c>
      <c r="B28" s="2">
        <f>Assumptions!$E$135</f>
        <v/>
      </c>
      <c r="C28" t="inlineStr">
        <is>
          <t>cal_month_index[all]</t>
        </is>
      </c>
    </row>
    <row r="29">
      <c r="A29" t="inlineStr">
        <is>
          <t>cal_rev_low</t>
        </is>
      </c>
      <c r="B29" s="2">
        <f>Assumptions!$G$137*1000000</f>
        <v/>
      </c>
      <c r="C29" t="inlineStr">
        <is>
          <t>cal_nitro_rev_2025 low</t>
        </is>
      </c>
    </row>
    <row r="30">
      <c r="A30" t="inlineStr">
        <is>
          <t>cal_rev_high</t>
        </is>
      </c>
      <c r="B30" s="2">
        <f>Assumptions!$H$137*1000000</f>
        <v/>
      </c>
      <c r="C30" t="inlineStr">
        <is>
          <t>cal_nitro_rev_2025 high</t>
        </is>
      </c>
    </row>
    <row r="31">
      <c r="A31" t="inlineStr">
        <is>
          <t>mau_share[US_CA]</t>
        </is>
      </c>
      <c r="B31" s="2">
        <f>Assumptions!$E$6</f>
        <v/>
      </c>
      <c r="C31" t="inlineStr">
        <is>
          <t>mau_share[US_CA]</t>
        </is>
      </c>
    </row>
    <row r="32">
      <c r="A32" t="inlineStr">
        <is>
          <t>mau_share[EUROPE]</t>
        </is>
      </c>
      <c r="B32" s="2">
        <f>Assumptions!$E$7</f>
        <v/>
      </c>
      <c r="C32" t="inlineStr">
        <is>
          <t>mau_share[EUROPE]</t>
        </is>
      </c>
    </row>
    <row r="33">
      <c r="A33" t="inlineStr">
        <is>
          <t>mau_share[LATAM]</t>
        </is>
      </c>
      <c r="B33" s="2">
        <f>Assumptions!$E$8</f>
        <v/>
      </c>
      <c r="C33" t="inlineStr">
        <is>
          <t>mau_share[LATAM]</t>
        </is>
      </c>
    </row>
    <row r="34">
      <c r="A34" t="inlineStr">
        <is>
          <t>mau_share[APAC]</t>
        </is>
      </c>
      <c r="B34" s="2">
        <f>Assumptions!$E$9</f>
        <v/>
      </c>
      <c r="C34" t="inlineStr">
        <is>
          <t>mau_share[APAC]</t>
        </is>
      </c>
    </row>
    <row r="35">
      <c r="A35" t="inlineStr">
        <is>
          <t>mau_share[ROW]</t>
        </is>
      </c>
      <c r="B35" s="2">
        <f>Assumptions!$E$10</f>
        <v/>
      </c>
      <c r="C35" t="inlineStr">
        <is>
          <t>mau_share[ROW]</t>
        </is>
      </c>
    </row>
    <row r="36">
      <c r="A36" t="inlineStr">
        <is>
          <t>conv_rate[US_CA]</t>
        </is>
      </c>
      <c r="B36" s="2">
        <f>Assumptions!$E$17</f>
        <v/>
      </c>
      <c r="C36" t="inlineStr">
        <is>
          <t>conv_rate[US_CA]</t>
        </is>
      </c>
    </row>
    <row r="37">
      <c r="A37" t="inlineStr">
        <is>
          <t>conv_rate[EUROPE]</t>
        </is>
      </c>
      <c r="B37" s="2">
        <f>Assumptions!$E$18</f>
        <v/>
      </c>
      <c r="C37" t="inlineStr">
        <is>
          <t>conv_rate[EUROPE]</t>
        </is>
      </c>
    </row>
    <row r="38">
      <c r="A38" t="inlineStr">
        <is>
          <t>conv_rate[LATAM]</t>
        </is>
      </c>
      <c r="B38" s="2">
        <f>Assumptions!$E$19</f>
        <v/>
      </c>
      <c r="C38" t="inlineStr">
        <is>
          <t>conv_rate[LATAM]</t>
        </is>
      </c>
    </row>
    <row r="39">
      <c r="A39" t="inlineStr">
        <is>
          <t>conv_rate[APAC]</t>
        </is>
      </c>
      <c r="B39" s="2">
        <f>Assumptions!$E$20</f>
        <v/>
      </c>
      <c r="C39" t="inlineStr">
        <is>
          <t>conv_rate[APAC]</t>
        </is>
      </c>
    </row>
    <row r="40">
      <c r="A40" t="inlineStr">
        <is>
          <t>conv_rate[ROW]</t>
        </is>
      </c>
      <c r="B40" s="2">
        <f>Assumptions!$E$21</f>
        <v/>
      </c>
      <c r="C40" t="inlineStr">
        <is>
          <t>conv_rate[ROW]</t>
        </is>
      </c>
    </row>
    <row r="41">
      <c r="A41" t="inlineStr">
        <is>
          <t>price_index[US_CA]</t>
        </is>
      </c>
      <c r="B41" s="2">
        <f>Assumptions!$E$85</f>
        <v/>
      </c>
      <c r="C41" t="inlineStr">
        <is>
          <t>price_index[US_CA]</t>
        </is>
      </c>
    </row>
    <row r="42">
      <c r="A42" t="inlineStr">
        <is>
          <t>price_index[EUROPE]</t>
        </is>
      </c>
      <c r="B42" s="2">
        <f>Assumptions!$E$86</f>
        <v/>
      </c>
      <c r="C42" t="inlineStr">
        <is>
          <t>price_index[EUROPE]</t>
        </is>
      </c>
    </row>
    <row r="43">
      <c r="A43" t="inlineStr">
        <is>
          <t>price_index[LATAM]</t>
        </is>
      </c>
      <c r="B43" s="2">
        <f>Assumptions!$E$87</f>
        <v/>
      </c>
      <c r="C43" t="inlineStr">
        <is>
          <t>price_index[LATAM]</t>
        </is>
      </c>
    </row>
    <row r="44">
      <c r="A44" t="inlineStr">
        <is>
          <t>price_index[APAC]</t>
        </is>
      </c>
      <c r="B44" s="2">
        <f>Assumptions!$E$88</f>
        <v/>
      </c>
      <c r="C44" t="inlineStr">
        <is>
          <t>price_index[APAC]</t>
        </is>
      </c>
    </row>
    <row r="45">
      <c r="A45" t="inlineStr">
        <is>
          <t>price_index[ROW]</t>
        </is>
      </c>
      <c r="B45" s="2">
        <f>Assumptions!$E$89</f>
        <v/>
      </c>
      <c r="C45" t="inlineStr">
        <is>
          <t>price_index[ROW]</t>
        </is>
      </c>
    </row>
    <row r="46">
      <c r="A46" t="inlineStr">
        <is>
          <t>indirect_tax[US_CA]</t>
        </is>
      </c>
      <c r="B46" s="2">
        <f>Assumptions!$E$90</f>
        <v/>
      </c>
      <c r="C46" t="inlineStr">
        <is>
          <t>indirect_tax[US_CA]</t>
        </is>
      </c>
    </row>
    <row r="47">
      <c r="A47" t="inlineStr">
        <is>
          <t>indirect_tax[EUROPE]</t>
        </is>
      </c>
      <c r="B47" s="2">
        <f>Assumptions!$E$91</f>
        <v/>
      </c>
      <c r="C47" t="inlineStr">
        <is>
          <t>indirect_tax[EUROPE]</t>
        </is>
      </c>
    </row>
    <row r="48">
      <c r="A48" t="inlineStr">
        <is>
          <t>indirect_tax[LATAM]</t>
        </is>
      </c>
      <c r="B48" s="2">
        <f>Assumptions!$E$92</f>
        <v/>
      </c>
      <c r="C48" t="inlineStr">
        <is>
          <t>indirect_tax[LATAM]</t>
        </is>
      </c>
    </row>
    <row r="49">
      <c r="A49" t="inlineStr">
        <is>
          <t>indirect_tax[APAC]</t>
        </is>
      </c>
      <c r="B49" s="2">
        <f>Assumptions!$E$93</f>
        <v/>
      </c>
      <c r="C49" t="inlineStr">
        <is>
          <t>indirect_tax[APAC]</t>
        </is>
      </c>
    </row>
    <row r="50">
      <c r="A50" t="inlineStr">
        <is>
          <t>indirect_tax[ROW]</t>
        </is>
      </c>
      <c r="B50" s="2">
        <f>Assumptions!$E$94</f>
        <v/>
      </c>
      <c r="C50" t="inlineStr">
        <is>
          <t>indirect_tax[ROW]</t>
        </is>
      </c>
    </row>
    <row r="51">
      <c r="A51" t="inlineStr">
        <is>
          <t>open_region_mix[US_CA]</t>
        </is>
      </c>
      <c r="B51" s="2">
        <f>Assumptions!$E$72</f>
        <v/>
      </c>
      <c r="C51" t="inlineStr">
        <is>
          <t>open_region_mix[US_CA]</t>
        </is>
      </c>
    </row>
    <row r="52">
      <c r="A52" t="inlineStr">
        <is>
          <t>open_region_mix[EUROPE]</t>
        </is>
      </c>
      <c r="B52" s="2">
        <f>Assumptions!$E$73</f>
        <v/>
      </c>
      <c r="C52" t="inlineStr">
        <is>
          <t>open_region_mix[EUROPE]</t>
        </is>
      </c>
    </row>
    <row r="53">
      <c r="A53" t="inlineStr">
        <is>
          <t>open_region_mix[LATAM]</t>
        </is>
      </c>
      <c r="B53" s="2">
        <f>Assumptions!$E$74</f>
        <v/>
      </c>
      <c r="C53" t="inlineStr">
        <is>
          <t>open_region_mix[LATAM]</t>
        </is>
      </c>
    </row>
    <row r="54">
      <c r="A54" t="inlineStr">
        <is>
          <t>open_region_mix[APAC]</t>
        </is>
      </c>
      <c r="B54" s="2">
        <f>Assumptions!$E$75</f>
        <v/>
      </c>
      <c r="C54" t="inlineStr">
        <is>
          <t>open_region_mix[APAC]</t>
        </is>
      </c>
    </row>
    <row r="55">
      <c r="A55" t="inlineStr">
        <is>
          <t>open_region_mix[ROW]</t>
        </is>
      </c>
      <c r="B55" s="2">
        <f>Assumptions!$E$76</f>
        <v/>
      </c>
      <c r="C55" t="inlineStr">
        <is>
          <t>open_region_mix[ROW]</t>
        </is>
      </c>
    </row>
    <row r="56">
      <c r="A56" t="inlineStr">
        <is>
          <t>platform_mix[US_CA|WEB]</t>
        </is>
      </c>
      <c r="B56" s="2">
        <f>Assumptions!$E$29</f>
        <v/>
      </c>
      <c r="C56" t="inlineStr">
        <is>
          <t>platform_mix[US_CA|WEB]</t>
        </is>
      </c>
    </row>
    <row r="57">
      <c r="A57" t="inlineStr">
        <is>
          <t>platform_mix[US_CA|IOS]</t>
        </is>
      </c>
      <c r="B57" s="2">
        <f>Assumptions!$E$30</f>
        <v/>
      </c>
      <c r="C57" t="inlineStr">
        <is>
          <t>platform_mix[US_CA|IOS]</t>
        </is>
      </c>
    </row>
    <row r="58">
      <c r="A58" t="inlineStr">
        <is>
          <t>platform_mix[US_CA|ANDROID]</t>
        </is>
      </c>
      <c r="B58" s="2">
        <f>Assumptions!$E$31</f>
        <v/>
      </c>
      <c r="C58" t="inlineStr">
        <is>
          <t>platform_mix[US_CA|ANDROID]</t>
        </is>
      </c>
    </row>
    <row r="59">
      <c r="A59" t="inlineStr">
        <is>
          <t>platform_mix[EUROPE|WEB]</t>
        </is>
      </c>
      <c r="B59" s="2">
        <f>Assumptions!$E$32</f>
        <v/>
      </c>
      <c r="C59" t="inlineStr">
        <is>
          <t>platform_mix[EUROPE|WEB]</t>
        </is>
      </c>
    </row>
    <row r="60">
      <c r="A60" t="inlineStr">
        <is>
          <t>platform_mix[EUROPE|IOS]</t>
        </is>
      </c>
      <c r="B60" s="2">
        <f>Assumptions!$E$33</f>
        <v/>
      </c>
      <c r="C60" t="inlineStr">
        <is>
          <t>platform_mix[EUROPE|IOS]</t>
        </is>
      </c>
    </row>
    <row r="61">
      <c r="A61" t="inlineStr">
        <is>
          <t>platform_mix[EUROPE|ANDROID]</t>
        </is>
      </c>
      <c r="B61" s="2">
        <f>Assumptions!$E$34</f>
        <v/>
      </c>
      <c r="C61" t="inlineStr">
        <is>
          <t>platform_mix[EUROPE|ANDROID]</t>
        </is>
      </c>
    </row>
    <row r="62">
      <c r="A62" t="inlineStr">
        <is>
          <t>platform_mix[LATAM|WEB]</t>
        </is>
      </c>
      <c r="B62" s="2">
        <f>Assumptions!$E$35</f>
        <v/>
      </c>
      <c r="C62" t="inlineStr">
        <is>
          <t>platform_mix[LATAM|WEB]</t>
        </is>
      </c>
    </row>
    <row r="63">
      <c r="A63" t="inlineStr">
        <is>
          <t>platform_mix[LATAM|IOS]</t>
        </is>
      </c>
      <c r="B63" s="2">
        <f>Assumptions!$E$36</f>
        <v/>
      </c>
      <c r="C63" t="inlineStr">
        <is>
          <t>platform_mix[LATAM|IOS]</t>
        </is>
      </c>
    </row>
    <row r="64">
      <c r="A64" t="inlineStr">
        <is>
          <t>platform_mix[LATAM|ANDROID]</t>
        </is>
      </c>
      <c r="B64" s="2">
        <f>Assumptions!$E$37</f>
        <v/>
      </c>
      <c r="C64" t="inlineStr">
        <is>
          <t>platform_mix[LATAM|ANDROID]</t>
        </is>
      </c>
    </row>
    <row r="65">
      <c r="A65" t="inlineStr">
        <is>
          <t>platform_mix[APAC|WEB]</t>
        </is>
      </c>
      <c r="B65" s="2">
        <f>Assumptions!$E$38</f>
        <v/>
      </c>
      <c r="C65" t="inlineStr">
        <is>
          <t>platform_mix[APAC|WEB]</t>
        </is>
      </c>
    </row>
    <row r="66">
      <c r="A66" t="inlineStr">
        <is>
          <t>platform_mix[APAC|IOS]</t>
        </is>
      </c>
      <c r="B66" s="2">
        <f>Assumptions!$E$39</f>
        <v/>
      </c>
      <c r="C66" t="inlineStr">
        <is>
          <t>platform_mix[APAC|IOS]</t>
        </is>
      </c>
    </row>
    <row r="67">
      <c r="A67" t="inlineStr">
        <is>
          <t>platform_mix[APAC|ANDROID]</t>
        </is>
      </c>
      <c r="B67" s="2">
        <f>Assumptions!$E$40</f>
        <v/>
      </c>
      <c r="C67" t="inlineStr">
        <is>
          <t>platform_mix[APAC|ANDROID]</t>
        </is>
      </c>
    </row>
    <row r="68">
      <c r="A68" t="inlineStr">
        <is>
          <t>platform_mix[ROW|WEB]</t>
        </is>
      </c>
      <c r="B68" s="2">
        <f>Assumptions!$E$41</f>
        <v/>
      </c>
      <c r="C68" t="inlineStr">
        <is>
          <t>platform_mix[ROW|WEB]</t>
        </is>
      </c>
    </row>
    <row r="69">
      <c r="A69" t="inlineStr">
        <is>
          <t>platform_mix[ROW|IOS]</t>
        </is>
      </c>
      <c r="B69" s="2">
        <f>Assumptions!$E$42</f>
        <v/>
      </c>
      <c r="C69" t="inlineStr">
        <is>
          <t>platform_mix[ROW|IOS]</t>
        </is>
      </c>
    </row>
    <row r="70">
      <c r="A70" t="inlineStr">
        <is>
          <t>platform_mix[ROW|ANDROID]</t>
        </is>
      </c>
      <c r="B70" s="2">
        <f>Assumptions!$E$43</f>
        <v/>
      </c>
      <c r="C70" t="inlineStr">
        <is>
          <t>platform_mix[ROW|ANDROID]</t>
        </is>
      </c>
    </row>
    <row r="71">
      <c r="A71" t="inlineStr">
        <is>
          <t>plan_mix[NITRO_M]</t>
        </is>
      </c>
      <c r="B71" s="2">
        <f>Assumptions!$E$25</f>
        <v/>
      </c>
      <c r="C71" t="inlineStr">
        <is>
          <t>plan_mix[NITRO_M]</t>
        </is>
      </c>
    </row>
    <row r="72">
      <c r="A72" t="inlineStr">
        <is>
          <t>plan_mix[NITRO_A]</t>
        </is>
      </c>
      <c r="B72" s="2">
        <f>Assumptions!$E$26</f>
        <v/>
      </c>
      <c r="C72" t="inlineStr">
        <is>
          <t>plan_mix[NITRO_A]</t>
        </is>
      </c>
    </row>
    <row r="73">
      <c r="A73" t="inlineStr">
        <is>
          <t>plan_mix[BASIC_M]</t>
        </is>
      </c>
      <c r="B73" s="2">
        <f>Assumptions!$E$27</f>
        <v/>
      </c>
      <c r="C73" t="inlineStr">
        <is>
          <t>plan_mix[BASIC_M]</t>
        </is>
      </c>
    </row>
    <row r="74">
      <c r="A74" t="inlineStr">
        <is>
          <t>plan_mix[BASIC_A]</t>
        </is>
      </c>
      <c r="B74" s="2">
        <f>Assumptions!$E$28</f>
        <v/>
      </c>
      <c r="C74" t="inlineStr">
        <is>
          <t>plan_mix[BASIC_A]</t>
        </is>
      </c>
    </row>
    <row r="75">
      <c r="A75" t="inlineStr">
        <is>
          <t>open_plan_mix[NITRO_M]</t>
        </is>
      </c>
      <c r="B75" s="2">
        <f>Assumptions!$E$68</f>
        <v/>
      </c>
      <c r="C75" t="inlineStr">
        <is>
          <t>open_plan_mix[NITRO_M]</t>
        </is>
      </c>
    </row>
    <row r="76">
      <c r="A76" t="inlineStr">
        <is>
          <t>open_plan_mix[NITRO_A]</t>
        </is>
      </c>
      <c r="B76" s="2">
        <f>Assumptions!$E$69</f>
        <v/>
      </c>
      <c r="C76" t="inlineStr">
        <is>
          <t>open_plan_mix[NITRO_A]</t>
        </is>
      </c>
    </row>
    <row r="77">
      <c r="A77" t="inlineStr">
        <is>
          <t>open_plan_mix[BASIC_M]</t>
        </is>
      </c>
      <c r="B77" s="2">
        <f>Assumptions!$E$70</f>
        <v/>
      </c>
      <c r="C77" t="inlineStr">
        <is>
          <t>open_plan_mix[BASIC_M]</t>
        </is>
      </c>
    </row>
    <row r="78">
      <c r="A78" t="inlineStr">
        <is>
          <t>open_plan_mix[BASIC_A]</t>
        </is>
      </c>
      <c r="B78" s="2">
        <f>Assumptions!$E$71</f>
        <v/>
      </c>
      <c r="C78" t="inlineStr">
        <is>
          <t>open_plan_mix[BASIC_A]</t>
        </is>
      </c>
    </row>
    <row r="79">
      <c r="A79" t="inlineStr">
        <is>
          <t>list_price[NITRO_M]</t>
        </is>
      </c>
      <c r="B79" s="2">
        <f>Assumptions!$E$81</f>
        <v/>
      </c>
      <c r="C79" t="inlineStr">
        <is>
          <t>list_price[NITRO_M]</t>
        </is>
      </c>
    </row>
    <row r="80">
      <c r="A80" t="inlineStr">
        <is>
          <t>list_price[NITRO_A]</t>
        </is>
      </c>
      <c r="B80" s="2">
        <f>Assumptions!$E$82</f>
        <v/>
      </c>
      <c r="C80" t="inlineStr">
        <is>
          <t>list_price[NITRO_A]</t>
        </is>
      </c>
    </row>
    <row r="81">
      <c r="A81" t="inlineStr">
        <is>
          <t>list_price[BASIC_M]</t>
        </is>
      </c>
      <c r="B81" s="2">
        <f>Assumptions!$E$83</f>
        <v/>
      </c>
      <c r="C81" t="inlineStr">
        <is>
          <t>list_price[BASIC_M]</t>
        </is>
      </c>
    </row>
    <row r="82">
      <c r="A82" t="inlineStr">
        <is>
          <t>list_price[BASIC_A]</t>
        </is>
      </c>
      <c r="B82" s="2">
        <f>Assumptions!$E$84</f>
        <v/>
      </c>
      <c r="C82" t="inlineStr">
        <is>
          <t>list_price[BASIC_A]</t>
        </is>
      </c>
    </row>
    <row r="83">
      <c r="A83" t="inlineStr">
        <is>
          <t>billing_months[NITRO_M]</t>
        </is>
      </c>
      <c r="B83" s="2" t="n">
        <v>1</v>
      </c>
      <c r="C83" t="inlineStr">
        <is>
          <t>structural: 1 = monthly, 12 = annual (recognized ratably)</t>
        </is>
      </c>
    </row>
    <row r="84">
      <c r="A84" t="inlineStr">
        <is>
          <t>billing_months[NITRO_A]</t>
        </is>
      </c>
      <c r="B84" s="2" t="n">
        <v>12</v>
      </c>
      <c r="C84" t="inlineStr">
        <is>
          <t>structural: 1 = monthly, 12 = annual (recognized ratably)</t>
        </is>
      </c>
    </row>
    <row r="85">
      <c r="A85" t="inlineStr">
        <is>
          <t>billing_months[BASIC_M]</t>
        </is>
      </c>
      <c r="B85" s="2" t="n">
        <v>1</v>
      </c>
      <c r="C85" t="inlineStr">
        <is>
          <t>structural: 1 = monthly, 12 = annual (recognized ratably)</t>
        </is>
      </c>
    </row>
    <row r="86">
      <c r="A86" t="inlineStr">
        <is>
          <t>billing_months[BASIC_A]</t>
        </is>
      </c>
      <c r="B86" s="2" t="n">
        <v>12</v>
      </c>
      <c r="C86" t="inlineStr">
        <is>
          <t>structural: 1 = monthly, 12 = annual (recognized ratably)</t>
        </is>
      </c>
    </row>
    <row r="87">
      <c r="A87" t="inlineStr">
        <is>
          <t>k_cal</t>
        </is>
      </c>
      <c r="B87" s="2" t="n">
        <v>0.6330712226209532</v>
      </c>
      <c r="C87" t="inlineStr">
        <is>
          <t>SOLVED in Python: conversion scalar that hits the subscriber anchor (see Checks)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curve</t>
        </is>
      </c>
      <c r="B1" t="inlineStr">
        <is>
          <t>age (months) -&gt;</t>
        </is>
      </c>
      <c r="C1" t="n">
        <v>0</v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  <c r="AB1" t="n">
        <v>25</v>
      </c>
      <c r="AC1" t="n">
        <v>26</v>
      </c>
      <c r="AD1" t="n">
        <v>27</v>
      </c>
      <c r="AE1" t="n">
        <v>28</v>
      </c>
      <c r="AF1" t="n">
        <v>29</v>
      </c>
      <c r="AG1" t="n">
        <v>30</v>
      </c>
      <c r="AH1" t="n">
        <v>31</v>
      </c>
      <c r="AI1" t="n">
        <v>32</v>
      </c>
      <c r="AJ1" t="n">
        <v>33</v>
      </c>
      <c r="AK1" t="n">
        <v>34</v>
      </c>
      <c r="AL1" t="n">
        <v>35</v>
      </c>
      <c r="AM1" t="n">
        <v>36</v>
      </c>
      <c r="AN1" t="n">
        <v>37</v>
      </c>
      <c r="AO1" t="n">
        <v>38</v>
      </c>
      <c r="AP1" t="n">
        <v>39</v>
      </c>
      <c r="AQ1" t="n">
        <v>40</v>
      </c>
      <c r="AR1" t="n">
        <v>41</v>
      </c>
      <c r="AS1" t="n">
        <v>42</v>
      </c>
      <c r="AT1" t="n">
        <v>43</v>
      </c>
      <c r="AU1" t="n">
        <v>44</v>
      </c>
      <c r="AV1" t="n">
        <v>45</v>
      </c>
      <c r="AW1" t="n">
        <v>46</v>
      </c>
      <c r="AX1" t="n">
        <v>47</v>
      </c>
      <c r="AY1" t="n">
        <v>48</v>
      </c>
      <c r="AZ1" t="n">
        <v>49</v>
      </c>
      <c r="BA1" t="n">
        <v>50</v>
      </c>
      <c r="BB1" t="n">
        <v>51</v>
      </c>
      <c r="BC1" t="n">
        <v>52</v>
      </c>
      <c r="BD1" t="n">
        <v>53</v>
      </c>
      <c r="BE1" t="n">
        <v>54</v>
      </c>
      <c r="BF1" t="n">
        <v>55</v>
      </c>
      <c r="BG1" t="n">
        <v>56</v>
      </c>
      <c r="BH1" t="n">
        <v>57</v>
      </c>
      <c r="BI1" t="n">
        <v>58</v>
      </c>
      <c r="BJ1" t="n">
        <v>59</v>
      </c>
      <c r="BK1" t="n">
        <v>60</v>
      </c>
      <c r="BL1" t="n">
        <v>61</v>
      </c>
      <c r="BM1" t="n">
        <v>62</v>
      </c>
      <c r="BN1" t="n">
        <v>63</v>
      </c>
      <c r="BO1" t="n">
        <v>64</v>
      </c>
      <c r="BP1" t="n">
        <v>65</v>
      </c>
      <c r="BQ1" t="n">
        <v>66</v>
      </c>
      <c r="BR1" t="n">
        <v>67</v>
      </c>
      <c r="BS1" t="n">
        <v>68</v>
      </c>
      <c r="BT1" t="n">
        <v>69</v>
      </c>
      <c r="BU1" t="n">
        <v>70</v>
      </c>
      <c r="BV1" t="n">
        <v>71</v>
      </c>
    </row>
    <row r="2">
      <c r="A2" t="inlineStr">
        <is>
          <t>S_MONTHLY</t>
        </is>
      </c>
      <c r="C2">
        <f>1</f>
        <v/>
      </c>
      <c r="D2">
        <f>C2*(1-IF(D$1=1,Params!$B$10,IF(D$1=2,Params!$B$11,IF(D$1=3,Params!$B$12,Params!$B$13))))</f>
        <v/>
      </c>
      <c r="E2">
        <f>D2*(1-IF(E$1=1,Params!$B$10,IF(E$1=2,Params!$B$11,IF(E$1=3,Params!$B$12,Params!$B$13))))</f>
        <v/>
      </c>
      <c r="F2">
        <f>E2*(1-IF(F$1=1,Params!$B$10,IF(F$1=2,Params!$B$11,IF(F$1=3,Params!$B$12,Params!$B$13))))</f>
        <v/>
      </c>
      <c r="G2">
        <f>F2*(1-IF(G$1=1,Params!$B$10,IF(G$1=2,Params!$B$11,IF(G$1=3,Params!$B$12,Params!$B$13))))</f>
        <v/>
      </c>
      <c r="H2">
        <f>G2*(1-IF(H$1=1,Params!$B$10,IF(H$1=2,Params!$B$11,IF(H$1=3,Params!$B$12,Params!$B$13))))</f>
        <v/>
      </c>
      <c r="I2">
        <f>H2*(1-IF(I$1=1,Params!$B$10,IF(I$1=2,Params!$B$11,IF(I$1=3,Params!$B$12,Params!$B$13))))</f>
        <v/>
      </c>
      <c r="J2">
        <f>I2*(1-IF(J$1=1,Params!$B$10,IF(J$1=2,Params!$B$11,IF(J$1=3,Params!$B$12,Params!$B$13))))</f>
        <v/>
      </c>
      <c r="K2">
        <f>J2*(1-IF(K$1=1,Params!$B$10,IF(K$1=2,Params!$B$11,IF(K$1=3,Params!$B$12,Params!$B$13))))</f>
        <v/>
      </c>
      <c r="L2">
        <f>K2*(1-IF(L$1=1,Params!$B$10,IF(L$1=2,Params!$B$11,IF(L$1=3,Params!$B$12,Params!$B$13))))</f>
        <v/>
      </c>
      <c r="M2">
        <f>L2*(1-IF(M$1=1,Params!$B$10,IF(M$1=2,Params!$B$11,IF(M$1=3,Params!$B$12,Params!$B$13))))</f>
        <v/>
      </c>
      <c r="N2">
        <f>M2*(1-IF(N$1=1,Params!$B$10,IF(N$1=2,Params!$B$11,IF(N$1=3,Params!$B$12,Params!$B$13))))</f>
        <v/>
      </c>
      <c r="O2">
        <f>N2*(1-IF(O$1=1,Params!$B$10,IF(O$1=2,Params!$B$11,IF(O$1=3,Params!$B$12,Params!$B$13))))</f>
        <v/>
      </c>
      <c r="P2">
        <f>O2*(1-IF(P$1=1,Params!$B$10,IF(P$1=2,Params!$B$11,IF(P$1=3,Params!$B$12,Params!$B$13))))</f>
        <v/>
      </c>
      <c r="Q2">
        <f>P2*(1-IF(Q$1=1,Params!$B$10,IF(Q$1=2,Params!$B$11,IF(Q$1=3,Params!$B$12,Params!$B$13))))</f>
        <v/>
      </c>
      <c r="R2">
        <f>Q2*(1-IF(R$1=1,Params!$B$10,IF(R$1=2,Params!$B$11,IF(R$1=3,Params!$B$12,Params!$B$13))))</f>
        <v/>
      </c>
      <c r="S2">
        <f>R2*(1-IF(S$1=1,Params!$B$10,IF(S$1=2,Params!$B$11,IF(S$1=3,Params!$B$12,Params!$B$13))))</f>
        <v/>
      </c>
      <c r="T2">
        <f>S2*(1-IF(T$1=1,Params!$B$10,IF(T$1=2,Params!$B$11,IF(T$1=3,Params!$B$12,Params!$B$13))))</f>
        <v/>
      </c>
      <c r="U2">
        <f>T2*(1-IF(U$1=1,Params!$B$10,IF(U$1=2,Params!$B$11,IF(U$1=3,Params!$B$12,Params!$B$13))))</f>
        <v/>
      </c>
      <c r="V2">
        <f>U2*(1-IF(V$1=1,Params!$B$10,IF(V$1=2,Params!$B$11,IF(V$1=3,Params!$B$12,Params!$B$13))))</f>
        <v/>
      </c>
      <c r="W2">
        <f>V2*(1-IF(W$1=1,Params!$B$10,IF(W$1=2,Params!$B$11,IF(W$1=3,Params!$B$12,Params!$B$13))))</f>
        <v/>
      </c>
      <c r="X2">
        <f>W2*(1-IF(X$1=1,Params!$B$10,IF(X$1=2,Params!$B$11,IF(X$1=3,Params!$B$12,Params!$B$13))))</f>
        <v/>
      </c>
      <c r="Y2">
        <f>X2*(1-IF(Y$1=1,Params!$B$10,IF(Y$1=2,Params!$B$11,IF(Y$1=3,Params!$B$12,Params!$B$13))))</f>
        <v/>
      </c>
      <c r="Z2">
        <f>Y2*(1-IF(Z$1=1,Params!$B$10,IF(Z$1=2,Params!$B$11,IF(Z$1=3,Params!$B$12,Params!$B$13))))</f>
        <v/>
      </c>
      <c r="AA2">
        <f>Z2*(1-IF(AA$1=1,Params!$B$10,IF(AA$1=2,Params!$B$11,IF(AA$1=3,Params!$B$12,Params!$B$13))))</f>
        <v/>
      </c>
      <c r="AB2">
        <f>AA2*(1-IF(AB$1=1,Params!$B$10,IF(AB$1=2,Params!$B$11,IF(AB$1=3,Params!$B$12,Params!$B$13))))</f>
        <v/>
      </c>
      <c r="AC2">
        <f>AB2*(1-IF(AC$1=1,Params!$B$10,IF(AC$1=2,Params!$B$11,IF(AC$1=3,Params!$B$12,Params!$B$13))))</f>
        <v/>
      </c>
      <c r="AD2">
        <f>AC2*(1-IF(AD$1=1,Params!$B$10,IF(AD$1=2,Params!$B$11,IF(AD$1=3,Params!$B$12,Params!$B$13))))</f>
        <v/>
      </c>
      <c r="AE2">
        <f>AD2*(1-IF(AE$1=1,Params!$B$10,IF(AE$1=2,Params!$B$11,IF(AE$1=3,Params!$B$12,Params!$B$13))))</f>
        <v/>
      </c>
      <c r="AF2">
        <f>AE2*(1-IF(AF$1=1,Params!$B$10,IF(AF$1=2,Params!$B$11,IF(AF$1=3,Params!$B$12,Params!$B$13))))</f>
        <v/>
      </c>
      <c r="AG2">
        <f>AF2*(1-IF(AG$1=1,Params!$B$10,IF(AG$1=2,Params!$B$11,IF(AG$1=3,Params!$B$12,Params!$B$13))))</f>
        <v/>
      </c>
      <c r="AH2">
        <f>AG2*(1-IF(AH$1=1,Params!$B$10,IF(AH$1=2,Params!$B$11,IF(AH$1=3,Params!$B$12,Params!$B$13))))</f>
        <v/>
      </c>
      <c r="AI2">
        <f>AH2*(1-IF(AI$1=1,Params!$B$10,IF(AI$1=2,Params!$B$11,IF(AI$1=3,Params!$B$12,Params!$B$13))))</f>
        <v/>
      </c>
      <c r="AJ2">
        <f>AI2*(1-IF(AJ$1=1,Params!$B$10,IF(AJ$1=2,Params!$B$11,IF(AJ$1=3,Params!$B$12,Params!$B$13))))</f>
        <v/>
      </c>
      <c r="AK2">
        <f>AJ2*(1-IF(AK$1=1,Params!$B$10,IF(AK$1=2,Params!$B$11,IF(AK$1=3,Params!$B$12,Params!$B$13))))</f>
        <v/>
      </c>
      <c r="AL2">
        <f>AK2*(1-IF(AL$1=1,Params!$B$10,IF(AL$1=2,Params!$B$11,IF(AL$1=3,Params!$B$12,Params!$B$13))))</f>
        <v/>
      </c>
      <c r="AM2">
        <f>AL2*(1-IF(AM$1=1,Params!$B$10,IF(AM$1=2,Params!$B$11,IF(AM$1=3,Params!$B$12,Params!$B$13))))</f>
        <v/>
      </c>
      <c r="AN2">
        <f>AM2*(1-IF(AN$1=1,Params!$B$10,IF(AN$1=2,Params!$B$11,IF(AN$1=3,Params!$B$12,Params!$B$13))))</f>
        <v/>
      </c>
      <c r="AO2">
        <f>AN2*(1-IF(AO$1=1,Params!$B$10,IF(AO$1=2,Params!$B$11,IF(AO$1=3,Params!$B$12,Params!$B$13))))</f>
        <v/>
      </c>
      <c r="AP2">
        <f>AO2*(1-IF(AP$1=1,Params!$B$10,IF(AP$1=2,Params!$B$11,IF(AP$1=3,Params!$B$12,Params!$B$13))))</f>
        <v/>
      </c>
      <c r="AQ2">
        <f>AP2*(1-IF(AQ$1=1,Params!$B$10,IF(AQ$1=2,Params!$B$11,IF(AQ$1=3,Params!$B$12,Params!$B$13))))</f>
        <v/>
      </c>
      <c r="AR2">
        <f>AQ2*(1-IF(AR$1=1,Params!$B$10,IF(AR$1=2,Params!$B$11,IF(AR$1=3,Params!$B$12,Params!$B$13))))</f>
        <v/>
      </c>
      <c r="AS2">
        <f>AR2*(1-IF(AS$1=1,Params!$B$10,IF(AS$1=2,Params!$B$11,IF(AS$1=3,Params!$B$12,Params!$B$13))))</f>
        <v/>
      </c>
      <c r="AT2">
        <f>AS2*(1-IF(AT$1=1,Params!$B$10,IF(AT$1=2,Params!$B$11,IF(AT$1=3,Params!$B$12,Params!$B$13))))</f>
        <v/>
      </c>
      <c r="AU2">
        <f>AT2*(1-IF(AU$1=1,Params!$B$10,IF(AU$1=2,Params!$B$11,IF(AU$1=3,Params!$B$12,Params!$B$13))))</f>
        <v/>
      </c>
      <c r="AV2">
        <f>AU2*(1-IF(AV$1=1,Params!$B$10,IF(AV$1=2,Params!$B$11,IF(AV$1=3,Params!$B$12,Params!$B$13))))</f>
        <v/>
      </c>
      <c r="AW2">
        <f>AV2*(1-IF(AW$1=1,Params!$B$10,IF(AW$1=2,Params!$B$11,IF(AW$1=3,Params!$B$12,Params!$B$13))))</f>
        <v/>
      </c>
      <c r="AX2">
        <f>AW2*(1-IF(AX$1=1,Params!$B$10,IF(AX$1=2,Params!$B$11,IF(AX$1=3,Params!$B$12,Params!$B$13))))</f>
        <v/>
      </c>
      <c r="AY2">
        <f>AX2*(1-IF(AY$1=1,Params!$B$10,IF(AY$1=2,Params!$B$11,IF(AY$1=3,Params!$B$12,Params!$B$13))))</f>
        <v/>
      </c>
      <c r="AZ2">
        <f>AY2*(1-IF(AZ$1=1,Params!$B$10,IF(AZ$1=2,Params!$B$11,IF(AZ$1=3,Params!$B$12,Params!$B$13))))</f>
        <v/>
      </c>
      <c r="BA2">
        <f>AZ2*(1-IF(BA$1=1,Params!$B$10,IF(BA$1=2,Params!$B$11,IF(BA$1=3,Params!$B$12,Params!$B$13))))</f>
        <v/>
      </c>
      <c r="BB2">
        <f>BA2*(1-IF(BB$1=1,Params!$B$10,IF(BB$1=2,Params!$B$11,IF(BB$1=3,Params!$B$12,Params!$B$13))))</f>
        <v/>
      </c>
      <c r="BC2">
        <f>BB2*(1-IF(BC$1=1,Params!$B$10,IF(BC$1=2,Params!$B$11,IF(BC$1=3,Params!$B$12,Params!$B$13))))</f>
        <v/>
      </c>
      <c r="BD2">
        <f>BC2*(1-IF(BD$1=1,Params!$B$10,IF(BD$1=2,Params!$B$11,IF(BD$1=3,Params!$B$12,Params!$B$13))))</f>
        <v/>
      </c>
      <c r="BE2">
        <f>BD2*(1-IF(BE$1=1,Params!$B$10,IF(BE$1=2,Params!$B$11,IF(BE$1=3,Params!$B$12,Params!$B$13))))</f>
        <v/>
      </c>
      <c r="BF2">
        <f>BE2*(1-IF(BF$1=1,Params!$B$10,IF(BF$1=2,Params!$B$11,IF(BF$1=3,Params!$B$12,Params!$B$13))))</f>
        <v/>
      </c>
      <c r="BG2">
        <f>BF2*(1-IF(BG$1=1,Params!$B$10,IF(BG$1=2,Params!$B$11,IF(BG$1=3,Params!$B$12,Params!$B$13))))</f>
        <v/>
      </c>
      <c r="BH2">
        <f>BG2*(1-IF(BH$1=1,Params!$B$10,IF(BH$1=2,Params!$B$11,IF(BH$1=3,Params!$B$12,Params!$B$13))))</f>
        <v/>
      </c>
      <c r="BI2">
        <f>BH2*(1-IF(BI$1=1,Params!$B$10,IF(BI$1=2,Params!$B$11,IF(BI$1=3,Params!$B$12,Params!$B$13))))</f>
        <v/>
      </c>
      <c r="BJ2">
        <f>BI2*(1-IF(BJ$1=1,Params!$B$10,IF(BJ$1=2,Params!$B$11,IF(BJ$1=3,Params!$B$12,Params!$B$13))))</f>
        <v/>
      </c>
      <c r="BK2">
        <f>BJ2*(1-IF(BK$1=1,Params!$B$10,IF(BK$1=2,Params!$B$11,IF(BK$1=3,Params!$B$12,Params!$B$13))))</f>
        <v/>
      </c>
      <c r="BL2">
        <f>BK2*(1-IF(BL$1=1,Params!$B$10,IF(BL$1=2,Params!$B$11,IF(BL$1=3,Params!$B$12,Params!$B$13))))</f>
        <v/>
      </c>
      <c r="BM2">
        <f>BL2*(1-IF(BM$1=1,Params!$B$10,IF(BM$1=2,Params!$B$11,IF(BM$1=3,Params!$B$12,Params!$B$13))))</f>
        <v/>
      </c>
      <c r="BN2">
        <f>BM2*(1-IF(BN$1=1,Params!$B$10,IF(BN$1=2,Params!$B$11,IF(BN$1=3,Params!$B$12,Params!$B$13))))</f>
        <v/>
      </c>
      <c r="BO2">
        <f>BN2*(1-IF(BO$1=1,Params!$B$10,IF(BO$1=2,Params!$B$11,IF(BO$1=3,Params!$B$12,Params!$B$13))))</f>
        <v/>
      </c>
      <c r="BP2">
        <f>BO2*(1-IF(BP$1=1,Params!$B$10,IF(BP$1=2,Params!$B$11,IF(BP$1=3,Params!$B$12,Params!$B$13))))</f>
        <v/>
      </c>
      <c r="BQ2">
        <f>BP2*(1-IF(BQ$1=1,Params!$B$10,IF(BQ$1=2,Params!$B$11,IF(BQ$1=3,Params!$B$12,Params!$B$13))))</f>
        <v/>
      </c>
      <c r="BR2">
        <f>BQ2*(1-IF(BR$1=1,Params!$B$10,IF(BR$1=2,Params!$B$11,IF(BR$1=3,Params!$B$12,Params!$B$13))))</f>
        <v/>
      </c>
      <c r="BS2">
        <f>BR2*(1-IF(BS$1=1,Params!$B$10,IF(BS$1=2,Params!$B$11,IF(BS$1=3,Params!$B$12,Params!$B$13))))</f>
        <v/>
      </c>
      <c r="BT2">
        <f>BS2*(1-IF(BT$1=1,Params!$B$10,IF(BT$1=2,Params!$B$11,IF(BT$1=3,Params!$B$12,Params!$B$13))))</f>
        <v/>
      </c>
      <c r="BU2">
        <f>BT2*(1-IF(BU$1=1,Params!$B$10,IF(BU$1=2,Params!$B$11,IF(BU$1=3,Params!$B$12,Params!$B$13))))</f>
        <v/>
      </c>
      <c r="BV2">
        <f>BU2*(1-IF(BV$1=1,Params!$B$10,IF(BV$1=2,Params!$B$11,IF(BV$1=3,Params!$B$12,Params!$B$13))))</f>
        <v/>
      </c>
    </row>
    <row r="3">
      <c r="A3" t="inlineStr">
        <is>
          <t>S_ANNUAL</t>
        </is>
      </c>
      <c r="C3">
        <f>IF(C$1&lt;12,1,Params!$B$14*Params!$B$15^(INT(C$1/12)-1))</f>
        <v/>
      </c>
      <c r="D3">
        <f>IF(D$1&lt;12,1,Params!$B$14*Params!$B$15^(INT(D$1/12)-1))</f>
        <v/>
      </c>
      <c r="E3">
        <f>IF(E$1&lt;12,1,Params!$B$14*Params!$B$15^(INT(E$1/12)-1))</f>
        <v/>
      </c>
      <c r="F3">
        <f>IF(F$1&lt;12,1,Params!$B$14*Params!$B$15^(INT(F$1/12)-1))</f>
        <v/>
      </c>
      <c r="G3">
        <f>IF(G$1&lt;12,1,Params!$B$14*Params!$B$15^(INT(G$1/12)-1))</f>
        <v/>
      </c>
      <c r="H3">
        <f>IF(H$1&lt;12,1,Params!$B$14*Params!$B$15^(INT(H$1/12)-1))</f>
        <v/>
      </c>
      <c r="I3">
        <f>IF(I$1&lt;12,1,Params!$B$14*Params!$B$15^(INT(I$1/12)-1))</f>
        <v/>
      </c>
      <c r="J3">
        <f>IF(J$1&lt;12,1,Params!$B$14*Params!$B$15^(INT(J$1/12)-1))</f>
        <v/>
      </c>
      <c r="K3">
        <f>IF(K$1&lt;12,1,Params!$B$14*Params!$B$15^(INT(K$1/12)-1))</f>
        <v/>
      </c>
      <c r="L3">
        <f>IF(L$1&lt;12,1,Params!$B$14*Params!$B$15^(INT(L$1/12)-1))</f>
        <v/>
      </c>
      <c r="M3">
        <f>IF(M$1&lt;12,1,Params!$B$14*Params!$B$15^(INT(M$1/12)-1))</f>
        <v/>
      </c>
      <c r="N3">
        <f>IF(N$1&lt;12,1,Params!$B$14*Params!$B$15^(INT(N$1/12)-1))</f>
        <v/>
      </c>
      <c r="O3">
        <f>IF(O$1&lt;12,1,Params!$B$14*Params!$B$15^(INT(O$1/12)-1))</f>
        <v/>
      </c>
      <c r="P3">
        <f>IF(P$1&lt;12,1,Params!$B$14*Params!$B$15^(INT(P$1/12)-1))</f>
        <v/>
      </c>
      <c r="Q3">
        <f>IF(Q$1&lt;12,1,Params!$B$14*Params!$B$15^(INT(Q$1/12)-1))</f>
        <v/>
      </c>
      <c r="R3">
        <f>IF(R$1&lt;12,1,Params!$B$14*Params!$B$15^(INT(R$1/12)-1))</f>
        <v/>
      </c>
      <c r="S3">
        <f>IF(S$1&lt;12,1,Params!$B$14*Params!$B$15^(INT(S$1/12)-1))</f>
        <v/>
      </c>
      <c r="T3">
        <f>IF(T$1&lt;12,1,Params!$B$14*Params!$B$15^(INT(T$1/12)-1))</f>
        <v/>
      </c>
      <c r="U3">
        <f>IF(U$1&lt;12,1,Params!$B$14*Params!$B$15^(INT(U$1/12)-1))</f>
        <v/>
      </c>
      <c r="V3">
        <f>IF(V$1&lt;12,1,Params!$B$14*Params!$B$15^(INT(V$1/12)-1))</f>
        <v/>
      </c>
      <c r="W3">
        <f>IF(W$1&lt;12,1,Params!$B$14*Params!$B$15^(INT(W$1/12)-1))</f>
        <v/>
      </c>
      <c r="X3">
        <f>IF(X$1&lt;12,1,Params!$B$14*Params!$B$15^(INT(X$1/12)-1))</f>
        <v/>
      </c>
      <c r="Y3">
        <f>IF(Y$1&lt;12,1,Params!$B$14*Params!$B$15^(INT(Y$1/12)-1))</f>
        <v/>
      </c>
      <c r="Z3">
        <f>IF(Z$1&lt;12,1,Params!$B$14*Params!$B$15^(INT(Z$1/12)-1))</f>
        <v/>
      </c>
      <c r="AA3">
        <f>IF(AA$1&lt;12,1,Params!$B$14*Params!$B$15^(INT(AA$1/12)-1))</f>
        <v/>
      </c>
      <c r="AB3">
        <f>IF(AB$1&lt;12,1,Params!$B$14*Params!$B$15^(INT(AB$1/12)-1))</f>
        <v/>
      </c>
      <c r="AC3">
        <f>IF(AC$1&lt;12,1,Params!$B$14*Params!$B$15^(INT(AC$1/12)-1))</f>
        <v/>
      </c>
      <c r="AD3">
        <f>IF(AD$1&lt;12,1,Params!$B$14*Params!$B$15^(INT(AD$1/12)-1))</f>
        <v/>
      </c>
      <c r="AE3">
        <f>IF(AE$1&lt;12,1,Params!$B$14*Params!$B$15^(INT(AE$1/12)-1))</f>
        <v/>
      </c>
      <c r="AF3">
        <f>IF(AF$1&lt;12,1,Params!$B$14*Params!$B$15^(INT(AF$1/12)-1))</f>
        <v/>
      </c>
      <c r="AG3">
        <f>IF(AG$1&lt;12,1,Params!$B$14*Params!$B$15^(INT(AG$1/12)-1))</f>
        <v/>
      </c>
      <c r="AH3">
        <f>IF(AH$1&lt;12,1,Params!$B$14*Params!$B$15^(INT(AH$1/12)-1))</f>
        <v/>
      </c>
      <c r="AI3">
        <f>IF(AI$1&lt;12,1,Params!$B$14*Params!$B$15^(INT(AI$1/12)-1))</f>
        <v/>
      </c>
      <c r="AJ3">
        <f>IF(AJ$1&lt;12,1,Params!$B$14*Params!$B$15^(INT(AJ$1/12)-1))</f>
        <v/>
      </c>
      <c r="AK3">
        <f>IF(AK$1&lt;12,1,Params!$B$14*Params!$B$15^(INT(AK$1/12)-1))</f>
        <v/>
      </c>
      <c r="AL3">
        <f>IF(AL$1&lt;12,1,Params!$B$14*Params!$B$15^(INT(AL$1/12)-1))</f>
        <v/>
      </c>
      <c r="AM3">
        <f>IF(AM$1&lt;12,1,Params!$B$14*Params!$B$15^(INT(AM$1/12)-1))</f>
        <v/>
      </c>
      <c r="AN3">
        <f>IF(AN$1&lt;12,1,Params!$B$14*Params!$B$15^(INT(AN$1/12)-1))</f>
        <v/>
      </c>
      <c r="AO3">
        <f>IF(AO$1&lt;12,1,Params!$B$14*Params!$B$15^(INT(AO$1/12)-1))</f>
        <v/>
      </c>
      <c r="AP3">
        <f>IF(AP$1&lt;12,1,Params!$B$14*Params!$B$15^(INT(AP$1/12)-1))</f>
        <v/>
      </c>
      <c r="AQ3">
        <f>IF(AQ$1&lt;12,1,Params!$B$14*Params!$B$15^(INT(AQ$1/12)-1))</f>
        <v/>
      </c>
      <c r="AR3">
        <f>IF(AR$1&lt;12,1,Params!$B$14*Params!$B$15^(INT(AR$1/12)-1))</f>
        <v/>
      </c>
      <c r="AS3">
        <f>IF(AS$1&lt;12,1,Params!$B$14*Params!$B$15^(INT(AS$1/12)-1))</f>
        <v/>
      </c>
      <c r="AT3">
        <f>IF(AT$1&lt;12,1,Params!$B$14*Params!$B$15^(INT(AT$1/12)-1))</f>
        <v/>
      </c>
      <c r="AU3">
        <f>IF(AU$1&lt;12,1,Params!$B$14*Params!$B$15^(INT(AU$1/12)-1))</f>
        <v/>
      </c>
      <c r="AV3">
        <f>IF(AV$1&lt;12,1,Params!$B$14*Params!$B$15^(INT(AV$1/12)-1))</f>
        <v/>
      </c>
      <c r="AW3">
        <f>IF(AW$1&lt;12,1,Params!$B$14*Params!$B$15^(INT(AW$1/12)-1))</f>
        <v/>
      </c>
      <c r="AX3">
        <f>IF(AX$1&lt;12,1,Params!$B$14*Params!$B$15^(INT(AX$1/12)-1))</f>
        <v/>
      </c>
      <c r="AY3">
        <f>IF(AY$1&lt;12,1,Params!$B$14*Params!$B$15^(INT(AY$1/12)-1))</f>
        <v/>
      </c>
      <c r="AZ3">
        <f>IF(AZ$1&lt;12,1,Params!$B$14*Params!$B$15^(INT(AZ$1/12)-1))</f>
        <v/>
      </c>
      <c r="BA3">
        <f>IF(BA$1&lt;12,1,Params!$B$14*Params!$B$15^(INT(BA$1/12)-1))</f>
        <v/>
      </c>
      <c r="BB3">
        <f>IF(BB$1&lt;12,1,Params!$B$14*Params!$B$15^(INT(BB$1/12)-1))</f>
        <v/>
      </c>
      <c r="BC3">
        <f>IF(BC$1&lt;12,1,Params!$B$14*Params!$B$15^(INT(BC$1/12)-1))</f>
        <v/>
      </c>
      <c r="BD3">
        <f>IF(BD$1&lt;12,1,Params!$B$14*Params!$B$15^(INT(BD$1/12)-1))</f>
        <v/>
      </c>
      <c r="BE3">
        <f>IF(BE$1&lt;12,1,Params!$B$14*Params!$B$15^(INT(BE$1/12)-1))</f>
        <v/>
      </c>
      <c r="BF3">
        <f>IF(BF$1&lt;12,1,Params!$B$14*Params!$B$15^(INT(BF$1/12)-1))</f>
        <v/>
      </c>
      <c r="BG3">
        <f>IF(BG$1&lt;12,1,Params!$B$14*Params!$B$15^(INT(BG$1/12)-1))</f>
        <v/>
      </c>
      <c r="BH3">
        <f>IF(BH$1&lt;12,1,Params!$B$14*Params!$B$15^(INT(BH$1/12)-1))</f>
        <v/>
      </c>
      <c r="BI3">
        <f>IF(BI$1&lt;12,1,Params!$B$14*Params!$B$15^(INT(BI$1/12)-1))</f>
        <v/>
      </c>
      <c r="BJ3">
        <f>IF(BJ$1&lt;12,1,Params!$B$14*Params!$B$15^(INT(BJ$1/12)-1))</f>
        <v/>
      </c>
      <c r="BK3">
        <f>IF(BK$1&lt;12,1,Params!$B$14*Params!$B$15^(INT(BK$1/12)-1))</f>
        <v/>
      </c>
      <c r="BL3">
        <f>IF(BL$1&lt;12,1,Params!$B$14*Params!$B$15^(INT(BL$1/12)-1))</f>
        <v/>
      </c>
      <c r="BM3">
        <f>IF(BM$1&lt;12,1,Params!$B$14*Params!$B$15^(INT(BM$1/12)-1))</f>
        <v/>
      </c>
      <c r="BN3">
        <f>IF(BN$1&lt;12,1,Params!$B$14*Params!$B$15^(INT(BN$1/12)-1))</f>
        <v/>
      </c>
      <c r="BO3">
        <f>IF(BO$1&lt;12,1,Params!$B$14*Params!$B$15^(INT(BO$1/12)-1))</f>
        <v/>
      </c>
      <c r="BP3">
        <f>IF(BP$1&lt;12,1,Params!$B$14*Params!$B$15^(INT(BP$1/12)-1))</f>
        <v/>
      </c>
      <c r="BQ3">
        <f>IF(BQ$1&lt;12,1,Params!$B$14*Params!$B$15^(INT(BQ$1/12)-1))</f>
        <v/>
      </c>
      <c r="BR3">
        <f>IF(BR$1&lt;12,1,Params!$B$14*Params!$B$15^(INT(BR$1/12)-1))</f>
        <v/>
      </c>
      <c r="BS3">
        <f>IF(BS$1&lt;12,1,Params!$B$14*Params!$B$15^(INT(BS$1/12)-1))</f>
        <v/>
      </c>
      <c r="BT3">
        <f>IF(BT$1&lt;12,1,Params!$B$14*Params!$B$15^(INT(BT$1/12)-1))</f>
        <v/>
      </c>
      <c r="BU3">
        <f>IF(BU$1&lt;12,1,Params!$B$14*Params!$B$15^(INT(BU$1/12)-1))</f>
        <v/>
      </c>
      <c r="BV3">
        <f>IF(BV$1&lt;12,1,Params!$B$14*Params!$B$15^(INT(BV$1/12)-1))</f>
        <v/>
      </c>
    </row>
    <row r="4">
      <c r="A4" t="inlineStr">
        <is>
          <t>D_MONTHLY</t>
        </is>
      </c>
      <c r="C4">
        <f>0</f>
        <v/>
      </c>
      <c r="D4">
        <f>C2-D2</f>
        <v/>
      </c>
      <c r="E4">
        <f>D2-E2</f>
        <v/>
      </c>
      <c r="F4">
        <f>E2-F2</f>
        <v/>
      </c>
      <c r="G4">
        <f>F2-G2</f>
        <v/>
      </c>
      <c r="H4">
        <f>G2-H2</f>
        <v/>
      </c>
      <c r="I4">
        <f>H2-I2</f>
        <v/>
      </c>
      <c r="J4">
        <f>I2-J2</f>
        <v/>
      </c>
      <c r="K4">
        <f>J2-K2</f>
        <v/>
      </c>
      <c r="L4">
        <f>K2-L2</f>
        <v/>
      </c>
      <c r="M4">
        <f>L2-M2</f>
        <v/>
      </c>
      <c r="N4">
        <f>M2-N2</f>
        <v/>
      </c>
      <c r="O4">
        <f>N2-O2</f>
        <v/>
      </c>
      <c r="P4">
        <f>O2-P2</f>
        <v/>
      </c>
      <c r="Q4">
        <f>P2-Q2</f>
        <v/>
      </c>
      <c r="R4">
        <f>Q2-R2</f>
        <v/>
      </c>
      <c r="S4">
        <f>R2-S2</f>
        <v/>
      </c>
      <c r="T4">
        <f>S2-T2</f>
        <v/>
      </c>
      <c r="U4">
        <f>T2-U2</f>
        <v/>
      </c>
      <c r="V4">
        <f>U2-V2</f>
        <v/>
      </c>
      <c r="W4">
        <f>V2-W2</f>
        <v/>
      </c>
      <c r="X4">
        <f>W2-X2</f>
        <v/>
      </c>
      <c r="Y4">
        <f>X2-Y2</f>
        <v/>
      </c>
      <c r="Z4">
        <f>Y2-Z2</f>
        <v/>
      </c>
      <c r="AA4">
        <f>Z2-AA2</f>
        <v/>
      </c>
      <c r="AB4">
        <f>AA2-AB2</f>
        <v/>
      </c>
      <c r="AC4">
        <f>AB2-AC2</f>
        <v/>
      </c>
      <c r="AD4">
        <f>AC2-AD2</f>
        <v/>
      </c>
      <c r="AE4">
        <f>AD2-AE2</f>
        <v/>
      </c>
      <c r="AF4">
        <f>AE2-AF2</f>
        <v/>
      </c>
      <c r="AG4">
        <f>AF2-AG2</f>
        <v/>
      </c>
      <c r="AH4">
        <f>AG2-AH2</f>
        <v/>
      </c>
      <c r="AI4">
        <f>AH2-AI2</f>
        <v/>
      </c>
      <c r="AJ4">
        <f>AI2-AJ2</f>
        <v/>
      </c>
      <c r="AK4">
        <f>AJ2-AK2</f>
        <v/>
      </c>
      <c r="AL4">
        <f>AK2-AL2</f>
        <v/>
      </c>
      <c r="AM4">
        <f>AL2-AM2</f>
        <v/>
      </c>
      <c r="AN4">
        <f>AM2-AN2</f>
        <v/>
      </c>
      <c r="AO4">
        <f>AN2-AO2</f>
        <v/>
      </c>
      <c r="AP4">
        <f>AO2-AP2</f>
        <v/>
      </c>
      <c r="AQ4">
        <f>AP2-AQ2</f>
        <v/>
      </c>
      <c r="AR4">
        <f>AQ2-AR2</f>
        <v/>
      </c>
      <c r="AS4">
        <f>AR2-AS2</f>
        <v/>
      </c>
      <c r="AT4">
        <f>AS2-AT2</f>
        <v/>
      </c>
      <c r="AU4">
        <f>AT2-AU2</f>
        <v/>
      </c>
      <c r="AV4">
        <f>AU2-AV2</f>
        <v/>
      </c>
      <c r="AW4">
        <f>AV2-AW2</f>
        <v/>
      </c>
      <c r="AX4">
        <f>AW2-AX2</f>
        <v/>
      </c>
      <c r="AY4">
        <f>AX2-AY2</f>
        <v/>
      </c>
      <c r="AZ4">
        <f>AY2-AZ2</f>
        <v/>
      </c>
      <c r="BA4">
        <f>AZ2-BA2</f>
        <v/>
      </c>
      <c r="BB4">
        <f>BA2-BB2</f>
        <v/>
      </c>
      <c r="BC4">
        <f>BB2-BC2</f>
        <v/>
      </c>
      <c r="BD4">
        <f>BC2-BD2</f>
        <v/>
      </c>
      <c r="BE4">
        <f>BD2-BE2</f>
        <v/>
      </c>
      <c r="BF4">
        <f>BE2-BF2</f>
        <v/>
      </c>
      <c r="BG4">
        <f>BF2-BG2</f>
        <v/>
      </c>
      <c r="BH4">
        <f>BG2-BH2</f>
        <v/>
      </c>
      <c r="BI4">
        <f>BH2-BI2</f>
        <v/>
      </c>
      <c r="BJ4">
        <f>BI2-BJ2</f>
        <v/>
      </c>
      <c r="BK4">
        <f>BJ2-BK2</f>
        <v/>
      </c>
      <c r="BL4">
        <f>BK2-BL2</f>
        <v/>
      </c>
      <c r="BM4">
        <f>BL2-BM2</f>
        <v/>
      </c>
      <c r="BN4">
        <f>BM2-BN2</f>
        <v/>
      </c>
      <c r="BO4">
        <f>BN2-BO2</f>
        <v/>
      </c>
      <c r="BP4">
        <f>BO2-BP2</f>
        <v/>
      </c>
      <c r="BQ4">
        <f>BP2-BQ2</f>
        <v/>
      </c>
      <c r="BR4">
        <f>BQ2-BR2</f>
        <v/>
      </c>
      <c r="BS4">
        <f>BR2-BS2</f>
        <v/>
      </c>
      <c r="BT4">
        <f>BS2-BT2</f>
        <v/>
      </c>
      <c r="BU4">
        <f>BT2-BU2</f>
        <v/>
      </c>
      <c r="BV4">
        <f>BU2-BV2</f>
        <v/>
      </c>
    </row>
    <row r="5">
      <c r="A5" t="inlineStr">
        <is>
          <t>D_ANNUAL</t>
        </is>
      </c>
      <c r="C5">
        <f>0</f>
        <v/>
      </c>
      <c r="D5">
        <f>C3-D3</f>
        <v/>
      </c>
      <c r="E5">
        <f>D3-E3</f>
        <v/>
      </c>
      <c r="F5">
        <f>E3-F3</f>
        <v/>
      </c>
      <c r="G5">
        <f>F3-G3</f>
        <v/>
      </c>
      <c r="H5">
        <f>G3-H3</f>
        <v/>
      </c>
      <c r="I5">
        <f>H3-I3</f>
        <v/>
      </c>
      <c r="J5">
        <f>I3-J3</f>
        <v/>
      </c>
      <c r="K5">
        <f>J3-K3</f>
        <v/>
      </c>
      <c r="L5">
        <f>K3-L3</f>
        <v/>
      </c>
      <c r="M5">
        <f>L3-M3</f>
        <v/>
      </c>
      <c r="N5">
        <f>M3-N3</f>
        <v/>
      </c>
      <c r="O5">
        <f>N3-O3</f>
        <v/>
      </c>
      <c r="P5">
        <f>O3-P3</f>
        <v/>
      </c>
      <c r="Q5">
        <f>P3-Q3</f>
        <v/>
      </c>
      <c r="R5">
        <f>Q3-R3</f>
        <v/>
      </c>
      <c r="S5">
        <f>R3-S3</f>
        <v/>
      </c>
      <c r="T5">
        <f>S3-T3</f>
        <v/>
      </c>
      <c r="U5">
        <f>T3-U3</f>
        <v/>
      </c>
      <c r="V5">
        <f>U3-V3</f>
        <v/>
      </c>
      <c r="W5">
        <f>V3-W3</f>
        <v/>
      </c>
      <c r="X5">
        <f>W3-X3</f>
        <v/>
      </c>
      <c r="Y5">
        <f>X3-Y3</f>
        <v/>
      </c>
      <c r="Z5">
        <f>Y3-Z3</f>
        <v/>
      </c>
      <c r="AA5">
        <f>Z3-AA3</f>
        <v/>
      </c>
      <c r="AB5">
        <f>AA3-AB3</f>
        <v/>
      </c>
      <c r="AC5">
        <f>AB3-AC3</f>
        <v/>
      </c>
      <c r="AD5">
        <f>AC3-AD3</f>
        <v/>
      </c>
      <c r="AE5">
        <f>AD3-AE3</f>
        <v/>
      </c>
      <c r="AF5">
        <f>AE3-AF3</f>
        <v/>
      </c>
      <c r="AG5">
        <f>AF3-AG3</f>
        <v/>
      </c>
      <c r="AH5">
        <f>AG3-AH3</f>
        <v/>
      </c>
      <c r="AI5">
        <f>AH3-AI3</f>
        <v/>
      </c>
      <c r="AJ5">
        <f>AI3-AJ3</f>
        <v/>
      </c>
      <c r="AK5">
        <f>AJ3-AK3</f>
        <v/>
      </c>
      <c r="AL5">
        <f>AK3-AL3</f>
        <v/>
      </c>
      <c r="AM5">
        <f>AL3-AM3</f>
        <v/>
      </c>
      <c r="AN5">
        <f>AM3-AN3</f>
        <v/>
      </c>
      <c r="AO5">
        <f>AN3-AO3</f>
        <v/>
      </c>
      <c r="AP5">
        <f>AO3-AP3</f>
        <v/>
      </c>
      <c r="AQ5">
        <f>AP3-AQ3</f>
        <v/>
      </c>
      <c r="AR5">
        <f>AQ3-AR3</f>
        <v/>
      </c>
      <c r="AS5">
        <f>AR3-AS3</f>
        <v/>
      </c>
      <c r="AT5">
        <f>AS3-AT3</f>
        <v/>
      </c>
      <c r="AU5">
        <f>AT3-AU3</f>
        <v/>
      </c>
      <c r="AV5">
        <f>AU3-AV3</f>
        <v/>
      </c>
      <c r="AW5">
        <f>AV3-AW3</f>
        <v/>
      </c>
      <c r="AX5">
        <f>AW3-AX3</f>
        <v/>
      </c>
      <c r="AY5">
        <f>AX3-AY3</f>
        <v/>
      </c>
      <c r="AZ5">
        <f>AY3-AZ3</f>
        <v/>
      </c>
      <c r="BA5">
        <f>AZ3-BA3</f>
        <v/>
      </c>
      <c r="BB5">
        <f>BA3-BB3</f>
        <v/>
      </c>
      <c r="BC5">
        <f>BB3-BC3</f>
        <v/>
      </c>
      <c r="BD5">
        <f>BC3-BD3</f>
        <v/>
      </c>
      <c r="BE5">
        <f>BD3-BE3</f>
        <v/>
      </c>
      <c r="BF5">
        <f>BE3-BF3</f>
        <v/>
      </c>
      <c r="BG5">
        <f>BF3-BG3</f>
        <v/>
      </c>
      <c r="BH5">
        <f>BG3-BH3</f>
        <v/>
      </c>
      <c r="BI5">
        <f>BH3-BI3</f>
        <v/>
      </c>
      <c r="BJ5">
        <f>BI3-BJ3</f>
        <v/>
      </c>
      <c r="BK5">
        <f>BJ3-BK3</f>
        <v/>
      </c>
      <c r="BL5">
        <f>BK3-BL3</f>
        <v/>
      </c>
      <c r="BM5">
        <f>BL3-BM3</f>
        <v/>
      </c>
      <c r="BN5">
        <f>BM3-BN3</f>
        <v/>
      </c>
      <c r="BO5">
        <f>BN3-BO3</f>
        <v/>
      </c>
      <c r="BP5">
        <f>BO3-BP3</f>
        <v/>
      </c>
      <c r="BQ5">
        <f>BP3-BQ3</f>
        <v/>
      </c>
      <c r="BR5">
        <f>BQ3-BR3</f>
        <v/>
      </c>
      <c r="BS5">
        <f>BR3-BS3</f>
        <v/>
      </c>
      <c r="BT5">
        <f>BS3-BT3</f>
        <v/>
      </c>
      <c r="BU5">
        <f>BT3-BU3</f>
        <v/>
      </c>
      <c r="BV5">
        <f>BU3-BV3</f>
        <v/>
      </c>
    </row>
    <row r="6">
      <c r="A6" t="inlineStr">
        <is>
          <t>S_REACT</t>
        </is>
      </c>
      <c r="C6">
        <f>(1-Params!$B$18)^C$1</f>
        <v/>
      </c>
      <c r="D6">
        <f>(1-Params!$B$18)^D$1</f>
        <v/>
      </c>
      <c r="E6">
        <f>(1-Params!$B$18)^E$1</f>
        <v/>
      </c>
      <c r="F6">
        <f>(1-Params!$B$18)^F$1</f>
        <v/>
      </c>
      <c r="G6">
        <f>(1-Params!$B$18)^G$1</f>
        <v/>
      </c>
      <c r="H6">
        <f>(1-Params!$B$18)^H$1</f>
        <v/>
      </c>
      <c r="I6">
        <f>(1-Params!$B$18)^I$1</f>
        <v/>
      </c>
      <c r="J6">
        <f>(1-Params!$B$18)^J$1</f>
        <v/>
      </c>
      <c r="K6">
        <f>(1-Params!$B$18)^K$1</f>
        <v/>
      </c>
      <c r="L6">
        <f>(1-Params!$B$18)^L$1</f>
        <v/>
      </c>
      <c r="M6">
        <f>(1-Params!$B$18)^M$1</f>
        <v/>
      </c>
      <c r="N6">
        <f>(1-Params!$B$18)^N$1</f>
        <v/>
      </c>
      <c r="O6">
        <f>(1-Params!$B$18)^O$1</f>
        <v/>
      </c>
      <c r="P6">
        <f>(1-Params!$B$18)^P$1</f>
        <v/>
      </c>
      <c r="Q6">
        <f>(1-Params!$B$18)^Q$1</f>
        <v/>
      </c>
      <c r="R6">
        <f>(1-Params!$B$18)^R$1</f>
        <v/>
      </c>
      <c r="S6">
        <f>(1-Params!$B$18)^S$1</f>
        <v/>
      </c>
      <c r="T6">
        <f>(1-Params!$B$18)^T$1</f>
        <v/>
      </c>
      <c r="U6">
        <f>(1-Params!$B$18)^U$1</f>
        <v/>
      </c>
      <c r="V6">
        <f>(1-Params!$B$18)^V$1</f>
        <v/>
      </c>
      <c r="W6">
        <f>(1-Params!$B$18)^W$1</f>
        <v/>
      </c>
      <c r="X6">
        <f>(1-Params!$B$18)^X$1</f>
        <v/>
      </c>
      <c r="Y6">
        <f>(1-Params!$B$18)^Y$1</f>
        <v/>
      </c>
      <c r="Z6">
        <f>(1-Params!$B$18)^Z$1</f>
        <v/>
      </c>
      <c r="AA6">
        <f>(1-Params!$B$18)^AA$1</f>
        <v/>
      </c>
      <c r="AB6">
        <f>(1-Params!$B$18)^AB$1</f>
        <v/>
      </c>
      <c r="AC6">
        <f>(1-Params!$B$18)^AC$1</f>
        <v/>
      </c>
      <c r="AD6">
        <f>(1-Params!$B$18)^AD$1</f>
        <v/>
      </c>
      <c r="AE6">
        <f>(1-Params!$B$18)^AE$1</f>
        <v/>
      </c>
      <c r="AF6">
        <f>(1-Params!$B$18)^AF$1</f>
        <v/>
      </c>
      <c r="AG6">
        <f>(1-Params!$B$18)^AG$1</f>
        <v/>
      </c>
      <c r="AH6">
        <f>(1-Params!$B$18)^AH$1</f>
        <v/>
      </c>
      <c r="AI6">
        <f>(1-Params!$B$18)^AI$1</f>
        <v/>
      </c>
      <c r="AJ6">
        <f>(1-Params!$B$18)^AJ$1</f>
        <v/>
      </c>
      <c r="AK6">
        <f>(1-Params!$B$18)^AK$1</f>
        <v/>
      </c>
      <c r="AL6">
        <f>(1-Params!$B$18)^AL$1</f>
        <v/>
      </c>
      <c r="AM6">
        <f>(1-Params!$B$18)^AM$1</f>
        <v/>
      </c>
      <c r="AN6">
        <f>(1-Params!$B$18)^AN$1</f>
        <v/>
      </c>
      <c r="AO6">
        <f>(1-Params!$B$18)^AO$1</f>
        <v/>
      </c>
      <c r="AP6">
        <f>(1-Params!$B$18)^AP$1</f>
        <v/>
      </c>
      <c r="AQ6">
        <f>(1-Params!$B$18)^AQ$1</f>
        <v/>
      </c>
      <c r="AR6">
        <f>(1-Params!$B$18)^AR$1</f>
        <v/>
      </c>
      <c r="AS6">
        <f>(1-Params!$B$18)^AS$1</f>
        <v/>
      </c>
      <c r="AT6">
        <f>(1-Params!$B$18)^AT$1</f>
        <v/>
      </c>
      <c r="AU6">
        <f>(1-Params!$B$18)^AU$1</f>
        <v/>
      </c>
      <c r="AV6">
        <f>(1-Params!$B$18)^AV$1</f>
        <v/>
      </c>
      <c r="AW6">
        <f>(1-Params!$B$18)^AW$1</f>
        <v/>
      </c>
      <c r="AX6">
        <f>(1-Params!$B$18)^AX$1</f>
        <v/>
      </c>
      <c r="AY6">
        <f>(1-Params!$B$18)^AY$1</f>
        <v/>
      </c>
      <c r="AZ6">
        <f>(1-Params!$B$18)^AZ$1</f>
        <v/>
      </c>
      <c r="BA6">
        <f>(1-Params!$B$18)^BA$1</f>
        <v/>
      </c>
      <c r="BB6">
        <f>(1-Params!$B$18)^BB$1</f>
        <v/>
      </c>
      <c r="BC6">
        <f>(1-Params!$B$18)^BC$1</f>
        <v/>
      </c>
      <c r="BD6">
        <f>(1-Params!$B$18)^BD$1</f>
        <v/>
      </c>
      <c r="BE6">
        <f>(1-Params!$B$18)^BE$1</f>
        <v/>
      </c>
      <c r="BF6">
        <f>(1-Params!$B$18)^BF$1</f>
        <v/>
      </c>
      <c r="BG6">
        <f>(1-Params!$B$18)^BG$1</f>
        <v/>
      </c>
      <c r="BH6">
        <f>(1-Params!$B$18)^BH$1</f>
        <v/>
      </c>
      <c r="BI6">
        <f>(1-Params!$B$18)^BI$1</f>
        <v/>
      </c>
      <c r="BJ6">
        <f>(1-Params!$B$18)^BJ$1</f>
        <v/>
      </c>
      <c r="BK6">
        <f>(1-Params!$B$18)^BK$1</f>
        <v/>
      </c>
      <c r="BL6">
        <f>(1-Params!$B$18)^BL$1</f>
        <v/>
      </c>
      <c r="BM6">
        <f>(1-Params!$B$18)^BM$1</f>
        <v/>
      </c>
      <c r="BN6">
        <f>(1-Params!$B$18)^BN$1</f>
        <v/>
      </c>
      <c r="BO6">
        <f>(1-Params!$B$18)^BO$1</f>
        <v/>
      </c>
      <c r="BP6">
        <f>(1-Params!$B$18)^BP$1</f>
        <v/>
      </c>
      <c r="BQ6">
        <f>(1-Params!$B$18)^BQ$1</f>
        <v/>
      </c>
      <c r="BR6">
        <f>(1-Params!$B$18)^BR$1</f>
        <v/>
      </c>
      <c r="BS6">
        <f>(1-Params!$B$18)^BS$1</f>
        <v/>
      </c>
      <c r="BT6">
        <f>(1-Params!$B$18)^BT$1</f>
        <v/>
      </c>
      <c r="BU6">
        <f>(1-Params!$B$18)^BU$1</f>
        <v/>
      </c>
      <c r="BV6">
        <f>(1-Params!$B$18)^BV$1</f>
        <v/>
      </c>
    </row>
    <row r="7">
      <c r="A7" t="inlineStr">
        <is>
          <t>D_REACT</t>
        </is>
      </c>
      <c r="C7">
        <f>0</f>
        <v/>
      </c>
      <c r="D7">
        <f>C6-D6</f>
        <v/>
      </c>
      <c r="E7">
        <f>D6-E6</f>
        <v/>
      </c>
      <c r="F7">
        <f>E6-F6</f>
        <v/>
      </c>
      <c r="G7">
        <f>F6-G6</f>
        <v/>
      </c>
      <c r="H7">
        <f>G6-H6</f>
        <v/>
      </c>
      <c r="I7">
        <f>H6-I6</f>
        <v/>
      </c>
      <c r="J7">
        <f>I6-J6</f>
        <v/>
      </c>
      <c r="K7">
        <f>J6-K6</f>
        <v/>
      </c>
      <c r="L7">
        <f>K6-L6</f>
        <v/>
      </c>
      <c r="M7">
        <f>L6-M6</f>
        <v/>
      </c>
      <c r="N7">
        <f>M6-N6</f>
        <v/>
      </c>
      <c r="O7">
        <f>N6-O6</f>
        <v/>
      </c>
      <c r="P7">
        <f>O6-P6</f>
        <v/>
      </c>
      <c r="Q7">
        <f>P6-Q6</f>
        <v/>
      </c>
      <c r="R7">
        <f>Q6-R6</f>
        <v/>
      </c>
      <c r="S7">
        <f>R6-S6</f>
        <v/>
      </c>
      <c r="T7">
        <f>S6-T6</f>
        <v/>
      </c>
      <c r="U7">
        <f>T6-U6</f>
        <v/>
      </c>
      <c r="V7">
        <f>U6-V6</f>
        <v/>
      </c>
      <c r="W7">
        <f>V6-W6</f>
        <v/>
      </c>
      <c r="X7">
        <f>W6-X6</f>
        <v/>
      </c>
      <c r="Y7">
        <f>X6-Y6</f>
        <v/>
      </c>
      <c r="Z7">
        <f>Y6-Z6</f>
        <v/>
      </c>
      <c r="AA7">
        <f>Z6-AA6</f>
        <v/>
      </c>
      <c r="AB7">
        <f>AA6-AB6</f>
        <v/>
      </c>
      <c r="AC7">
        <f>AB6-AC6</f>
        <v/>
      </c>
      <c r="AD7">
        <f>AC6-AD6</f>
        <v/>
      </c>
      <c r="AE7">
        <f>AD6-AE6</f>
        <v/>
      </c>
      <c r="AF7">
        <f>AE6-AF6</f>
        <v/>
      </c>
      <c r="AG7">
        <f>AF6-AG6</f>
        <v/>
      </c>
      <c r="AH7">
        <f>AG6-AH6</f>
        <v/>
      </c>
      <c r="AI7">
        <f>AH6-AI6</f>
        <v/>
      </c>
      <c r="AJ7">
        <f>AI6-AJ6</f>
        <v/>
      </c>
      <c r="AK7">
        <f>AJ6-AK6</f>
        <v/>
      </c>
      <c r="AL7">
        <f>AK6-AL6</f>
        <v/>
      </c>
      <c r="AM7">
        <f>AL6-AM6</f>
        <v/>
      </c>
      <c r="AN7">
        <f>AM6-AN6</f>
        <v/>
      </c>
      <c r="AO7">
        <f>AN6-AO6</f>
        <v/>
      </c>
      <c r="AP7">
        <f>AO6-AP6</f>
        <v/>
      </c>
      <c r="AQ7">
        <f>AP6-AQ6</f>
        <v/>
      </c>
      <c r="AR7">
        <f>AQ6-AR6</f>
        <v/>
      </c>
      <c r="AS7">
        <f>AR6-AS6</f>
        <v/>
      </c>
      <c r="AT7">
        <f>AS6-AT6</f>
        <v/>
      </c>
      <c r="AU7">
        <f>AT6-AU6</f>
        <v/>
      </c>
      <c r="AV7">
        <f>AU6-AV6</f>
        <v/>
      </c>
      <c r="AW7">
        <f>AV6-AW6</f>
        <v/>
      </c>
      <c r="AX7">
        <f>AW6-AX6</f>
        <v/>
      </c>
      <c r="AY7">
        <f>AX6-AY6</f>
        <v/>
      </c>
      <c r="AZ7">
        <f>AY6-AZ6</f>
        <v/>
      </c>
      <c r="BA7">
        <f>AZ6-BA6</f>
        <v/>
      </c>
      <c r="BB7">
        <f>BA6-BB6</f>
        <v/>
      </c>
      <c r="BC7">
        <f>BB6-BC6</f>
        <v/>
      </c>
      <c r="BD7">
        <f>BC6-BD6</f>
        <v/>
      </c>
      <c r="BE7">
        <f>BD6-BE6</f>
        <v/>
      </c>
      <c r="BF7">
        <f>BE6-BF6</f>
        <v/>
      </c>
      <c r="BG7">
        <f>BF6-BG6</f>
        <v/>
      </c>
      <c r="BH7">
        <f>BG6-BH6</f>
        <v/>
      </c>
      <c r="BI7">
        <f>BH6-BI6</f>
        <v/>
      </c>
      <c r="BJ7">
        <f>BI6-BJ6</f>
        <v/>
      </c>
      <c r="BK7">
        <f>BJ6-BK6</f>
        <v/>
      </c>
      <c r="BL7">
        <f>BK6-BL6</f>
        <v/>
      </c>
      <c r="BM7">
        <f>BL6-BM6</f>
        <v/>
      </c>
      <c r="BN7">
        <f>BM6-BN6</f>
        <v/>
      </c>
      <c r="BO7">
        <f>BN6-BO6</f>
        <v/>
      </c>
      <c r="BP7">
        <f>BO6-BP6</f>
        <v/>
      </c>
      <c r="BQ7">
        <f>BP6-BQ6</f>
        <v/>
      </c>
      <c r="BR7">
        <f>BQ6-BR6</f>
        <v/>
      </c>
      <c r="BS7">
        <f>BR6-BS6</f>
        <v/>
      </c>
      <c r="BT7">
        <f>BS6-BT6</f>
        <v/>
      </c>
      <c r="BU7">
        <f>BT6-BU6</f>
        <v/>
      </c>
      <c r="BV7">
        <f>BU6-BV6</f>
        <v/>
      </c>
    </row>
    <row r="8">
      <c r="A8" t="inlineStr">
        <is>
          <t>K_REACT</t>
        </is>
      </c>
      <c r="C8">
        <f>IF(AND(C$1&gt;=1,C$1&lt;=Params!$B$17),Params!$B$16*(1-Params!$B$16)^(C$1-1),0)</f>
        <v/>
      </c>
      <c r="D8">
        <f>IF(AND(D$1&gt;=1,D$1&lt;=Params!$B$17),Params!$B$16*(1-Params!$B$16)^(D$1-1),0)</f>
        <v/>
      </c>
      <c r="E8">
        <f>IF(AND(E$1&gt;=1,E$1&lt;=Params!$B$17),Params!$B$16*(1-Params!$B$16)^(E$1-1),0)</f>
        <v/>
      </c>
      <c r="F8">
        <f>IF(AND(F$1&gt;=1,F$1&lt;=Params!$B$17),Params!$B$16*(1-Params!$B$16)^(F$1-1),0)</f>
        <v/>
      </c>
      <c r="G8">
        <f>IF(AND(G$1&gt;=1,G$1&lt;=Params!$B$17),Params!$B$16*(1-Params!$B$16)^(G$1-1),0)</f>
        <v/>
      </c>
      <c r="H8">
        <f>IF(AND(H$1&gt;=1,H$1&lt;=Params!$B$17),Params!$B$16*(1-Params!$B$16)^(H$1-1),0)</f>
        <v/>
      </c>
      <c r="I8">
        <f>IF(AND(I$1&gt;=1,I$1&lt;=Params!$B$17),Params!$B$16*(1-Params!$B$16)^(I$1-1),0)</f>
        <v/>
      </c>
      <c r="J8">
        <f>IF(AND(J$1&gt;=1,J$1&lt;=Params!$B$17),Params!$B$16*(1-Params!$B$16)^(J$1-1),0)</f>
        <v/>
      </c>
      <c r="K8">
        <f>IF(AND(K$1&gt;=1,K$1&lt;=Params!$B$17),Params!$B$16*(1-Params!$B$16)^(K$1-1),0)</f>
        <v/>
      </c>
      <c r="L8">
        <f>IF(AND(L$1&gt;=1,L$1&lt;=Params!$B$17),Params!$B$16*(1-Params!$B$16)^(L$1-1),0)</f>
        <v/>
      </c>
      <c r="M8">
        <f>IF(AND(M$1&gt;=1,M$1&lt;=Params!$B$17),Params!$B$16*(1-Params!$B$16)^(M$1-1),0)</f>
        <v/>
      </c>
      <c r="N8">
        <f>IF(AND(N$1&gt;=1,N$1&lt;=Params!$B$17),Params!$B$16*(1-Params!$B$16)^(N$1-1),0)</f>
        <v/>
      </c>
      <c r="O8">
        <f>IF(AND(O$1&gt;=1,O$1&lt;=Params!$B$17),Params!$B$16*(1-Params!$B$16)^(O$1-1),0)</f>
        <v/>
      </c>
      <c r="P8">
        <f>IF(AND(P$1&gt;=1,P$1&lt;=Params!$B$17),Params!$B$16*(1-Params!$B$16)^(P$1-1),0)</f>
        <v/>
      </c>
      <c r="Q8">
        <f>IF(AND(Q$1&gt;=1,Q$1&lt;=Params!$B$17),Params!$B$16*(1-Params!$B$16)^(Q$1-1),0)</f>
        <v/>
      </c>
      <c r="R8">
        <f>IF(AND(R$1&gt;=1,R$1&lt;=Params!$B$17),Params!$B$16*(1-Params!$B$16)^(R$1-1),0)</f>
        <v/>
      </c>
      <c r="S8">
        <f>IF(AND(S$1&gt;=1,S$1&lt;=Params!$B$17),Params!$B$16*(1-Params!$B$16)^(S$1-1),0)</f>
        <v/>
      </c>
      <c r="T8">
        <f>IF(AND(T$1&gt;=1,T$1&lt;=Params!$B$17),Params!$B$16*(1-Params!$B$16)^(T$1-1),0)</f>
        <v/>
      </c>
      <c r="U8">
        <f>IF(AND(U$1&gt;=1,U$1&lt;=Params!$B$17),Params!$B$16*(1-Params!$B$16)^(U$1-1),0)</f>
        <v/>
      </c>
      <c r="V8">
        <f>IF(AND(V$1&gt;=1,V$1&lt;=Params!$B$17),Params!$B$16*(1-Params!$B$16)^(V$1-1),0)</f>
        <v/>
      </c>
      <c r="W8">
        <f>IF(AND(W$1&gt;=1,W$1&lt;=Params!$B$17),Params!$B$16*(1-Params!$B$16)^(W$1-1),0)</f>
        <v/>
      </c>
      <c r="X8">
        <f>IF(AND(X$1&gt;=1,X$1&lt;=Params!$B$17),Params!$B$16*(1-Params!$B$16)^(X$1-1),0)</f>
        <v/>
      </c>
      <c r="Y8">
        <f>IF(AND(Y$1&gt;=1,Y$1&lt;=Params!$B$17),Params!$B$16*(1-Params!$B$16)^(Y$1-1),0)</f>
        <v/>
      </c>
      <c r="Z8">
        <f>IF(AND(Z$1&gt;=1,Z$1&lt;=Params!$B$17),Params!$B$16*(1-Params!$B$16)^(Z$1-1),0)</f>
        <v/>
      </c>
      <c r="AA8">
        <f>IF(AND(AA$1&gt;=1,AA$1&lt;=Params!$B$17),Params!$B$16*(1-Params!$B$16)^(AA$1-1),0)</f>
        <v/>
      </c>
      <c r="AB8">
        <f>IF(AND(AB$1&gt;=1,AB$1&lt;=Params!$B$17),Params!$B$16*(1-Params!$B$16)^(AB$1-1),0)</f>
        <v/>
      </c>
      <c r="AC8">
        <f>IF(AND(AC$1&gt;=1,AC$1&lt;=Params!$B$17),Params!$B$16*(1-Params!$B$16)^(AC$1-1),0)</f>
        <v/>
      </c>
      <c r="AD8">
        <f>IF(AND(AD$1&gt;=1,AD$1&lt;=Params!$B$17),Params!$B$16*(1-Params!$B$16)^(AD$1-1),0)</f>
        <v/>
      </c>
      <c r="AE8">
        <f>IF(AND(AE$1&gt;=1,AE$1&lt;=Params!$B$17),Params!$B$16*(1-Params!$B$16)^(AE$1-1),0)</f>
        <v/>
      </c>
      <c r="AF8">
        <f>IF(AND(AF$1&gt;=1,AF$1&lt;=Params!$B$17),Params!$B$16*(1-Params!$B$16)^(AF$1-1),0)</f>
        <v/>
      </c>
      <c r="AG8">
        <f>IF(AND(AG$1&gt;=1,AG$1&lt;=Params!$B$17),Params!$B$16*(1-Params!$B$16)^(AG$1-1),0)</f>
        <v/>
      </c>
      <c r="AH8">
        <f>IF(AND(AH$1&gt;=1,AH$1&lt;=Params!$B$17),Params!$B$16*(1-Params!$B$16)^(AH$1-1),0)</f>
        <v/>
      </c>
      <c r="AI8">
        <f>IF(AND(AI$1&gt;=1,AI$1&lt;=Params!$B$17),Params!$B$16*(1-Params!$B$16)^(AI$1-1),0)</f>
        <v/>
      </c>
      <c r="AJ8">
        <f>IF(AND(AJ$1&gt;=1,AJ$1&lt;=Params!$B$17),Params!$B$16*(1-Params!$B$16)^(AJ$1-1),0)</f>
        <v/>
      </c>
      <c r="AK8">
        <f>IF(AND(AK$1&gt;=1,AK$1&lt;=Params!$B$17),Params!$B$16*(1-Params!$B$16)^(AK$1-1),0)</f>
        <v/>
      </c>
      <c r="AL8">
        <f>IF(AND(AL$1&gt;=1,AL$1&lt;=Params!$B$17),Params!$B$16*(1-Params!$B$16)^(AL$1-1),0)</f>
        <v/>
      </c>
      <c r="AM8">
        <f>IF(AND(AM$1&gt;=1,AM$1&lt;=Params!$B$17),Params!$B$16*(1-Params!$B$16)^(AM$1-1),0)</f>
        <v/>
      </c>
      <c r="AN8">
        <f>IF(AND(AN$1&gt;=1,AN$1&lt;=Params!$B$17),Params!$B$16*(1-Params!$B$16)^(AN$1-1),0)</f>
        <v/>
      </c>
      <c r="AO8">
        <f>IF(AND(AO$1&gt;=1,AO$1&lt;=Params!$B$17),Params!$B$16*(1-Params!$B$16)^(AO$1-1),0)</f>
        <v/>
      </c>
      <c r="AP8">
        <f>IF(AND(AP$1&gt;=1,AP$1&lt;=Params!$B$17),Params!$B$16*(1-Params!$B$16)^(AP$1-1),0)</f>
        <v/>
      </c>
      <c r="AQ8">
        <f>IF(AND(AQ$1&gt;=1,AQ$1&lt;=Params!$B$17),Params!$B$16*(1-Params!$B$16)^(AQ$1-1),0)</f>
        <v/>
      </c>
      <c r="AR8">
        <f>IF(AND(AR$1&gt;=1,AR$1&lt;=Params!$B$17),Params!$B$16*(1-Params!$B$16)^(AR$1-1),0)</f>
        <v/>
      </c>
      <c r="AS8">
        <f>IF(AND(AS$1&gt;=1,AS$1&lt;=Params!$B$17),Params!$B$16*(1-Params!$B$16)^(AS$1-1),0)</f>
        <v/>
      </c>
      <c r="AT8">
        <f>IF(AND(AT$1&gt;=1,AT$1&lt;=Params!$B$17),Params!$B$16*(1-Params!$B$16)^(AT$1-1),0)</f>
        <v/>
      </c>
      <c r="AU8">
        <f>IF(AND(AU$1&gt;=1,AU$1&lt;=Params!$B$17),Params!$B$16*(1-Params!$B$16)^(AU$1-1),0)</f>
        <v/>
      </c>
      <c r="AV8">
        <f>IF(AND(AV$1&gt;=1,AV$1&lt;=Params!$B$17),Params!$B$16*(1-Params!$B$16)^(AV$1-1),0)</f>
        <v/>
      </c>
      <c r="AW8">
        <f>IF(AND(AW$1&gt;=1,AW$1&lt;=Params!$B$17),Params!$B$16*(1-Params!$B$16)^(AW$1-1),0)</f>
        <v/>
      </c>
      <c r="AX8">
        <f>IF(AND(AX$1&gt;=1,AX$1&lt;=Params!$B$17),Params!$B$16*(1-Params!$B$16)^(AX$1-1),0)</f>
        <v/>
      </c>
      <c r="AY8">
        <f>IF(AND(AY$1&gt;=1,AY$1&lt;=Params!$B$17),Params!$B$16*(1-Params!$B$16)^(AY$1-1),0)</f>
        <v/>
      </c>
      <c r="AZ8">
        <f>IF(AND(AZ$1&gt;=1,AZ$1&lt;=Params!$B$17),Params!$B$16*(1-Params!$B$16)^(AZ$1-1),0)</f>
        <v/>
      </c>
      <c r="BA8">
        <f>IF(AND(BA$1&gt;=1,BA$1&lt;=Params!$B$17),Params!$B$16*(1-Params!$B$16)^(BA$1-1),0)</f>
        <v/>
      </c>
      <c r="BB8">
        <f>IF(AND(BB$1&gt;=1,BB$1&lt;=Params!$B$17),Params!$B$16*(1-Params!$B$16)^(BB$1-1),0)</f>
        <v/>
      </c>
      <c r="BC8">
        <f>IF(AND(BC$1&gt;=1,BC$1&lt;=Params!$B$17),Params!$B$16*(1-Params!$B$16)^(BC$1-1),0)</f>
        <v/>
      </c>
      <c r="BD8">
        <f>IF(AND(BD$1&gt;=1,BD$1&lt;=Params!$B$17),Params!$B$16*(1-Params!$B$16)^(BD$1-1),0)</f>
        <v/>
      </c>
      <c r="BE8">
        <f>IF(AND(BE$1&gt;=1,BE$1&lt;=Params!$B$17),Params!$B$16*(1-Params!$B$16)^(BE$1-1),0)</f>
        <v/>
      </c>
      <c r="BF8">
        <f>IF(AND(BF$1&gt;=1,BF$1&lt;=Params!$B$17),Params!$B$16*(1-Params!$B$16)^(BF$1-1),0)</f>
        <v/>
      </c>
      <c r="BG8">
        <f>IF(AND(BG$1&gt;=1,BG$1&lt;=Params!$B$17),Params!$B$16*(1-Params!$B$16)^(BG$1-1),0)</f>
        <v/>
      </c>
      <c r="BH8">
        <f>IF(AND(BH$1&gt;=1,BH$1&lt;=Params!$B$17),Params!$B$16*(1-Params!$B$16)^(BH$1-1),0)</f>
        <v/>
      </c>
      <c r="BI8">
        <f>IF(AND(BI$1&gt;=1,BI$1&lt;=Params!$B$17),Params!$B$16*(1-Params!$B$16)^(BI$1-1),0)</f>
        <v/>
      </c>
      <c r="BJ8">
        <f>IF(AND(BJ$1&gt;=1,BJ$1&lt;=Params!$B$17),Params!$B$16*(1-Params!$B$16)^(BJ$1-1),0)</f>
        <v/>
      </c>
      <c r="BK8">
        <f>IF(AND(BK$1&gt;=1,BK$1&lt;=Params!$B$17),Params!$B$16*(1-Params!$B$16)^(BK$1-1),0)</f>
        <v/>
      </c>
      <c r="BL8">
        <f>IF(AND(BL$1&gt;=1,BL$1&lt;=Params!$B$17),Params!$B$16*(1-Params!$B$16)^(BL$1-1),0)</f>
        <v/>
      </c>
      <c r="BM8">
        <f>IF(AND(BM$1&gt;=1,BM$1&lt;=Params!$B$17),Params!$B$16*(1-Params!$B$16)^(BM$1-1),0)</f>
        <v/>
      </c>
      <c r="BN8">
        <f>IF(AND(BN$1&gt;=1,BN$1&lt;=Params!$B$17),Params!$B$16*(1-Params!$B$16)^(BN$1-1),0)</f>
        <v/>
      </c>
      <c r="BO8">
        <f>IF(AND(BO$1&gt;=1,BO$1&lt;=Params!$B$17),Params!$B$16*(1-Params!$B$16)^(BO$1-1),0)</f>
        <v/>
      </c>
      <c r="BP8">
        <f>IF(AND(BP$1&gt;=1,BP$1&lt;=Params!$B$17),Params!$B$16*(1-Params!$B$16)^(BP$1-1),0)</f>
        <v/>
      </c>
      <c r="BQ8">
        <f>IF(AND(BQ$1&gt;=1,BQ$1&lt;=Params!$B$17),Params!$B$16*(1-Params!$B$16)^(BQ$1-1),0)</f>
        <v/>
      </c>
      <c r="BR8">
        <f>IF(AND(BR$1&gt;=1,BR$1&lt;=Params!$B$17),Params!$B$16*(1-Params!$B$16)^(BR$1-1),0)</f>
        <v/>
      </c>
      <c r="BS8">
        <f>IF(AND(BS$1&gt;=1,BS$1&lt;=Params!$B$17),Params!$B$16*(1-Params!$B$16)^(BS$1-1),0)</f>
        <v/>
      </c>
      <c r="BT8">
        <f>IF(AND(BT$1&gt;=1,BT$1&lt;=Params!$B$17),Params!$B$16*(1-Params!$B$16)^(BT$1-1),0)</f>
        <v/>
      </c>
      <c r="BU8">
        <f>IF(AND(BU$1&gt;=1,BU$1&lt;=Params!$B$17),Params!$B$16*(1-Params!$B$16)^(BU$1-1),0)</f>
        <v/>
      </c>
      <c r="BV8">
        <f>IF(AND(BV$1&gt;=1,BV$1&lt;=Params!$B$17),Params!$B$16*(1-Params!$B$16)^(BV$1-1),0)</f>
        <v/>
      </c>
    </row>
    <row r="9">
      <c r="A9" t="inlineStr">
        <is>
          <t>S_MONTHLY_Y1</t>
        </is>
      </c>
      <c r="C9">
        <f>IF(C$1&lt;12,C2,0)</f>
        <v/>
      </c>
      <c r="D9">
        <f>IF(D$1&lt;12,D2,0)</f>
        <v/>
      </c>
      <c r="E9">
        <f>IF(E$1&lt;12,E2,0)</f>
        <v/>
      </c>
      <c r="F9">
        <f>IF(F$1&lt;12,F2,0)</f>
        <v/>
      </c>
      <c r="G9">
        <f>IF(G$1&lt;12,G2,0)</f>
        <v/>
      </c>
      <c r="H9">
        <f>IF(H$1&lt;12,H2,0)</f>
        <v/>
      </c>
      <c r="I9">
        <f>IF(I$1&lt;12,I2,0)</f>
        <v/>
      </c>
      <c r="J9">
        <f>IF(J$1&lt;12,J2,0)</f>
        <v/>
      </c>
      <c r="K9">
        <f>IF(K$1&lt;12,K2,0)</f>
        <v/>
      </c>
      <c r="L9">
        <f>IF(L$1&lt;12,L2,0)</f>
        <v/>
      </c>
      <c r="M9">
        <f>IF(M$1&lt;12,M2,0)</f>
        <v/>
      </c>
      <c r="N9">
        <f>IF(N$1&lt;12,N2,0)</f>
        <v/>
      </c>
      <c r="O9">
        <f>IF(O$1&lt;12,O2,0)</f>
        <v/>
      </c>
      <c r="P9">
        <f>IF(P$1&lt;12,P2,0)</f>
        <v/>
      </c>
      <c r="Q9">
        <f>IF(Q$1&lt;12,Q2,0)</f>
        <v/>
      </c>
      <c r="R9">
        <f>IF(R$1&lt;12,R2,0)</f>
        <v/>
      </c>
      <c r="S9">
        <f>IF(S$1&lt;12,S2,0)</f>
        <v/>
      </c>
      <c r="T9">
        <f>IF(T$1&lt;12,T2,0)</f>
        <v/>
      </c>
      <c r="U9">
        <f>IF(U$1&lt;12,U2,0)</f>
        <v/>
      </c>
      <c r="V9">
        <f>IF(V$1&lt;12,V2,0)</f>
        <v/>
      </c>
      <c r="W9">
        <f>IF(W$1&lt;12,W2,0)</f>
        <v/>
      </c>
      <c r="X9">
        <f>IF(X$1&lt;12,X2,0)</f>
        <v/>
      </c>
      <c r="Y9">
        <f>IF(Y$1&lt;12,Y2,0)</f>
        <v/>
      </c>
      <c r="Z9">
        <f>IF(Z$1&lt;12,Z2,0)</f>
        <v/>
      </c>
      <c r="AA9">
        <f>IF(AA$1&lt;12,AA2,0)</f>
        <v/>
      </c>
      <c r="AB9">
        <f>IF(AB$1&lt;12,AB2,0)</f>
        <v/>
      </c>
      <c r="AC9">
        <f>IF(AC$1&lt;12,AC2,0)</f>
        <v/>
      </c>
      <c r="AD9">
        <f>IF(AD$1&lt;12,AD2,0)</f>
        <v/>
      </c>
      <c r="AE9">
        <f>IF(AE$1&lt;12,AE2,0)</f>
        <v/>
      </c>
      <c r="AF9">
        <f>IF(AF$1&lt;12,AF2,0)</f>
        <v/>
      </c>
      <c r="AG9">
        <f>IF(AG$1&lt;12,AG2,0)</f>
        <v/>
      </c>
      <c r="AH9">
        <f>IF(AH$1&lt;12,AH2,0)</f>
        <v/>
      </c>
      <c r="AI9">
        <f>IF(AI$1&lt;12,AI2,0)</f>
        <v/>
      </c>
      <c r="AJ9">
        <f>IF(AJ$1&lt;12,AJ2,0)</f>
        <v/>
      </c>
      <c r="AK9">
        <f>IF(AK$1&lt;12,AK2,0)</f>
        <v/>
      </c>
      <c r="AL9">
        <f>IF(AL$1&lt;12,AL2,0)</f>
        <v/>
      </c>
      <c r="AM9">
        <f>IF(AM$1&lt;12,AM2,0)</f>
        <v/>
      </c>
      <c r="AN9">
        <f>IF(AN$1&lt;12,AN2,0)</f>
        <v/>
      </c>
      <c r="AO9">
        <f>IF(AO$1&lt;12,AO2,0)</f>
        <v/>
      </c>
      <c r="AP9">
        <f>IF(AP$1&lt;12,AP2,0)</f>
        <v/>
      </c>
      <c r="AQ9">
        <f>IF(AQ$1&lt;12,AQ2,0)</f>
        <v/>
      </c>
      <c r="AR9">
        <f>IF(AR$1&lt;12,AR2,0)</f>
        <v/>
      </c>
      <c r="AS9">
        <f>IF(AS$1&lt;12,AS2,0)</f>
        <v/>
      </c>
      <c r="AT9">
        <f>IF(AT$1&lt;12,AT2,0)</f>
        <v/>
      </c>
      <c r="AU9">
        <f>IF(AU$1&lt;12,AU2,0)</f>
        <v/>
      </c>
      <c r="AV9">
        <f>IF(AV$1&lt;12,AV2,0)</f>
        <v/>
      </c>
      <c r="AW9">
        <f>IF(AW$1&lt;12,AW2,0)</f>
        <v/>
      </c>
      <c r="AX9">
        <f>IF(AX$1&lt;12,AX2,0)</f>
        <v/>
      </c>
      <c r="AY9">
        <f>IF(AY$1&lt;12,AY2,0)</f>
        <v/>
      </c>
      <c r="AZ9">
        <f>IF(AZ$1&lt;12,AZ2,0)</f>
        <v/>
      </c>
      <c r="BA9">
        <f>IF(BA$1&lt;12,BA2,0)</f>
        <v/>
      </c>
      <c r="BB9">
        <f>IF(BB$1&lt;12,BB2,0)</f>
        <v/>
      </c>
      <c r="BC9">
        <f>IF(BC$1&lt;12,BC2,0)</f>
        <v/>
      </c>
      <c r="BD9">
        <f>IF(BD$1&lt;12,BD2,0)</f>
        <v/>
      </c>
      <c r="BE9">
        <f>IF(BE$1&lt;12,BE2,0)</f>
        <v/>
      </c>
      <c r="BF9">
        <f>IF(BF$1&lt;12,BF2,0)</f>
        <v/>
      </c>
      <c r="BG9">
        <f>IF(BG$1&lt;12,BG2,0)</f>
        <v/>
      </c>
      <c r="BH9">
        <f>IF(BH$1&lt;12,BH2,0)</f>
        <v/>
      </c>
      <c r="BI9">
        <f>IF(BI$1&lt;12,BI2,0)</f>
        <v/>
      </c>
      <c r="BJ9">
        <f>IF(BJ$1&lt;12,BJ2,0)</f>
        <v/>
      </c>
      <c r="BK9">
        <f>IF(BK$1&lt;12,BK2,0)</f>
        <v/>
      </c>
      <c r="BL9">
        <f>IF(BL$1&lt;12,BL2,0)</f>
        <v/>
      </c>
      <c r="BM9">
        <f>IF(BM$1&lt;12,BM2,0)</f>
        <v/>
      </c>
      <c r="BN9">
        <f>IF(BN$1&lt;12,BN2,0)</f>
        <v/>
      </c>
      <c r="BO9">
        <f>IF(BO$1&lt;12,BO2,0)</f>
        <v/>
      </c>
      <c r="BP9">
        <f>IF(BP$1&lt;12,BP2,0)</f>
        <v/>
      </c>
      <c r="BQ9">
        <f>IF(BQ$1&lt;12,BQ2,0)</f>
        <v/>
      </c>
      <c r="BR9">
        <f>IF(BR$1&lt;12,BR2,0)</f>
        <v/>
      </c>
      <c r="BS9">
        <f>IF(BS$1&lt;12,BS2,0)</f>
        <v/>
      </c>
      <c r="BT9">
        <f>IF(BT$1&lt;12,BT2,0)</f>
        <v/>
      </c>
      <c r="BU9">
        <f>IF(BU$1&lt;12,BU2,0)</f>
        <v/>
      </c>
      <c r="BV9">
        <f>IF(BV$1&lt;12,BV2,0)</f>
        <v/>
      </c>
    </row>
    <row r="10">
      <c r="A10" t="inlineStr">
        <is>
          <t>S_ANNUAL_Y1</t>
        </is>
      </c>
      <c r="C10">
        <f>IF(C$1&lt;12,C3,0)</f>
        <v/>
      </c>
      <c r="D10">
        <f>IF(D$1&lt;12,D3,0)</f>
        <v/>
      </c>
      <c r="E10">
        <f>IF(E$1&lt;12,E3,0)</f>
        <v/>
      </c>
      <c r="F10">
        <f>IF(F$1&lt;12,F3,0)</f>
        <v/>
      </c>
      <c r="G10">
        <f>IF(G$1&lt;12,G3,0)</f>
        <v/>
      </c>
      <c r="H10">
        <f>IF(H$1&lt;12,H3,0)</f>
        <v/>
      </c>
      <c r="I10">
        <f>IF(I$1&lt;12,I3,0)</f>
        <v/>
      </c>
      <c r="J10">
        <f>IF(J$1&lt;12,J3,0)</f>
        <v/>
      </c>
      <c r="K10">
        <f>IF(K$1&lt;12,K3,0)</f>
        <v/>
      </c>
      <c r="L10">
        <f>IF(L$1&lt;12,L3,0)</f>
        <v/>
      </c>
      <c r="M10">
        <f>IF(M$1&lt;12,M3,0)</f>
        <v/>
      </c>
      <c r="N10">
        <f>IF(N$1&lt;12,N3,0)</f>
        <v/>
      </c>
      <c r="O10">
        <f>IF(O$1&lt;12,O3,0)</f>
        <v/>
      </c>
      <c r="P10">
        <f>IF(P$1&lt;12,P3,0)</f>
        <v/>
      </c>
      <c r="Q10">
        <f>IF(Q$1&lt;12,Q3,0)</f>
        <v/>
      </c>
      <c r="R10">
        <f>IF(R$1&lt;12,R3,0)</f>
        <v/>
      </c>
      <c r="S10">
        <f>IF(S$1&lt;12,S3,0)</f>
        <v/>
      </c>
      <c r="T10">
        <f>IF(T$1&lt;12,T3,0)</f>
        <v/>
      </c>
      <c r="U10">
        <f>IF(U$1&lt;12,U3,0)</f>
        <v/>
      </c>
      <c r="V10">
        <f>IF(V$1&lt;12,V3,0)</f>
        <v/>
      </c>
      <c r="W10">
        <f>IF(W$1&lt;12,W3,0)</f>
        <v/>
      </c>
      <c r="X10">
        <f>IF(X$1&lt;12,X3,0)</f>
        <v/>
      </c>
      <c r="Y10">
        <f>IF(Y$1&lt;12,Y3,0)</f>
        <v/>
      </c>
      <c r="Z10">
        <f>IF(Z$1&lt;12,Z3,0)</f>
        <v/>
      </c>
      <c r="AA10">
        <f>IF(AA$1&lt;12,AA3,0)</f>
        <v/>
      </c>
      <c r="AB10">
        <f>IF(AB$1&lt;12,AB3,0)</f>
        <v/>
      </c>
      <c r="AC10">
        <f>IF(AC$1&lt;12,AC3,0)</f>
        <v/>
      </c>
      <c r="AD10">
        <f>IF(AD$1&lt;12,AD3,0)</f>
        <v/>
      </c>
      <c r="AE10">
        <f>IF(AE$1&lt;12,AE3,0)</f>
        <v/>
      </c>
      <c r="AF10">
        <f>IF(AF$1&lt;12,AF3,0)</f>
        <v/>
      </c>
      <c r="AG10">
        <f>IF(AG$1&lt;12,AG3,0)</f>
        <v/>
      </c>
      <c r="AH10">
        <f>IF(AH$1&lt;12,AH3,0)</f>
        <v/>
      </c>
      <c r="AI10">
        <f>IF(AI$1&lt;12,AI3,0)</f>
        <v/>
      </c>
      <c r="AJ10">
        <f>IF(AJ$1&lt;12,AJ3,0)</f>
        <v/>
      </c>
      <c r="AK10">
        <f>IF(AK$1&lt;12,AK3,0)</f>
        <v/>
      </c>
      <c r="AL10">
        <f>IF(AL$1&lt;12,AL3,0)</f>
        <v/>
      </c>
      <c r="AM10">
        <f>IF(AM$1&lt;12,AM3,0)</f>
        <v/>
      </c>
      <c r="AN10">
        <f>IF(AN$1&lt;12,AN3,0)</f>
        <v/>
      </c>
      <c r="AO10">
        <f>IF(AO$1&lt;12,AO3,0)</f>
        <v/>
      </c>
      <c r="AP10">
        <f>IF(AP$1&lt;12,AP3,0)</f>
        <v/>
      </c>
      <c r="AQ10">
        <f>IF(AQ$1&lt;12,AQ3,0)</f>
        <v/>
      </c>
      <c r="AR10">
        <f>IF(AR$1&lt;12,AR3,0)</f>
        <v/>
      </c>
      <c r="AS10">
        <f>IF(AS$1&lt;12,AS3,0)</f>
        <v/>
      </c>
      <c r="AT10">
        <f>IF(AT$1&lt;12,AT3,0)</f>
        <v/>
      </c>
      <c r="AU10">
        <f>IF(AU$1&lt;12,AU3,0)</f>
        <v/>
      </c>
      <c r="AV10">
        <f>IF(AV$1&lt;12,AV3,0)</f>
        <v/>
      </c>
      <c r="AW10">
        <f>IF(AW$1&lt;12,AW3,0)</f>
        <v/>
      </c>
      <c r="AX10">
        <f>IF(AX$1&lt;12,AX3,0)</f>
        <v/>
      </c>
      <c r="AY10">
        <f>IF(AY$1&lt;12,AY3,0)</f>
        <v/>
      </c>
      <c r="AZ10">
        <f>IF(AZ$1&lt;12,AZ3,0)</f>
        <v/>
      </c>
      <c r="BA10">
        <f>IF(BA$1&lt;12,BA3,0)</f>
        <v/>
      </c>
      <c r="BB10">
        <f>IF(BB$1&lt;12,BB3,0)</f>
        <v/>
      </c>
      <c r="BC10">
        <f>IF(BC$1&lt;12,BC3,0)</f>
        <v/>
      </c>
      <c r="BD10">
        <f>IF(BD$1&lt;12,BD3,0)</f>
        <v/>
      </c>
      <c r="BE10">
        <f>IF(BE$1&lt;12,BE3,0)</f>
        <v/>
      </c>
      <c r="BF10">
        <f>IF(BF$1&lt;12,BF3,0)</f>
        <v/>
      </c>
      <c r="BG10">
        <f>IF(BG$1&lt;12,BG3,0)</f>
        <v/>
      </c>
      <c r="BH10">
        <f>IF(BH$1&lt;12,BH3,0)</f>
        <v/>
      </c>
      <c r="BI10">
        <f>IF(BI$1&lt;12,BI3,0)</f>
        <v/>
      </c>
      <c r="BJ10">
        <f>IF(BJ$1&lt;12,BJ3,0)</f>
        <v/>
      </c>
      <c r="BK10">
        <f>IF(BK$1&lt;12,BK3,0)</f>
        <v/>
      </c>
      <c r="BL10">
        <f>IF(BL$1&lt;12,BL3,0)</f>
        <v/>
      </c>
      <c r="BM10">
        <f>IF(BM$1&lt;12,BM3,0)</f>
        <v/>
      </c>
      <c r="BN10">
        <f>IF(BN$1&lt;12,BN3,0)</f>
        <v/>
      </c>
      <c r="BO10">
        <f>IF(BO$1&lt;12,BO3,0)</f>
        <v/>
      </c>
      <c r="BP10">
        <f>IF(BP$1&lt;12,BP3,0)</f>
        <v/>
      </c>
      <c r="BQ10">
        <f>IF(BQ$1&lt;12,BQ3,0)</f>
        <v/>
      </c>
      <c r="BR10">
        <f>IF(BR$1&lt;12,BR3,0)</f>
        <v/>
      </c>
      <c r="BS10">
        <f>IF(BS$1&lt;12,BS3,0)</f>
        <v/>
      </c>
      <c r="BT10">
        <f>IF(BT$1&lt;12,BT3,0)</f>
        <v/>
      </c>
      <c r="BU10">
        <f>IF(BU$1&lt;12,BU3,0)</f>
        <v/>
      </c>
      <c r="BV10">
        <f>IF(BV$1&lt;12,BV3,0)</f>
        <v/>
      </c>
    </row>
    <row r="11">
      <c r="A11" t="inlineStr">
        <is>
          <t>S_REACT_Y1</t>
        </is>
      </c>
      <c r="C11">
        <f>IF(C$1&lt;12,C6,0)</f>
        <v/>
      </c>
      <c r="D11">
        <f>IF(D$1&lt;12,D6,0)</f>
        <v/>
      </c>
      <c r="E11">
        <f>IF(E$1&lt;12,E6,0)</f>
        <v/>
      </c>
      <c r="F11">
        <f>IF(F$1&lt;12,F6,0)</f>
        <v/>
      </c>
      <c r="G11">
        <f>IF(G$1&lt;12,G6,0)</f>
        <v/>
      </c>
      <c r="H11">
        <f>IF(H$1&lt;12,H6,0)</f>
        <v/>
      </c>
      <c r="I11">
        <f>IF(I$1&lt;12,I6,0)</f>
        <v/>
      </c>
      <c r="J11">
        <f>IF(J$1&lt;12,J6,0)</f>
        <v/>
      </c>
      <c r="K11">
        <f>IF(K$1&lt;12,K6,0)</f>
        <v/>
      </c>
      <c r="L11">
        <f>IF(L$1&lt;12,L6,0)</f>
        <v/>
      </c>
      <c r="M11">
        <f>IF(M$1&lt;12,M6,0)</f>
        <v/>
      </c>
      <c r="N11">
        <f>IF(N$1&lt;12,N6,0)</f>
        <v/>
      </c>
      <c r="O11">
        <f>IF(O$1&lt;12,O6,0)</f>
        <v/>
      </c>
      <c r="P11">
        <f>IF(P$1&lt;12,P6,0)</f>
        <v/>
      </c>
      <c r="Q11">
        <f>IF(Q$1&lt;12,Q6,0)</f>
        <v/>
      </c>
      <c r="R11">
        <f>IF(R$1&lt;12,R6,0)</f>
        <v/>
      </c>
      <c r="S11">
        <f>IF(S$1&lt;12,S6,0)</f>
        <v/>
      </c>
      <c r="T11">
        <f>IF(T$1&lt;12,T6,0)</f>
        <v/>
      </c>
      <c r="U11">
        <f>IF(U$1&lt;12,U6,0)</f>
        <v/>
      </c>
      <c r="V11">
        <f>IF(V$1&lt;12,V6,0)</f>
        <v/>
      </c>
      <c r="W11">
        <f>IF(W$1&lt;12,W6,0)</f>
        <v/>
      </c>
      <c r="X11">
        <f>IF(X$1&lt;12,X6,0)</f>
        <v/>
      </c>
      <c r="Y11">
        <f>IF(Y$1&lt;12,Y6,0)</f>
        <v/>
      </c>
      <c r="Z11">
        <f>IF(Z$1&lt;12,Z6,0)</f>
        <v/>
      </c>
      <c r="AA11">
        <f>IF(AA$1&lt;12,AA6,0)</f>
        <v/>
      </c>
      <c r="AB11">
        <f>IF(AB$1&lt;12,AB6,0)</f>
        <v/>
      </c>
      <c r="AC11">
        <f>IF(AC$1&lt;12,AC6,0)</f>
        <v/>
      </c>
      <c r="AD11">
        <f>IF(AD$1&lt;12,AD6,0)</f>
        <v/>
      </c>
      <c r="AE11">
        <f>IF(AE$1&lt;12,AE6,0)</f>
        <v/>
      </c>
      <c r="AF11">
        <f>IF(AF$1&lt;12,AF6,0)</f>
        <v/>
      </c>
      <c r="AG11">
        <f>IF(AG$1&lt;12,AG6,0)</f>
        <v/>
      </c>
      <c r="AH11">
        <f>IF(AH$1&lt;12,AH6,0)</f>
        <v/>
      </c>
      <c r="AI11">
        <f>IF(AI$1&lt;12,AI6,0)</f>
        <v/>
      </c>
      <c r="AJ11">
        <f>IF(AJ$1&lt;12,AJ6,0)</f>
        <v/>
      </c>
      <c r="AK11">
        <f>IF(AK$1&lt;12,AK6,0)</f>
        <v/>
      </c>
      <c r="AL11">
        <f>IF(AL$1&lt;12,AL6,0)</f>
        <v/>
      </c>
      <c r="AM11">
        <f>IF(AM$1&lt;12,AM6,0)</f>
        <v/>
      </c>
      <c r="AN11">
        <f>IF(AN$1&lt;12,AN6,0)</f>
        <v/>
      </c>
      <c r="AO11">
        <f>IF(AO$1&lt;12,AO6,0)</f>
        <v/>
      </c>
      <c r="AP11">
        <f>IF(AP$1&lt;12,AP6,0)</f>
        <v/>
      </c>
      <c r="AQ11">
        <f>IF(AQ$1&lt;12,AQ6,0)</f>
        <v/>
      </c>
      <c r="AR11">
        <f>IF(AR$1&lt;12,AR6,0)</f>
        <v/>
      </c>
      <c r="AS11">
        <f>IF(AS$1&lt;12,AS6,0)</f>
        <v/>
      </c>
      <c r="AT11">
        <f>IF(AT$1&lt;12,AT6,0)</f>
        <v/>
      </c>
      <c r="AU11">
        <f>IF(AU$1&lt;12,AU6,0)</f>
        <v/>
      </c>
      <c r="AV11">
        <f>IF(AV$1&lt;12,AV6,0)</f>
        <v/>
      </c>
      <c r="AW11">
        <f>IF(AW$1&lt;12,AW6,0)</f>
        <v/>
      </c>
      <c r="AX11">
        <f>IF(AX$1&lt;12,AX6,0)</f>
        <v/>
      </c>
      <c r="AY11">
        <f>IF(AY$1&lt;12,AY6,0)</f>
        <v/>
      </c>
      <c r="AZ11">
        <f>IF(AZ$1&lt;12,AZ6,0)</f>
        <v/>
      </c>
      <c r="BA11">
        <f>IF(BA$1&lt;12,BA6,0)</f>
        <v/>
      </c>
      <c r="BB11">
        <f>IF(BB$1&lt;12,BB6,0)</f>
        <v/>
      </c>
      <c r="BC11">
        <f>IF(BC$1&lt;12,BC6,0)</f>
        <v/>
      </c>
      <c r="BD11">
        <f>IF(BD$1&lt;12,BD6,0)</f>
        <v/>
      </c>
      <c r="BE11">
        <f>IF(BE$1&lt;12,BE6,0)</f>
        <v/>
      </c>
      <c r="BF11">
        <f>IF(BF$1&lt;12,BF6,0)</f>
        <v/>
      </c>
      <c r="BG11">
        <f>IF(BG$1&lt;12,BG6,0)</f>
        <v/>
      </c>
      <c r="BH11">
        <f>IF(BH$1&lt;12,BH6,0)</f>
        <v/>
      </c>
      <c r="BI11">
        <f>IF(BI$1&lt;12,BI6,0)</f>
        <v/>
      </c>
      <c r="BJ11">
        <f>IF(BJ$1&lt;12,BJ6,0)</f>
        <v/>
      </c>
      <c r="BK11">
        <f>IF(BK$1&lt;12,BK6,0)</f>
        <v/>
      </c>
      <c r="BL11">
        <f>IF(BL$1&lt;12,BL6,0)</f>
        <v/>
      </c>
      <c r="BM11">
        <f>IF(BM$1&lt;12,BM6,0)</f>
        <v/>
      </c>
      <c r="BN11">
        <f>IF(BN$1&lt;12,BN6,0)</f>
        <v/>
      </c>
      <c r="BO11">
        <f>IF(BO$1&lt;12,BO6,0)</f>
        <v/>
      </c>
      <c r="BP11">
        <f>IF(BP$1&lt;12,BP6,0)</f>
        <v/>
      </c>
      <c r="BQ11">
        <f>IF(BQ$1&lt;12,BQ6,0)</f>
        <v/>
      </c>
      <c r="BR11">
        <f>IF(BR$1&lt;12,BR6,0)</f>
        <v/>
      </c>
      <c r="BS11">
        <f>IF(BS$1&lt;12,BS6,0)</f>
        <v/>
      </c>
      <c r="BT11">
        <f>IF(BT$1&lt;12,BT6,0)</f>
        <v/>
      </c>
      <c r="BU11">
        <f>IF(BU$1&lt;12,BU6,0)</f>
        <v/>
      </c>
      <c r="BV11">
        <f>IF(BV$1&lt;12,BV6,0)</f>
        <v/>
      </c>
    </row>
    <row r="12">
      <c r="A12" t="inlineStr">
        <is>
          <t>Reversed rows run oldest age first so SUMPRODUCT can pair them with sign-ups to date.</t>
        </is>
      </c>
    </row>
    <row r="13">
      <c r="A13" t="inlineStr">
        <is>
          <t>S_MONTHLY reversed</t>
        </is>
      </c>
      <c r="C13">
        <f>INDEX($C$2:$BV$2,72)</f>
        <v/>
      </c>
      <c r="D13">
        <f>INDEX($C$2:$BV$2,71)</f>
        <v/>
      </c>
      <c r="E13">
        <f>INDEX($C$2:$BV$2,70)</f>
        <v/>
      </c>
      <c r="F13">
        <f>INDEX($C$2:$BV$2,69)</f>
        <v/>
      </c>
      <c r="G13">
        <f>INDEX($C$2:$BV$2,68)</f>
        <v/>
      </c>
      <c r="H13">
        <f>INDEX($C$2:$BV$2,67)</f>
        <v/>
      </c>
      <c r="I13">
        <f>INDEX($C$2:$BV$2,66)</f>
        <v/>
      </c>
      <c r="J13">
        <f>INDEX($C$2:$BV$2,65)</f>
        <v/>
      </c>
      <c r="K13">
        <f>INDEX($C$2:$BV$2,64)</f>
        <v/>
      </c>
      <c r="L13">
        <f>INDEX($C$2:$BV$2,63)</f>
        <v/>
      </c>
      <c r="M13">
        <f>INDEX($C$2:$BV$2,62)</f>
        <v/>
      </c>
      <c r="N13">
        <f>INDEX($C$2:$BV$2,61)</f>
        <v/>
      </c>
      <c r="O13">
        <f>INDEX($C$2:$BV$2,60)</f>
        <v/>
      </c>
      <c r="P13">
        <f>INDEX($C$2:$BV$2,59)</f>
        <v/>
      </c>
      <c r="Q13">
        <f>INDEX($C$2:$BV$2,58)</f>
        <v/>
      </c>
      <c r="R13">
        <f>INDEX($C$2:$BV$2,57)</f>
        <v/>
      </c>
      <c r="S13">
        <f>INDEX($C$2:$BV$2,56)</f>
        <v/>
      </c>
      <c r="T13">
        <f>INDEX($C$2:$BV$2,55)</f>
        <v/>
      </c>
      <c r="U13">
        <f>INDEX($C$2:$BV$2,54)</f>
        <v/>
      </c>
      <c r="V13">
        <f>INDEX($C$2:$BV$2,53)</f>
        <v/>
      </c>
      <c r="W13">
        <f>INDEX($C$2:$BV$2,52)</f>
        <v/>
      </c>
      <c r="X13">
        <f>INDEX($C$2:$BV$2,51)</f>
        <v/>
      </c>
      <c r="Y13">
        <f>INDEX($C$2:$BV$2,50)</f>
        <v/>
      </c>
      <c r="Z13">
        <f>INDEX($C$2:$BV$2,49)</f>
        <v/>
      </c>
      <c r="AA13">
        <f>INDEX($C$2:$BV$2,48)</f>
        <v/>
      </c>
      <c r="AB13">
        <f>INDEX($C$2:$BV$2,47)</f>
        <v/>
      </c>
      <c r="AC13">
        <f>INDEX($C$2:$BV$2,46)</f>
        <v/>
      </c>
      <c r="AD13">
        <f>INDEX($C$2:$BV$2,45)</f>
        <v/>
      </c>
      <c r="AE13">
        <f>INDEX($C$2:$BV$2,44)</f>
        <v/>
      </c>
      <c r="AF13">
        <f>INDEX($C$2:$BV$2,43)</f>
        <v/>
      </c>
      <c r="AG13">
        <f>INDEX($C$2:$BV$2,42)</f>
        <v/>
      </c>
      <c r="AH13">
        <f>INDEX($C$2:$BV$2,41)</f>
        <v/>
      </c>
      <c r="AI13">
        <f>INDEX($C$2:$BV$2,40)</f>
        <v/>
      </c>
      <c r="AJ13">
        <f>INDEX($C$2:$BV$2,39)</f>
        <v/>
      </c>
      <c r="AK13">
        <f>INDEX($C$2:$BV$2,38)</f>
        <v/>
      </c>
      <c r="AL13">
        <f>INDEX($C$2:$BV$2,37)</f>
        <v/>
      </c>
      <c r="AM13">
        <f>INDEX($C$2:$BV$2,36)</f>
        <v/>
      </c>
      <c r="AN13">
        <f>INDEX($C$2:$BV$2,35)</f>
        <v/>
      </c>
      <c r="AO13">
        <f>INDEX($C$2:$BV$2,34)</f>
        <v/>
      </c>
      <c r="AP13">
        <f>INDEX($C$2:$BV$2,33)</f>
        <v/>
      </c>
      <c r="AQ13">
        <f>INDEX($C$2:$BV$2,32)</f>
        <v/>
      </c>
      <c r="AR13">
        <f>INDEX($C$2:$BV$2,31)</f>
        <v/>
      </c>
      <c r="AS13">
        <f>INDEX($C$2:$BV$2,30)</f>
        <v/>
      </c>
      <c r="AT13">
        <f>INDEX($C$2:$BV$2,29)</f>
        <v/>
      </c>
      <c r="AU13">
        <f>INDEX($C$2:$BV$2,28)</f>
        <v/>
      </c>
      <c r="AV13">
        <f>INDEX($C$2:$BV$2,27)</f>
        <v/>
      </c>
      <c r="AW13">
        <f>INDEX($C$2:$BV$2,26)</f>
        <v/>
      </c>
      <c r="AX13">
        <f>INDEX($C$2:$BV$2,25)</f>
        <v/>
      </c>
      <c r="AY13">
        <f>INDEX($C$2:$BV$2,24)</f>
        <v/>
      </c>
      <c r="AZ13">
        <f>INDEX($C$2:$BV$2,23)</f>
        <v/>
      </c>
      <c r="BA13">
        <f>INDEX($C$2:$BV$2,22)</f>
        <v/>
      </c>
      <c r="BB13">
        <f>INDEX($C$2:$BV$2,21)</f>
        <v/>
      </c>
      <c r="BC13">
        <f>INDEX($C$2:$BV$2,20)</f>
        <v/>
      </c>
      <c r="BD13">
        <f>INDEX($C$2:$BV$2,19)</f>
        <v/>
      </c>
      <c r="BE13">
        <f>INDEX($C$2:$BV$2,18)</f>
        <v/>
      </c>
      <c r="BF13">
        <f>INDEX($C$2:$BV$2,17)</f>
        <v/>
      </c>
      <c r="BG13">
        <f>INDEX($C$2:$BV$2,16)</f>
        <v/>
      </c>
      <c r="BH13">
        <f>INDEX($C$2:$BV$2,15)</f>
        <v/>
      </c>
      <c r="BI13">
        <f>INDEX($C$2:$BV$2,14)</f>
        <v/>
      </c>
      <c r="BJ13">
        <f>INDEX($C$2:$BV$2,13)</f>
        <v/>
      </c>
      <c r="BK13">
        <f>INDEX($C$2:$BV$2,12)</f>
        <v/>
      </c>
      <c r="BL13">
        <f>INDEX($C$2:$BV$2,11)</f>
        <v/>
      </c>
      <c r="BM13">
        <f>INDEX($C$2:$BV$2,10)</f>
        <v/>
      </c>
      <c r="BN13">
        <f>INDEX($C$2:$BV$2,9)</f>
        <v/>
      </c>
      <c r="BO13">
        <f>INDEX($C$2:$BV$2,8)</f>
        <v/>
      </c>
      <c r="BP13">
        <f>INDEX($C$2:$BV$2,7)</f>
        <v/>
      </c>
      <c r="BQ13">
        <f>INDEX($C$2:$BV$2,6)</f>
        <v/>
      </c>
      <c r="BR13">
        <f>INDEX($C$2:$BV$2,5)</f>
        <v/>
      </c>
      <c r="BS13">
        <f>INDEX($C$2:$BV$2,4)</f>
        <v/>
      </c>
      <c r="BT13">
        <f>INDEX($C$2:$BV$2,3)</f>
        <v/>
      </c>
      <c r="BU13">
        <f>INDEX($C$2:$BV$2,2)</f>
        <v/>
      </c>
      <c r="BV13">
        <f>INDEX($C$2:$BV$2,1)</f>
        <v/>
      </c>
    </row>
    <row r="14">
      <c r="A14" t="inlineStr">
        <is>
          <t>S_ANNUAL reversed</t>
        </is>
      </c>
      <c r="C14">
        <f>INDEX($C$3:$BV$3,72)</f>
        <v/>
      </c>
      <c r="D14">
        <f>INDEX($C$3:$BV$3,71)</f>
        <v/>
      </c>
      <c r="E14">
        <f>INDEX($C$3:$BV$3,70)</f>
        <v/>
      </c>
      <c r="F14">
        <f>INDEX($C$3:$BV$3,69)</f>
        <v/>
      </c>
      <c r="G14">
        <f>INDEX($C$3:$BV$3,68)</f>
        <v/>
      </c>
      <c r="H14">
        <f>INDEX($C$3:$BV$3,67)</f>
        <v/>
      </c>
      <c r="I14">
        <f>INDEX($C$3:$BV$3,66)</f>
        <v/>
      </c>
      <c r="J14">
        <f>INDEX($C$3:$BV$3,65)</f>
        <v/>
      </c>
      <c r="K14">
        <f>INDEX($C$3:$BV$3,64)</f>
        <v/>
      </c>
      <c r="L14">
        <f>INDEX($C$3:$BV$3,63)</f>
        <v/>
      </c>
      <c r="M14">
        <f>INDEX($C$3:$BV$3,62)</f>
        <v/>
      </c>
      <c r="N14">
        <f>INDEX($C$3:$BV$3,61)</f>
        <v/>
      </c>
      <c r="O14">
        <f>INDEX($C$3:$BV$3,60)</f>
        <v/>
      </c>
      <c r="P14">
        <f>INDEX($C$3:$BV$3,59)</f>
        <v/>
      </c>
      <c r="Q14">
        <f>INDEX($C$3:$BV$3,58)</f>
        <v/>
      </c>
      <c r="R14">
        <f>INDEX($C$3:$BV$3,57)</f>
        <v/>
      </c>
      <c r="S14">
        <f>INDEX($C$3:$BV$3,56)</f>
        <v/>
      </c>
      <c r="T14">
        <f>INDEX($C$3:$BV$3,55)</f>
        <v/>
      </c>
      <c r="U14">
        <f>INDEX($C$3:$BV$3,54)</f>
        <v/>
      </c>
      <c r="V14">
        <f>INDEX($C$3:$BV$3,53)</f>
        <v/>
      </c>
      <c r="W14">
        <f>INDEX($C$3:$BV$3,52)</f>
        <v/>
      </c>
      <c r="X14">
        <f>INDEX($C$3:$BV$3,51)</f>
        <v/>
      </c>
      <c r="Y14">
        <f>INDEX($C$3:$BV$3,50)</f>
        <v/>
      </c>
      <c r="Z14">
        <f>INDEX($C$3:$BV$3,49)</f>
        <v/>
      </c>
      <c r="AA14">
        <f>INDEX($C$3:$BV$3,48)</f>
        <v/>
      </c>
      <c r="AB14">
        <f>INDEX($C$3:$BV$3,47)</f>
        <v/>
      </c>
      <c r="AC14">
        <f>INDEX($C$3:$BV$3,46)</f>
        <v/>
      </c>
      <c r="AD14">
        <f>INDEX($C$3:$BV$3,45)</f>
        <v/>
      </c>
      <c r="AE14">
        <f>INDEX($C$3:$BV$3,44)</f>
        <v/>
      </c>
      <c r="AF14">
        <f>INDEX($C$3:$BV$3,43)</f>
        <v/>
      </c>
      <c r="AG14">
        <f>INDEX($C$3:$BV$3,42)</f>
        <v/>
      </c>
      <c r="AH14">
        <f>INDEX($C$3:$BV$3,41)</f>
        <v/>
      </c>
      <c r="AI14">
        <f>INDEX($C$3:$BV$3,40)</f>
        <v/>
      </c>
      <c r="AJ14">
        <f>INDEX($C$3:$BV$3,39)</f>
        <v/>
      </c>
      <c r="AK14">
        <f>INDEX($C$3:$BV$3,38)</f>
        <v/>
      </c>
      <c r="AL14">
        <f>INDEX($C$3:$BV$3,37)</f>
        <v/>
      </c>
      <c r="AM14">
        <f>INDEX($C$3:$BV$3,36)</f>
        <v/>
      </c>
      <c r="AN14">
        <f>INDEX($C$3:$BV$3,35)</f>
        <v/>
      </c>
      <c r="AO14">
        <f>INDEX($C$3:$BV$3,34)</f>
        <v/>
      </c>
      <c r="AP14">
        <f>INDEX($C$3:$BV$3,33)</f>
        <v/>
      </c>
      <c r="AQ14">
        <f>INDEX($C$3:$BV$3,32)</f>
        <v/>
      </c>
      <c r="AR14">
        <f>INDEX($C$3:$BV$3,31)</f>
        <v/>
      </c>
      <c r="AS14">
        <f>INDEX($C$3:$BV$3,30)</f>
        <v/>
      </c>
      <c r="AT14">
        <f>INDEX($C$3:$BV$3,29)</f>
        <v/>
      </c>
      <c r="AU14">
        <f>INDEX($C$3:$BV$3,28)</f>
        <v/>
      </c>
      <c r="AV14">
        <f>INDEX($C$3:$BV$3,27)</f>
        <v/>
      </c>
      <c r="AW14">
        <f>INDEX($C$3:$BV$3,26)</f>
        <v/>
      </c>
      <c r="AX14">
        <f>INDEX($C$3:$BV$3,25)</f>
        <v/>
      </c>
      <c r="AY14">
        <f>INDEX($C$3:$BV$3,24)</f>
        <v/>
      </c>
      <c r="AZ14">
        <f>INDEX($C$3:$BV$3,23)</f>
        <v/>
      </c>
      <c r="BA14">
        <f>INDEX($C$3:$BV$3,22)</f>
        <v/>
      </c>
      <c r="BB14">
        <f>INDEX($C$3:$BV$3,21)</f>
        <v/>
      </c>
      <c r="BC14">
        <f>INDEX($C$3:$BV$3,20)</f>
        <v/>
      </c>
      <c r="BD14">
        <f>INDEX($C$3:$BV$3,19)</f>
        <v/>
      </c>
      <c r="BE14">
        <f>INDEX($C$3:$BV$3,18)</f>
        <v/>
      </c>
      <c r="BF14">
        <f>INDEX($C$3:$BV$3,17)</f>
        <v/>
      </c>
      <c r="BG14">
        <f>INDEX($C$3:$BV$3,16)</f>
        <v/>
      </c>
      <c r="BH14">
        <f>INDEX($C$3:$BV$3,15)</f>
        <v/>
      </c>
      <c r="BI14">
        <f>INDEX($C$3:$BV$3,14)</f>
        <v/>
      </c>
      <c r="BJ14">
        <f>INDEX($C$3:$BV$3,13)</f>
        <v/>
      </c>
      <c r="BK14">
        <f>INDEX($C$3:$BV$3,12)</f>
        <v/>
      </c>
      <c r="BL14">
        <f>INDEX($C$3:$BV$3,11)</f>
        <v/>
      </c>
      <c r="BM14">
        <f>INDEX($C$3:$BV$3,10)</f>
        <v/>
      </c>
      <c r="BN14">
        <f>INDEX($C$3:$BV$3,9)</f>
        <v/>
      </c>
      <c r="BO14">
        <f>INDEX($C$3:$BV$3,8)</f>
        <v/>
      </c>
      <c r="BP14">
        <f>INDEX($C$3:$BV$3,7)</f>
        <v/>
      </c>
      <c r="BQ14">
        <f>INDEX($C$3:$BV$3,6)</f>
        <v/>
      </c>
      <c r="BR14">
        <f>INDEX($C$3:$BV$3,5)</f>
        <v/>
      </c>
      <c r="BS14">
        <f>INDEX($C$3:$BV$3,4)</f>
        <v/>
      </c>
      <c r="BT14">
        <f>INDEX($C$3:$BV$3,3)</f>
        <v/>
      </c>
      <c r="BU14">
        <f>INDEX($C$3:$BV$3,2)</f>
        <v/>
      </c>
      <c r="BV14">
        <f>INDEX($C$3:$BV$3,1)</f>
        <v/>
      </c>
    </row>
    <row r="15">
      <c r="A15" t="inlineStr">
        <is>
          <t>D_MONTHLY reversed</t>
        </is>
      </c>
      <c r="C15">
        <f>INDEX($C$4:$BV$4,72)</f>
        <v/>
      </c>
      <c r="D15">
        <f>INDEX($C$4:$BV$4,71)</f>
        <v/>
      </c>
      <c r="E15">
        <f>INDEX($C$4:$BV$4,70)</f>
        <v/>
      </c>
      <c r="F15">
        <f>INDEX($C$4:$BV$4,69)</f>
        <v/>
      </c>
      <c r="G15">
        <f>INDEX($C$4:$BV$4,68)</f>
        <v/>
      </c>
      <c r="H15">
        <f>INDEX($C$4:$BV$4,67)</f>
        <v/>
      </c>
      <c r="I15">
        <f>INDEX($C$4:$BV$4,66)</f>
        <v/>
      </c>
      <c r="J15">
        <f>INDEX($C$4:$BV$4,65)</f>
        <v/>
      </c>
      <c r="K15">
        <f>INDEX($C$4:$BV$4,64)</f>
        <v/>
      </c>
      <c r="L15">
        <f>INDEX($C$4:$BV$4,63)</f>
        <v/>
      </c>
      <c r="M15">
        <f>INDEX($C$4:$BV$4,62)</f>
        <v/>
      </c>
      <c r="N15">
        <f>INDEX($C$4:$BV$4,61)</f>
        <v/>
      </c>
      <c r="O15">
        <f>INDEX($C$4:$BV$4,60)</f>
        <v/>
      </c>
      <c r="P15">
        <f>INDEX($C$4:$BV$4,59)</f>
        <v/>
      </c>
      <c r="Q15">
        <f>INDEX($C$4:$BV$4,58)</f>
        <v/>
      </c>
      <c r="R15">
        <f>INDEX($C$4:$BV$4,57)</f>
        <v/>
      </c>
      <c r="S15">
        <f>INDEX($C$4:$BV$4,56)</f>
        <v/>
      </c>
      <c r="T15">
        <f>INDEX($C$4:$BV$4,55)</f>
        <v/>
      </c>
      <c r="U15">
        <f>INDEX($C$4:$BV$4,54)</f>
        <v/>
      </c>
      <c r="V15">
        <f>INDEX($C$4:$BV$4,53)</f>
        <v/>
      </c>
      <c r="W15">
        <f>INDEX($C$4:$BV$4,52)</f>
        <v/>
      </c>
      <c r="X15">
        <f>INDEX($C$4:$BV$4,51)</f>
        <v/>
      </c>
      <c r="Y15">
        <f>INDEX($C$4:$BV$4,50)</f>
        <v/>
      </c>
      <c r="Z15">
        <f>INDEX($C$4:$BV$4,49)</f>
        <v/>
      </c>
      <c r="AA15">
        <f>INDEX($C$4:$BV$4,48)</f>
        <v/>
      </c>
      <c r="AB15">
        <f>INDEX($C$4:$BV$4,47)</f>
        <v/>
      </c>
      <c r="AC15">
        <f>INDEX($C$4:$BV$4,46)</f>
        <v/>
      </c>
      <c r="AD15">
        <f>INDEX($C$4:$BV$4,45)</f>
        <v/>
      </c>
      <c r="AE15">
        <f>INDEX($C$4:$BV$4,44)</f>
        <v/>
      </c>
      <c r="AF15">
        <f>INDEX($C$4:$BV$4,43)</f>
        <v/>
      </c>
      <c r="AG15">
        <f>INDEX($C$4:$BV$4,42)</f>
        <v/>
      </c>
      <c r="AH15">
        <f>INDEX($C$4:$BV$4,41)</f>
        <v/>
      </c>
      <c r="AI15">
        <f>INDEX($C$4:$BV$4,40)</f>
        <v/>
      </c>
      <c r="AJ15">
        <f>INDEX($C$4:$BV$4,39)</f>
        <v/>
      </c>
      <c r="AK15">
        <f>INDEX($C$4:$BV$4,38)</f>
        <v/>
      </c>
      <c r="AL15">
        <f>INDEX($C$4:$BV$4,37)</f>
        <v/>
      </c>
      <c r="AM15">
        <f>INDEX($C$4:$BV$4,36)</f>
        <v/>
      </c>
      <c r="AN15">
        <f>INDEX($C$4:$BV$4,35)</f>
        <v/>
      </c>
      <c r="AO15">
        <f>INDEX($C$4:$BV$4,34)</f>
        <v/>
      </c>
      <c r="AP15">
        <f>INDEX($C$4:$BV$4,33)</f>
        <v/>
      </c>
      <c r="AQ15">
        <f>INDEX($C$4:$BV$4,32)</f>
        <v/>
      </c>
      <c r="AR15">
        <f>INDEX($C$4:$BV$4,31)</f>
        <v/>
      </c>
      <c r="AS15">
        <f>INDEX($C$4:$BV$4,30)</f>
        <v/>
      </c>
      <c r="AT15">
        <f>INDEX($C$4:$BV$4,29)</f>
        <v/>
      </c>
      <c r="AU15">
        <f>INDEX($C$4:$BV$4,28)</f>
        <v/>
      </c>
      <c r="AV15">
        <f>INDEX($C$4:$BV$4,27)</f>
        <v/>
      </c>
      <c r="AW15">
        <f>INDEX($C$4:$BV$4,26)</f>
        <v/>
      </c>
      <c r="AX15">
        <f>INDEX($C$4:$BV$4,25)</f>
        <v/>
      </c>
      <c r="AY15">
        <f>INDEX($C$4:$BV$4,24)</f>
        <v/>
      </c>
      <c r="AZ15">
        <f>INDEX($C$4:$BV$4,23)</f>
        <v/>
      </c>
      <c r="BA15">
        <f>INDEX($C$4:$BV$4,22)</f>
        <v/>
      </c>
      <c r="BB15">
        <f>INDEX($C$4:$BV$4,21)</f>
        <v/>
      </c>
      <c r="BC15">
        <f>INDEX($C$4:$BV$4,20)</f>
        <v/>
      </c>
      <c r="BD15">
        <f>INDEX($C$4:$BV$4,19)</f>
        <v/>
      </c>
      <c r="BE15">
        <f>INDEX($C$4:$BV$4,18)</f>
        <v/>
      </c>
      <c r="BF15">
        <f>INDEX($C$4:$BV$4,17)</f>
        <v/>
      </c>
      <c r="BG15">
        <f>INDEX($C$4:$BV$4,16)</f>
        <v/>
      </c>
      <c r="BH15">
        <f>INDEX($C$4:$BV$4,15)</f>
        <v/>
      </c>
      <c r="BI15">
        <f>INDEX($C$4:$BV$4,14)</f>
        <v/>
      </c>
      <c r="BJ15">
        <f>INDEX($C$4:$BV$4,13)</f>
        <v/>
      </c>
      <c r="BK15">
        <f>INDEX($C$4:$BV$4,12)</f>
        <v/>
      </c>
      <c r="BL15">
        <f>INDEX($C$4:$BV$4,11)</f>
        <v/>
      </c>
      <c r="BM15">
        <f>INDEX($C$4:$BV$4,10)</f>
        <v/>
      </c>
      <c r="BN15">
        <f>INDEX($C$4:$BV$4,9)</f>
        <v/>
      </c>
      <c r="BO15">
        <f>INDEX($C$4:$BV$4,8)</f>
        <v/>
      </c>
      <c r="BP15">
        <f>INDEX($C$4:$BV$4,7)</f>
        <v/>
      </c>
      <c r="BQ15">
        <f>INDEX($C$4:$BV$4,6)</f>
        <v/>
      </c>
      <c r="BR15">
        <f>INDEX($C$4:$BV$4,5)</f>
        <v/>
      </c>
      <c r="BS15">
        <f>INDEX($C$4:$BV$4,4)</f>
        <v/>
      </c>
      <c r="BT15">
        <f>INDEX($C$4:$BV$4,3)</f>
        <v/>
      </c>
      <c r="BU15">
        <f>INDEX($C$4:$BV$4,2)</f>
        <v/>
      </c>
      <c r="BV15">
        <f>INDEX($C$4:$BV$4,1)</f>
        <v/>
      </c>
    </row>
    <row r="16">
      <c r="A16" t="inlineStr">
        <is>
          <t>D_ANNUAL reversed</t>
        </is>
      </c>
      <c r="C16">
        <f>INDEX($C$5:$BV$5,72)</f>
        <v/>
      </c>
      <c r="D16">
        <f>INDEX($C$5:$BV$5,71)</f>
        <v/>
      </c>
      <c r="E16">
        <f>INDEX($C$5:$BV$5,70)</f>
        <v/>
      </c>
      <c r="F16">
        <f>INDEX($C$5:$BV$5,69)</f>
        <v/>
      </c>
      <c r="G16">
        <f>INDEX($C$5:$BV$5,68)</f>
        <v/>
      </c>
      <c r="H16">
        <f>INDEX($C$5:$BV$5,67)</f>
        <v/>
      </c>
      <c r="I16">
        <f>INDEX($C$5:$BV$5,66)</f>
        <v/>
      </c>
      <c r="J16">
        <f>INDEX($C$5:$BV$5,65)</f>
        <v/>
      </c>
      <c r="K16">
        <f>INDEX($C$5:$BV$5,64)</f>
        <v/>
      </c>
      <c r="L16">
        <f>INDEX($C$5:$BV$5,63)</f>
        <v/>
      </c>
      <c r="M16">
        <f>INDEX($C$5:$BV$5,62)</f>
        <v/>
      </c>
      <c r="N16">
        <f>INDEX($C$5:$BV$5,61)</f>
        <v/>
      </c>
      <c r="O16">
        <f>INDEX($C$5:$BV$5,60)</f>
        <v/>
      </c>
      <c r="P16">
        <f>INDEX($C$5:$BV$5,59)</f>
        <v/>
      </c>
      <c r="Q16">
        <f>INDEX($C$5:$BV$5,58)</f>
        <v/>
      </c>
      <c r="R16">
        <f>INDEX($C$5:$BV$5,57)</f>
        <v/>
      </c>
      <c r="S16">
        <f>INDEX($C$5:$BV$5,56)</f>
        <v/>
      </c>
      <c r="T16">
        <f>INDEX($C$5:$BV$5,55)</f>
        <v/>
      </c>
      <c r="U16">
        <f>INDEX($C$5:$BV$5,54)</f>
        <v/>
      </c>
      <c r="V16">
        <f>INDEX($C$5:$BV$5,53)</f>
        <v/>
      </c>
      <c r="W16">
        <f>INDEX($C$5:$BV$5,52)</f>
        <v/>
      </c>
      <c r="X16">
        <f>INDEX($C$5:$BV$5,51)</f>
        <v/>
      </c>
      <c r="Y16">
        <f>INDEX($C$5:$BV$5,50)</f>
        <v/>
      </c>
      <c r="Z16">
        <f>INDEX($C$5:$BV$5,49)</f>
        <v/>
      </c>
      <c r="AA16">
        <f>INDEX($C$5:$BV$5,48)</f>
        <v/>
      </c>
      <c r="AB16">
        <f>INDEX($C$5:$BV$5,47)</f>
        <v/>
      </c>
      <c r="AC16">
        <f>INDEX($C$5:$BV$5,46)</f>
        <v/>
      </c>
      <c r="AD16">
        <f>INDEX($C$5:$BV$5,45)</f>
        <v/>
      </c>
      <c r="AE16">
        <f>INDEX($C$5:$BV$5,44)</f>
        <v/>
      </c>
      <c r="AF16">
        <f>INDEX($C$5:$BV$5,43)</f>
        <v/>
      </c>
      <c r="AG16">
        <f>INDEX($C$5:$BV$5,42)</f>
        <v/>
      </c>
      <c r="AH16">
        <f>INDEX($C$5:$BV$5,41)</f>
        <v/>
      </c>
      <c r="AI16">
        <f>INDEX($C$5:$BV$5,40)</f>
        <v/>
      </c>
      <c r="AJ16">
        <f>INDEX($C$5:$BV$5,39)</f>
        <v/>
      </c>
      <c r="AK16">
        <f>INDEX($C$5:$BV$5,38)</f>
        <v/>
      </c>
      <c r="AL16">
        <f>INDEX($C$5:$BV$5,37)</f>
        <v/>
      </c>
      <c r="AM16">
        <f>INDEX($C$5:$BV$5,36)</f>
        <v/>
      </c>
      <c r="AN16">
        <f>INDEX($C$5:$BV$5,35)</f>
        <v/>
      </c>
      <c r="AO16">
        <f>INDEX($C$5:$BV$5,34)</f>
        <v/>
      </c>
      <c r="AP16">
        <f>INDEX($C$5:$BV$5,33)</f>
        <v/>
      </c>
      <c r="AQ16">
        <f>INDEX($C$5:$BV$5,32)</f>
        <v/>
      </c>
      <c r="AR16">
        <f>INDEX($C$5:$BV$5,31)</f>
        <v/>
      </c>
      <c r="AS16">
        <f>INDEX($C$5:$BV$5,30)</f>
        <v/>
      </c>
      <c r="AT16">
        <f>INDEX($C$5:$BV$5,29)</f>
        <v/>
      </c>
      <c r="AU16">
        <f>INDEX($C$5:$BV$5,28)</f>
        <v/>
      </c>
      <c r="AV16">
        <f>INDEX($C$5:$BV$5,27)</f>
        <v/>
      </c>
      <c r="AW16">
        <f>INDEX($C$5:$BV$5,26)</f>
        <v/>
      </c>
      <c r="AX16">
        <f>INDEX($C$5:$BV$5,25)</f>
        <v/>
      </c>
      <c r="AY16">
        <f>INDEX($C$5:$BV$5,24)</f>
        <v/>
      </c>
      <c r="AZ16">
        <f>INDEX($C$5:$BV$5,23)</f>
        <v/>
      </c>
      <c r="BA16">
        <f>INDEX($C$5:$BV$5,22)</f>
        <v/>
      </c>
      <c r="BB16">
        <f>INDEX($C$5:$BV$5,21)</f>
        <v/>
      </c>
      <c r="BC16">
        <f>INDEX($C$5:$BV$5,20)</f>
        <v/>
      </c>
      <c r="BD16">
        <f>INDEX($C$5:$BV$5,19)</f>
        <v/>
      </c>
      <c r="BE16">
        <f>INDEX($C$5:$BV$5,18)</f>
        <v/>
      </c>
      <c r="BF16">
        <f>INDEX($C$5:$BV$5,17)</f>
        <v/>
      </c>
      <c r="BG16">
        <f>INDEX($C$5:$BV$5,16)</f>
        <v/>
      </c>
      <c r="BH16">
        <f>INDEX($C$5:$BV$5,15)</f>
        <v/>
      </c>
      <c r="BI16">
        <f>INDEX($C$5:$BV$5,14)</f>
        <v/>
      </c>
      <c r="BJ16">
        <f>INDEX($C$5:$BV$5,13)</f>
        <v/>
      </c>
      <c r="BK16">
        <f>INDEX($C$5:$BV$5,12)</f>
        <v/>
      </c>
      <c r="BL16">
        <f>INDEX($C$5:$BV$5,11)</f>
        <v/>
      </c>
      <c r="BM16">
        <f>INDEX($C$5:$BV$5,10)</f>
        <v/>
      </c>
      <c r="BN16">
        <f>INDEX($C$5:$BV$5,9)</f>
        <v/>
      </c>
      <c r="BO16">
        <f>INDEX($C$5:$BV$5,8)</f>
        <v/>
      </c>
      <c r="BP16">
        <f>INDEX($C$5:$BV$5,7)</f>
        <v/>
      </c>
      <c r="BQ16">
        <f>INDEX($C$5:$BV$5,6)</f>
        <v/>
      </c>
      <c r="BR16">
        <f>INDEX($C$5:$BV$5,5)</f>
        <v/>
      </c>
      <c r="BS16">
        <f>INDEX($C$5:$BV$5,4)</f>
        <v/>
      </c>
      <c r="BT16">
        <f>INDEX($C$5:$BV$5,3)</f>
        <v/>
      </c>
      <c r="BU16">
        <f>INDEX($C$5:$BV$5,2)</f>
        <v/>
      </c>
      <c r="BV16">
        <f>INDEX($C$5:$BV$5,1)</f>
        <v/>
      </c>
    </row>
    <row r="17">
      <c r="A17" t="inlineStr">
        <is>
          <t>S_REACT reversed</t>
        </is>
      </c>
      <c r="C17">
        <f>INDEX($C$6:$BV$6,72)</f>
        <v/>
      </c>
      <c r="D17">
        <f>INDEX($C$6:$BV$6,71)</f>
        <v/>
      </c>
      <c r="E17">
        <f>INDEX($C$6:$BV$6,70)</f>
        <v/>
      </c>
      <c r="F17">
        <f>INDEX($C$6:$BV$6,69)</f>
        <v/>
      </c>
      <c r="G17">
        <f>INDEX($C$6:$BV$6,68)</f>
        <v/>
      </c>
      <c r="H17">
        <f>INDEX($C$6:$BV$6,67)</f>
        <v/>
      </c>
      <c r="I17">
        <f>INDEX($C$6:$BV$6,66)</f>
        <v/>
      </c>
      <c r="J17">
        <f>INDEX($C$6:$BV$6,65)</f>
        <v/>
      </c>
      <c r="K17">
        <f>INDEX($C$6:$BV$6,64)</f>
        <v/>
      </c>
      <c r="L17">
        <f>INDEX($C$6:$BV$6,63)</f>
        <v/>
      </c>
      <c r="M17">
        <f>INDEX($C$6:$BV$6,62)</f>
        <v/>
      </c>
      <c r="N17">
        <f>INDEX($C$6:$BV$6,61)</f>
        <v/>
      </c>
      <c r="O17">
        <f>INDEX($C$6:$BV$6,60)</f>
        <v/>
      </c>
      <c r="P17">
        <f>INDEX($C$6:$BV$6,59)</f>
        <v/>
      </c>
      <c r="Q17">
        <f>INDEX($C$6:$BV$6,58)</f>
        <v/>
      </c>
      <c r="R17">
        <f>INDEX($C$6:$BV$6,57)</f>
        <v/>
      </c>
      <c r="S17">
        <f>INDEX($C$6:$BV$6,56)</f>
        <v/>
      </c>
      <c r="T17">
        <f>INDEX($C$6:$BV$6,55)</f>
        <v/>
      </c>
      <c r="U17">
        <f>INDEX($C$6:$BV$6,54)</f>
        <v/>
      </c>
      <c r="V17">
        <f>INDEX($C$6:$BV$6,53)</f>
        <v/>
      </c>
      <c r="W17">
        <f>INDEX($C$6:$BV$6,52)</f>
        <v/>
      </c>
      <c r="X17">
        <f>INDEX($C$6:$BV$6,51)</f>
        <v/>
      </c>
      <c r="Y17">
        <f>INDEX($C$6:$BV$6,50)</f>
        <v/>
      </c>
      <c r="Z17">
        <f>INDEX($C$6:$BV$6,49)</f>
        <v/>
      </c>
      <c r="AA17">
        <f>INDEX($C$6:$BV$6,48)</f>
        <v/>
      </c>
      <c r="AB17">
        <f>INDEX($C$6:$BV$6,47)</f>
        <v/>
      </c>
      <c r="AC17">
        <f>INDEX($C$6:$BV$6,46)</f>
        <v/>
      </c>
      <c r="AD17">
        <f>INDEX($C$6:$BV$6,45)</f>
        <v/>
      </c>
      <c r="AE17">
        <f>INDEX($C$6:$BV$6,44)</f>
        <v/>
      </c>
      <c r="AF17">
        <f>INDEX($C$6:$BV$6,43)</f>
        <v/>
      </c>
      <c r="AG17">
        <f>INDEX($C$6:$BV$6,42)</f>
        <v/>
      </c>
      <c r="AH17">
        <f>INDEX($C$6:$BV$6,41)</f>
        <v/>
      </c>
      <c r="AI17">
        <f>INDEX($C$6:$BV$6,40)</f>
        <v/>
      </c>
      <c r="AJ17">
        <f>INDEX($C$6:$BV$6,39)</f>
        <v/>
      </c>
      <c r="AK17">
        <f>INDEX($C$6:$BV$6,38)</f>
        <v/>
      </c>
      <c r="AL17">
        <f>INDEX($C$6:$BV$6,37)</f>
        <v/>
      </c>
      <c r="AM17">
        <f>INDEX($C$6:$BV$6,36)</f>
        <v/>
      </c>
      <c r="AN17">
        <f>INDEX($C$6:$BV$6,35)</f>
        <v/>
      </c>
      <c r="AO17">
        <f>INDEX($C$6:$BV$6,34)</f>
        <v/>
      </c>
      <c r="AP17">
        <f>INDEX($C$6:$BV$6,33)</f>
        <v/>
      </c>
      <c r="AQ17">
        <f>INDEX($C$6:$BV$6,32)</f>
        <v/>
      </c>
      <c r="AR17">
        <f>INDEX($C$6:$BV$6,31)</f>
        <v/>
      </c>
      <c r="AS17">
        <f>INDEX($C$6:$BV$6,30)</f>
        <v/>
      </c>
      <c r="AT17">
        <f>INDEX($C$6:$BV$6,29)</f>
        <v/>
      </c>
      <c r="AU17">
        <f>INDEX($C$6:$BV$6,28)</f>
        <v/>
      </c>
      <c r="AV17">
        <f>INDEX($C$6:$BV$6,27)</f>
        <v/>
      </c>
      <c r="AW17">
        <f>INDEX($C$6:$BV$6,26)</f>
        <v/>
      </c>
      <c r="AX17">
        <f>INDEX($C$6:$BV$6,25)</f>
        <v/>
      </c>
      <c r="AY17">
        <f>INDEX($C$6:$BV$6,24)</f>
        <v/>
      </c>
      <c r="AZ17">
        <f>INDEX($C$6:$BV$6,23)</f>
        <v/>
      </c>
      <c r="BA17">
        <f>INDEX($C$6:$BV$6,22)</f>
        <v/>
      </c>
      <c r="BB17">
        <f>INDEX($C$6:$BV$6,21)</f>
        <v/>
      </c>
      <c r="BC17">
        <f>INDEX($C$6:$BV$6,20)</f>
        <v/>
      </c>
      <c r="BD17">
        <f>INDEX($C$6:$BV$6,19)</f>
        <v/>
      </c>
      <c r="BE17">
        <f>INDEX($C$6:$BV$6,18)</f>
        <v/>
      </c>
      <c r="BF17">
        <f>INDEX($C$6:$BV$6,17)</f>
        <v/>
      </c>
      <c r="BG17">
        <f>INDEX($C$6:$BV$6,16)</f>
        <v/>
      </c>
      <c r="BH17">
        <f>INDEX($C$6:$BV$6,15)</f>
        <v/>
      </c>
      <c r="BI17">
        <f>INDEX($C$6:$BV$6,14)</f>
        <v/>
      </c>
      <c r="BJ17">
        <f>INDEX($C$6:$BV$6,13)</f>
        <v/>
      </c>
      <c r="BK17">
        <f>INDEX($C$6:$BV$6,12)</f>
        <v/>
      </c>
      <c r="BL17">
        <f>INDEX($C$6:$BV$6,11)</f>
        <v/>
      </c>
      <c r="BM17">
        <f>INDEX($C$6:$BV$6,10)</f>
        <v/>
      </c>
      <c r="BN17">
        <f>INDEX($C$6:$BV$6,9)</f>
        <v/>
      </c>
      <c r="BO17">
        <f>INDEX($C$6:$BV$6,8)</f>
        <v/>
      </c>
      <c r="BP17">
        <f>INDEX($C$6:$BV$6,7)</f>
        <v/>
      </c>
      <c r="BQ17">
        <f>INDEX($C$6:$BV$6,6)</f>
        <v/>
      </c>
      <c r="BR17">
        <f>INDEX($C$6:$BV$6,5)</f>
        <v/>
      </c>
      <c r="BS17">
        <f>INDEX($C$6:$BV$6,4)</f>
        <v/>
      </c>
      <c r="BT17">
        <f>INDEX($C$6:$BV$6,3)</f>
        <v/>
      </c>
      <c r="BU17">
        <f>INDEX($C$6:$BV$6,2)</f>
        <v/>
      </c>
      <c r="BV17">
        <f>INDEX($C$6:$BV$6,1)</f>
        <v/>
      </c>
    </row>
    <row r="18">
      <c r="A18" t="inlineStr">
        <is>
          <t>D_REACT reversed</t>
        </is>
      </c>
      <c r="C18">
        <f>INDEX($C$7:$BV$7,72)</f>
        <v/>
      </c>
      <c r="D18">
        <f>INDEX($C$7:$BV$7,71)</f>
        <v/>
      </c>
      <c r="E18">
        <f>INDEX($C$7:$BV$7,70)</f>
        <v/>
      </c>
      <c r="F18">
        <f>INDEX($C$7:$BV$7,69)</f>
        <v/>
      </c>
      <c r="G18">
        <f>INDEX($C$7:$BV$7,68)</f>
        <v/>
      </c>
      <c r="H18">
        <f>INDEX($C$7:$BV$7,67)</f>
        <v/>
      </c>
      <c r="I18">
        <f>INDEX($C$7:$BV$7,66)</f>
        <v/>
      </c>
      <c r="J18">
        <f>INDEX($C$7:$BV$7,65)</f>
        <v/>
      </c>
      <c r="K18">
        <f>INDEX($C$7:$BV$7,64)</f>
        <v/>
      </c>
      <c r="L18">
        <f>INDEX($C$7:$BV$7,63)</f>
        <v/>
      </c>
      <c r="M18">
        <f>INDEX($C$7:$BV$7,62)</f>
        <v/>
      </c>
      <c r="N18">
        <f>INDEX($C$7:$BV$7,61)</f>
        <v/>
      </c>
      <c r="O18">
        <f>INDEX($C$7:$BV$7,60)</f>
        <v/>
      </c>
      <c r="P18">
        <f>INDEX($C$7:$BV$7,59)</f>
        <v/>
      </c>
      <c r="Q18">
        <f>INDEX($C$7:$BV$7,58)</f>
        <v/>
      </c>
      <c r="R18">
        <f>INDEX($C$7:$BV$7,57)</f>
        <v/>
      </c>
      <c r="S18">
        <f>INDEX($C$7:$BV$7,56)</f>
        <v/>
      </c>
      <c r="T18">
        <f>INDEX($C$7:$BV$7,55)</f>
        <v/>
      </c>
      <c r="U18">
        <f>INDEX($C$7:$BV$7,54)</f>
        <v/>
      </c>
      <c r="V18">
        <f>INDEX($C$7:$BV$7,53)</f>
        <v/>
      </c>
      <c r="W18">
        <f>INDEX($C$7:$BV$7,52)</f>
        <v/>
      </c>
      <c r="X18">
        <f>INDEX($C$7:$BV$7,51)</f>
        <v/>
      </c>
      <c r="Y18">
        <f>INDEX($C$7:$BV$7,50)</f>
        <v/>
      </c>
      <c r="Z18">
        <f>INDEX($C$7:$BV$7,49)</f>
        <v/>
      </c>
      <c r="AA18">
        <f>INDEX($C$7:$BV$7,48)</f>
        <v/>
      </c>
      <c r="AB18">
        <f>INDEX($C$7:$BV$7,47)</f>
        <v/>
      </c>
      <c r="AC18">
        <f>INDEX($C$7:$BV$7,46)</f>
        <v/>
      </c>
      <c r="AD18">
        <f>INDEX($C$7:$BV$7,45)</f>
        <v/>
      </c>
      <c r="AE18">
        <f>INDEX($C$7:$BV$7,44)</f>
        <v/>
      </c>
      <c r="AF18">
        <f>INDEX($C$7:$BV$7,43)</f>
        <v/>
      </c>
      <c r="AG18">
        <f>INDEX($C$7:$BV$7,42)</f>
        <v/>
      </c>
      <c r="AH18">
        <f>INDEX($C$7:$BV$7,41)</f>
        <v/>
      </c>
      <c r="AI18">
        <f>INDEX($C$7:$BV$7,40)</f>
        <v/>
      </c>
      <c r="AJ18">
        <f>INDEX($C$7:$BV$7,39)</f>
        <v/>
      </c>
      <c r="AK18">
        <f>INDEX($C$7:$BV$7,38)</f>
        <v/>
      </c>
      <c r="AL18">
        <f>INDEX($C$7:$BV$7,37)</f>
        <v/>
      </c>
      <c r="AM18">
        <f>INDEX($C$7:$BV$7,36)</f>
        <v/>
      </c>
      <c r="AN18">
        <f>INDEX($C$7:$BV$7,35)</f>
        <v/>
      </c>
      <c r="AO18">
        <f>INDEX($C$7:$BV$7,34)</f>
        <v/>
      </c>
      <c r="AP18">
        <f>INDEX($C$7:$BV$7,33)</f>
        <v/>
      </c>
      <c r="AQ18">
        <f>INDEX($C$7:$BV$7,32)</f>
        <v/>
      </c>
      <c r="AR18">
        <f>INDEX($C$7:$BV$7,31)</f>
        <v/>
      </c>
      <c r="AS18">
        <f>INDEX($C$7:$BV$7,30)</f>
        <v/>
      </c>
      <c r="AT18">
        <f>INDEX($C$7:$BV$7,29)</f>
        <v/>
      </c>
      <c r="AU18">
        <f>INDEX($C$7:$BV$7,28)</f>
        <v/>
      </c>
      <c r="AV18">
        <f>INDEX($C$7:$BV$7,27)</f>
        <v/>
      </c>
      <c r="AW18">
        <f>INDEX($C$7:$BV$7,26)</f>
        <v/>
      </c>
      <c r="AX18">
        <f>INDEX($C$7:$BV$7,25)</f>
        <v/>
      </c>
      <c r="AY18">
        <f>INDEX($C$7:$BV$7,24)</f>
        <v/>
      </c>
      <c r="AZ18">
        <f>INDEX($C$7:$BV$7,23)</f>
        <v/>
      </c>
      <c r="BA18">
        <f>INDEX($C$7:$BV$7,22)</f>
        <v/>
      </c>
      <c r="BB18">
        <f>INDEX($C$7:$BV$7,21)</f>
        <v/>
      </c>
      <c r="BC18">
        <f>INDEX($C$7:$BV$7,20)</f>
        <v/>
      </c>
      <c r="BD18">
        <f>INDEX($C$7:$BV$7,19)</f>
        <v/>
      </c>
      <c r="BE18">
        <f>INDEX($C$7:$BV$7,18)</f>
        <v/>
      </c>
      <c r="BF18">
        <f>INDEX($C$7:$BV$7,17)</f>
        <v/>
      </c>
      <c r="BG18">
        <f>INDEX($C$7:$BV$7,16)</f>
        <v/>
      </c>
      <c r="BH18">
        <f>INDEX($C$7:$BV$7,15)</f>
        <v/>
      </c>
      <c r="BI18">
        <f>INDEX($C$7:$BV$7,14)</f>
        <v/>
      </c>
      <c r="BJ18">
        <f>INDEX($C$7:$BV$7,13)</f>
        <v/>
      </c>
      <c r="BK18">
        <f>INDEX($C$7:$BV$7,12)</f>
        <v/>
      </c>
      <c r="BL18">
        <f>INDEX($C$7:$BV$7,11)</f>
        <v/>
      </c>
      <c r="BM18">
        <f>INDEX($C$7:$BV$7,10)</f>
        <v/>
      </c>
      <c r="BN18">
        <f>INDEX($C$7:$BV$7,9)</f>
        <v/>
      </c>
      <c r="BO18">
        <f>INDEX($C$7:$BV$7,8)</f>
        <v/>
      </c>
      <c r="BP18">
        <f>INDEX($C$7:$BV$7,7)</f>
        <v/>
      </c>
      <c r="BQ18">
        <f>INDEX($C$7:$BV$7,6)</f>
        <v/>
      </c>
      <c r="BR18">
        <f>INDEX($C$7:$BV$7,5)</f>
        <v/>
      </c>
      <c r="BS18">
        <f>INDEX($C$7:$BV$7,4)</f>
        <v/>
      </c>
      <c r="BT18">
        <f>INDEX($C$7:$BV$7,3)</f>
        <v/>
      </c>
      <c r="BU18">
        <f>INDEX($C$7:$BV$7,2)</f>
        <v/>
      </c>
      <c r="BV18">
        <f>INDEX($C$7:$BV$7,1)</f>
        <v/>
      </c>
    </row>
    <row r="19">
      <c r="A19" t="inlineStr">
        <is>
          <t>K_REACT reversed</t>
        </is>
      </c>
      <c r="C19">
        <f>INDEX($C$8:$BV$8,72)</f>
        <v/>
      </c>
      <c r="D19">
        <f>INDEX($C$8:$BV$8,71)</f>
        <v/>
      </c>
      <c r="E19">
        <f>INDEX($C$8:$BV$8,70)</f>
        <v/>
      </c>
      <c r="F19">
        <f>INDEX($C$8:$BV$8,69)</f>
        <v/>
      </c>
      <c r="G19">
        <f>INDEX($C$8:$BV$8,68)</f>
        <v/>
      </c>
      <c r="H19">
        <f>INDEX($C$8:$BV$8,67)</f>
        <v/>
      </c>
      <c r="I19">
        <f>INDEX($C$8:$BV$8,66)</f>
        <v/>
      </c>
      <c r="J19">
        <f>INDEX($C$8:$BV$8,65)</f>
        <v/>
      </c>
      <c r="K19">
        <f>INDEX($C$8:$BV$8,64)</f>
        <v/>
      </c>
      <c r="L19">
        <f>INDEX($C$8:$BV$8,63)</f>
        <v/>
      </c>
      <c r="M19">
        <f>INDEX($C$8:$BV$8,62)</f>
        <v/>
      </c>
      <c r="N19">
        <f>INDEX($C$8:$BV$8,61)</f>
        <v/>
      </c>
      <c r="O19">
        <f>INDEX($C$8:$BV$8,60)</f>
        <v/>
      </c>
      <c r="P19">
        <f>INDEX($C$8:$BV$8,59)</f>
        <v/>
      </c>
      <c r="Q19">
        <f>INDEX($C$8:$BV$8,58)</f>
        <v/>
      </c>
      <c r="R19">
        <f>INDEX($C$8:$BV$8,57)</f>
        <v/>
      </c>
      <c r="S19">
        <f>INDEX($C$8:$BV$8,56)</f>
        <v/>
      </c>
      <c r="T19">
        <f>INDEX($C$8:$BV$8,55)</f>
        <v/>
      </c>
      <c r="U19">
        <f>INDEX($C$8:$BV$8,54)</f>
        <v/>
      </c>
      <c r="V19">
        <f>INDEX($C$8:$BV$8,53)</f>
        <v/>
      </c>
      <c r="W19">
        <f>INDEX($C$8:$BV$8,52)</f>
        <v/>
      </c>
      <c r="X19">
        <f>INDEX($C$8:$BV$8,51)</f>
        <v/>
      </c>
      <c r="Y19">
        <f>INDEX($C$8:$BV$8,50)</f>
        <v/>
      </c>
      <c r="Z19">
        <f>INDEX($C$8:$BV$8,49)</f>
        <v/>
      </c>
      <c r="AA19">
        <f>INDEX($C$8:$BV$8,48)</f>
        <v/>
      </c>
      <c r="AB19">
        <f>INDEX($C$8:$BV$8,47)</f>
        <v/>
      </c>
      <c r="AC19">
        <f>INDEX($C$8:$BV$8,46)</f>
        <v/>
      </c>
      <c r="AD19">
        <f>INDEX($C$8:$BV$8,45)</f>
        <v/>
      </c>
      <c r="AE19">
        <f>INDEX($C$8:$BV$8,44)</f>
        <v/>
      </c>
      <c r="AF19">
        <f>INDEX($C$8:$BV$8,43)</f>
        <v/>
      </c>
      <c r="AG19">
        <f>INDEX($C$8:$BV$8,42)</f>
        <v/>
      </c>
      <c r="AH19">
        <f>INDEX($C$8:$BV$8,41)</f>
        <v/>
      </c>
      <c r="AI19">
        <f>INDEX($C$8:$BV$8,40)</f>
        <v/>
      </c>
      <c r="AJ19">
        <f>INDEX($C$8:$BV$8,39)</f>
        <v/>
      </c>
      <c r="AK19">
        <f>INDEX($C$8:$BV$8,38)</f>
        <v/>
      </c>
      <c r="AL19">
        <f>INDEX($C$8:$BV$8,37)</f>
        <v/>
      </c>
      <c r="AM19">
        <f>INDEX($C$8:$BV$8,36)</f>
        <v/>
      </c>
      <c r="AN19">
        <f>INDEX($C$8:$BV$8,35)</f>
        <v/>
      </c>
      <c r="AO19">
        <f>INDEX($C$8:$BV$8,34)</f>
        <v/>
      </c>
      <c r="AP19">
        <f>INDEX($C$8:$BV$8,33)</f>
        <v/>
      </c>
      <c r="AQ19">
        <f>INDEX($C$8:$BV$8,32)</f>
        <v/>
      </c>
      <c r="AR19">
        <f>INDEX($C$8:$BV$8,31)</f>
        <v/>
      </c>
      <c r="AS19">
        <f>INDEX($C$8:$BV$8,30)</f>
        <v/>
      </c>
      <c r="AT19">
        <f>INDEX($C$8:$BV$8,29)</f>
        <v/>
      </c>
      <c r="AU19">
        <f>INDEX($C$8:$BV$8,28)</f>
        <v/>
      </c>
      <c r="AV19">
        <f>INDEX($C$8:$BV$8,27)</f>
        <v/>
      </c>
      <c r="AW19">
        <f>INDEX($C$8:$BV$8,26)</f>
        <v/>
      </c>
      <c r="AX19">
        <f>INDEX($C$8:$BV$8,25)</f>
        <v/>
      </c>
      <c r="AY19">
        <f>INDEX($C$8:$BV$8,24)</f>
        <v/>
      </c>
      <c r="AZ19">
        <f>INDEX($C$8:$BV$8,23)</f>
        <v/>
      </c>
      <c r="BA19">
        <f>INDEX($C$8:$BV$8,22)</f>
        <v/>
      </c>
      <c r="BB19">
        <f>INDEX($C$8:$BV$8,21)</f>
        <v/>
      </c>
      <c r="BC19">
        <f>INDEX($C$8:$BV$8,20)</f>
        <v/>
      </c>
      <c r="BD19">
        <f>INDEX($C$8:$BV$8,19)</f>
        <v/>
      </c>
      <c r="BE19">
        <f>INDEX($C$8:$BV$8,18)</f>
        <v/>
      </c>
      <c r="BF19">
        <f>INDEX($C$8:$BV$8,17)</f>
        <v/>
      </c>
      <c r="BG19">
        <f>INDEX($C$8:$BV$8,16)</f>
        <v/>
      </c>
      <c r="BH19">
        <f>INDEX($C$8:$BV$8,15)</f>
        <v/>
      </c>
      <c r="BI19">
        <f>INDEX($C$8:$BV$8,14)</f>
        <v/>
      </c>
      <c r="BJ19">
        <f>INDEX($C$8:$BV$8,13)</f>
        <v/>
      </c>
      <c r="BK19">
        <f>INDEX($C$8:$BV$8,12)</f>
        <v/>
      </c>
      <c r="BL19">
        <f>INDEX($C$8:$BV$8,11)</f>
        <v/>
      </c>
      <c r="BM19">
        <f>INDEX($C$8:$BV$8,10)</f>
        <v/>
      </c>
      <c r="BN19">
        <f>INDEX($C$8:$BV$8,9)</f>
        <v/>
      </c>
      <c r="BO19">
        <f>INDEX($C$8:$BV$8,8)</f>
        <v/>
      </c>
      <c r="BP19">
        <f>INDEX($C$8:$BV$8,7)</f>
        <v/>
      </c>
      <c r="BQ19">
        <f>INDEX($C$8:$BV$8,6)</f>
        <v/>
      </c>
      <c r="BR19">
        <f>INDEX($C$8:$BV$8,5)</f>
        <v/>
      </c>
      <c r="BS19">
        <f>INDEX($C$8:$BV$8,4)</f>
        <v/>
      </c>
      <c r="BT19">
        <f>INDEX($C$8:$BV$8,3)</f>
        <v/>
      </c>
      <c r="BU19">
        <f>INDEX($C$8:$BV$8,2)</f>
        <v/>
      </c>
      <c r="BV19">
        <f>INDEX($C$8:$BV$8,1)</f>
        <v/>
      </c>
    </row>
    <row r="20">
      <c r="A20" t="inlineStr">
        <is>
          <t>S_MONTHLY_Y1 reversed</t>
        </is>
      </c>
      <c r="C20">
        <f>INDEX($C$9:$BV$9,72)</f>
        <v/>
      </c>
      <c r="D20">
        <f>INDEX($C$9:$BV$9,71)</f>
        <v/>
      </c>
      <c r="E20">
        <f>INDEX($C$9:$BV$9,70)</f>
        <v/>
      </c>
      <c r="F20">
        <f>INDEX($C$9:$BV$9,69)</f>
        <v/>
      </c>
      <c r="G20">
        <f>INDEX($C$9:$BV$9,68)</f>
        <v/>
      </c>
      <c r="H20">
        <f>INDEX($C$9:$BV$9,67)</f>
        <v/>
      </c>
      <c r="I20">
        <f>INDEX($C$9:$BV$9,66)</f>
        <v/>
      </c>
      <c r="J20">
        <f>INDEX($C$9:$BV$9,65)</f>
        <v/>
      </c>
      <c r="K20">
        <f>INDEX($C$9:$BV$9,64)</f>
        <v/>
      </c>
      <c r="L20">
        <f>INDEX($C$9:$BV$9,63)</f>
        <v/>
      </c>
      <c r="M20">
        <f>INDEX($C$9:$BV$9,62)</f>
        <v/>
      </c>
      <c r="N20">
        <f>INDEX($C$9:$BV$9,61)</f>
        <v/>
      </c>
      <c r="O20">
        <f>INDEX($C$9:$BV$9,60)</f>
        <v/>
      </c>
      <c r="P20">
        <f>INDEX($C$9:$BV$9,59)</f>
        <v/>
      </c>
      <c r="Q20">
        <f>INDEX($C$9:$BV$9,58)</f>
        <v/>
      </c>
      <c r="R20">
        <f>INDEX($C$9:$BV$9,57)</f>
        <v/>
      </c>
      <c r="S20">
        <f>INDEX($C$9:$BV$9,56)</f>
        <v/>
      </c>
      <c r="T20">
        <f>INDEX($C$9:$BV$9,55)</f>
        <v/>
      </c>
      <c r="U20">
        <f>INDEX($C$9:$BV$9,54)</f>
        <v/>
      </c>
      <c r="V20">
        <f>INDEX($C$9:$BV$9,53)</f>
        <v/>
      </c>
      <c r="W20">
        <f>INDEX($C$9:$BV$9,52)</f>
        <v/>
      </c>
      <c r="X20">
        <f>INDEX($C$9:$BV$9,51)</f>
        <v/>
      </c>
      <c r="Y20">
        <f>INDEX($C$9:$BV$9,50)</f>
        <v/>
      </c>
      <c r="Z20">
        <f>INDEX($C$9:$BV$9,49)</f>
        <v/>
      </c>
      <c r="AA20">
        <f>INDEX($C$9:$BV$9,48)</f>
        <v/>
      </c>
      <c r="AB20">
        <f>INDEX($C$9:$BV$9,47)</f>
        <v/>
      </c>
      <c r="AC20">
        <f>INDEX($C$9:$BV$9,46)</f>
        <v/>
      </c>
      <c r="AD20">
        <f>INDEX($C$9:$BV$9,45)</f>
        <v/>
      </c>
      <c r="AE20">
        <f>INDEX($C$9:$BV$9,44)</f>
        <v/>
      </c>
      <c r="AF20">
        <f>INDEX($C$9:$BV$9,43)</f>
        <v/>
      </c>
      <c r="AG20">
        <f>INDEX($C$9:$BV$9,42)</f>
        <v/>
      </c>
      <c r="AH20">
        <f>INDEX($C$9:$BV$9,41)</f>
        <v/>
      </c>
      <c r="AI20">
        <f>INDEX($C$9:$BV$9,40)</f>
        <v/>
      </c>
      <c r="AJ20">
        <f>INDEX($C$9:$BV$9,39)</f>
        <v/>
      </c>
      <c r="AK20">
        <f>INDEX($C$9:$BV$9,38)</f>
        <v/>
      </c>
      <c r="AL20">
        <f>INDEX($C$9:$BV$9,37)</f>
        <v/>
      </c>
      <c r="AM20">
        <f>INDEX($C$9:$BV$9,36)</f>
        <v/>
      </c>
      <c r="AN20">
        <f>INDEX($C$9:$BV$9,35)</f>
        <v/>
      </c>
      <c r="AO20">
        <f>INDEX($C$9:$BV$9,34)</f>
        <v/>
      </c>
      <c r="AP20">
        <f>INDEX($C$9:$BV$9,33)</f>
        <v/>
      </c>
      <c r="AQ20">
        <f>INDEX($C$9:$BV$9,32)</f>
        <v/>
      </c>
      <c r="AR20">
        <f>INDEX($C$9:$BV$9,31)</f>
        <v/>
      </c>
      <c r="AS20">
        <f>INDEX($C$9:$BV$9,30)</f>
        <v/>
      </c>
      <c r="AT20">
        <f>INDEX($C$9:$BV$9,29)</f>
        <v/>
      </c>
      <c r="AU20">
        <f>INDEX($C$9:$BV$9,28)</f>
        <v/>
      </c>
      <c r="AV20">
        <f>INDEX($C$9:$BV$9,27)</f>
        <v/>
      </c>
      <c r="AW20">
        <f>INDEX($C$9:$BV$9,26)</f>
        <v/>
      </c>
      <c r="AX20">
        <f>INDEX($C$9:$BV$9,25)</f>
        <v/>
      </c>
      <c r="AY20">
        <f>INDEX($C$9:$BV$9,24)</f>
        <v/>
      </c>
      <c r="AZ20">
        <f>INDEX($C$9:$BV$9,23)</f>
        <v/>
      </c>
      <c r="BA20">
        <f>INDEX($C$9:$BV$9,22)</f>
        <v/>
      </c>
      <c r="BB20">
        <f>INDEX($C$9:$BV$9,21)</f>
        <v/>
      </c>
      <c r="BC20">
        <f>INDEX($C$9:$BV$9,20)</f>
        <v/>
      </c>
      <c r="BD20">
        <f>INDEX($C$9:$BV$9,19)</f>
        <v/>
      </c>
      <c r="BE20">
        <f>INDEX($C$9:$BV$9,18)</f>
        <v/>
      </c>
      <c r="BF20">
        <f>INDEX($C$9:$BV$9,17)</f>
        <v/>
      </c>
      <c r="BG20">
        <f>INDEX($C$9:$BV$9,16)</f>
        <v/>
      </c>
      <c r="BH20">
        <f>INDEX($C$9:$BV$9,15)</f>
        <v/>
      </c>
      <c r="BI20">
        <f>INDEX($C$9:$BV$9,14)</f>
        <v/>
      </c>
      <c r="BJ20">
        <f>INDEX($C$9:$BV$9,13)</f>
        <v/>
      </c>
      <c r="BK20">
        <f>INDEX($C$9:$BV$9,12)</f>
        <v/>
      </c>
      <c r="BL20">
        <f>INDEX($C$9:$BV$9,11)</f>
        <v/>
      </c>
      <c r="BM20">
        <f>INDEX($C$9:$BV$9,10)</f>
        <v/>
      </c>
      <c r="BN20">
        <f>INDEX($C$9:$BV$9,9)</f>
        <v/>
      </c>
      <c r="BO20">
        <f>INDEX($C$9:$BV$9,8)</f>
        <v/>
      </c>
      <c r="BP20">
        <f>INDEX($C$9:$BV$9,7)</f>
        <v/>
      </c>
      <c r="BQ20">
        <f>INDEX($C$9:$BV$9,6)</f>
        <v/>
      </c>
      <c r="BR20">
        <f>INDEX($C$9:$BV$9,5)</f>
        <v/>
      </c>
      <c r="BS20">
        <f>INDEX($C$9:$BV$9,4)</f>
        <v/>
      </c>
      <c r="BT20">
        <f>INDEX($C$9:$BV$9,3)</f>
        <v/>
      </c>
      <c r="BU20">
        <f>INDEX($C$9:$BV$9,2)</f>
        <v/>
      </c>
      <c r="BV20">
        <f>INDEX($C$9:$BV$9,1)</f>
        <v/>
      </c>
    </row>
    <row r="21">
      <c r="A21" t="inlineStr">
        <is>
          <t>S_ANNUAL_Y1 reversed</t>
        </is>
      </c>
      <c r="C21">
        <f>INDEX($C$10:$BV$10,72)</f>
        <v/>
      </c>
      <c r="D21">
        <f>INDEX($C$10:$BV$10,71)</f>
        <v/>
      </c>
      <c r="E21">
        <f>INDEX($C$10:$BV$10,70)</f>
        <v/>
      </c>
      <c r="F21">
        <f>INDEX($C$10:$BV$10,69)</f>
        <v/>
      </c>
      <c r="G21">
        <f>INDEX($C$10:$BV$10,68)</f>
        <v/>
      </c>
      <c r="H21">
        <f>INDEX($C$10:$BV$10,67)</f>
        <v/>
      </c>
      <c r="I21">
        <f>INDEX($C$10:$BV$10,66)</f>
        <v/>
      </c>
      <c r="J21">
        <f>INDEX($C$10:$BV$10,65)</f>
        <v/>
      </c>
      <c r="K21">
        <f>INDEX($C$10:$BV$10,64)</f>
        <v/>
      </c>
      <c r="L21">
        <f>INDEX($C$10:$BV$10,63)</f>
        <v/>
      </c>
      <c r="M21">
        <f>INDEX($C$10:$BV$10,62)</f>
        <v/>
      </c>
      <c r="N21">
        <f>INDEX($C$10:$BV$10,61)</f>
        <v/>
      </c>
      <c r="O21">
        <f>INDEX($C$10:$BV$10,60)</f>
        <v/>
      </c>
      <c r="P21">
        <f>INDEX($C$10:$BV$10,59)</f>
        <v/>
      </c>
      <c r="Q21">
        <f>INDEX($C$10:$BV$10,58)</f>
        <v/>
      </c>
      <c r="R21">
        <f>INDEX($C$10:$BV$10,57)</f>
        <v/>
      </c>
      <c r="S21">
        <f>INDEX($C$10:$BV$10,56)</f>
        <v/>
      </c>
      <c r="T21">
        <f>INDEX($C$10:$BV$10,55)</f>
        <v/>
      </c>
      <c r="U21">
        <f>INDEX($C$10:$BV$10,54)</f>
        <v/>
      </c>
      <c r="V21">
        <f>INDEX($C$10:$BV$10,53)</f>
        <v/>
      </c>
      <c r="W21">
        <f>INDEX($C$10:$BV$10,52)</f>
        <v/>
      </c>
      <c r="X21">
        <f>INDEX($C$10:$BV$10,51)</f>
        <v/>
      </c>
      <c r="Y21">
        <f>INDEX($C$10:$BV$10,50)</f>
        <v/>
      </c>
      <c r="Z21">
        <f>INDEX($C$10:$BV$10,49)</f>
        <v/>
      </c>
      <c r="AA21">
        <f>INDEX($C$10:$BV$10,48)</f>
        <v/>
      </c>
      <c r="AB21">
        <f>INDEX($C$10:$BV$10,47)</f>
        <v/>
      </c>
      <c r="AC21">
        <f>INDEX($C$10:$BV$10,46)</f>
        <v/>
      </c>
      <c r="AD21">
        <f>INDEX($C$10:$BV$10,45)</f>
        <v/>
      </c>
      <c r="AE21">
        <f>INDEX($C$10:$BV$10,44)</f>
        <v/>
      </c>
      <c r="AF21">
        <f>INDEX($C$10:$BV$10,43)</f>
        <v/>
      </c>
      <c r="AG21">
        <f>INDEX($C$10:$BV$10,42)</f>
        <v/>
      </c>
      <c r="AH21">
        <f>INDEX($C$10:$BV$10,41)</f>
        <v/>
      </c>
      <c r="AI21">
        <f>INDEX($C$10:$BV$10,40)</f>
        <v/>
      </c>
      <c r="AJ21">
        <f>INDEX($C$10:$BV$10,39)</f>
        <v/>
      </c>
      <c r="AK21">
        <f>INDEX($C$10:$BV$10,38)</f>
        <v/>
      </c>
      <c r="AL21">
        <f>INDEX($C$10:$BV$10,37)</f>
        <v/>
      </c>
      <c r="AM21">
        <f>INDEX($C$10:$BV$10,36)</f>
        <v/>
      </c>
      <c r="AN21">
        <f>INDEX($C$10:$BV$10,35)</f>
        <v/>
      </c>
      <c r="AO21">
        <f>INDEX($C$10:$BV$10,34)</f>
        <v/>
      </c>
      <c r="AP21">
        <f>INDEX($C$10:$BV$10,33)</f>
        <v/>
      </c>
      <c r="AQ21">
        <f>INDEX($C$10:$BV$10,32)</f>
        <v/>
      </c>
      <c r="AR21">
        <f>INDEX($C$10:$BV$10,31)</f>
        <v/>
      </c>
      <c r="AS21">
        <f>INDEX($C$10:$BV$10,30)</f>
        <v/>
      </c>
      <c r="AT21">
        <f>INDEX($C$10:$BV$10,29)</f>
        <v/>
      </c>
      <c r="AU21">
        <f>INDEX($C$10:$BV$10,28)</f>
        <v/>
      </c>
      <c r="AV21">
        <f>INDEX($C$10:$BV$10,27)</f>
        <v/>
      </c>
      <c r="AW21">
        <f>INDEX($C$10:$BV$10,26)</f>
        <v/>
      </c>
      <c r="AX21">
        <f>INDEX($C$10:$BV$10,25)</f>
        <v/>
      </c>
      <c r="AY21">
        <f>INDEX($C$10:$BV$10,24)</f>
        <v/>
      </c>
      <c r="AZ21">
        <f>INDEX($C$10:$BV$10,23)</f>
        <v/>
      </c>
      <c r="BA21">
        <f>INDEX($C$10:$BV$10,22)</f>
        <v/>
      </c>
      <c r="BB21">
        <f>INDEX($C$10:$BV$10,21)</f>
        <v/>
      </c>
      <c r="BC21">
        <f>INDEX($C$10:$BV$10,20)</f>
        <v/>
      </c>
      <c r="BD21">
        <f>INDEX($C$10:$BV$10,19)</f>
        <v/>
      </c>
      <c r="BE21">
        <f>INDEX($C$10:$BV$10,18)</f>
        <v/>
      </c>
      <c r="BF21">
        <f>INDEX($C$10:$BV$10,17)</f>
        <v/>
      </c>
      <c r="BG21">
        <f>INDEX($C$10:$BV$10,16)</f>
        <v/>
      </c>
      <c r="BH21">
        <f>INDEX($C$10:$BV$10,15)</f>
        <v/>
      </c>
      <c r="BI21">
        <f>INDEX($C$10:$BV$10,14)</f>
        <v/>
      </c>
      <c r="BJ21">
        <f>INDEX($C$10:$BV$10,13)</f>
        <v/>
      </c>
      <c r="BK21">
        <f>INDEX($C$10:$BV$10,12)</f>
        <v/>
      </c>
      <c r="BL21">
        <f>INDEX($C$10:$BV$10,11)</f>
        <v/>
      </c>
      <c r="BM21">
        <f>INDEX($C$10:$BV$10,10)</f>
        <v/>
      </c>
      <c r="BN21">
        <f>INDEX($C$10:$BV$10,9)</f>
        <v/>
      </c>
      <c r="BO21">
        <f>INDEX($C$10:$BV$10,8)</f>
        <v/>
      </c>
      <c r="BP21">
        <f>INDEX($C$10:$BV$10,7)</f>
        <v/>
      </c>
      <c r="BQ21">
        <f>INDEX($C$10:$BV$10,6)</f>
        <v/>
      </c>
      <c r="BR21">
        <f>INDEX($C$10:$BV$10,5)</f>
        <v/>
      </c>
      <c r="BS21">
        <f>INDEX($C$10:$BV$10,4)</f>
        <v/>
      </c>
      <c r="BT21">
        <f>INDEX($C$10:$BV$10,3)</f>
        <v/>
      </c>
      <c r="BU21">
        <f>INDEX($C$10:$BV$10,2)</f>
        <v/>
      </c>
      <c r="BV21">
        <f>INDEX($C$10:$BV$10,1)</f>
        <v/>
      </c>
    </row>
    <row r="22">
      <c r="A22" t="inlineStr">
        <is>
          <t>S_REACT_Y1 reversed</t>
        </is>
      </c>
      <c r="C22">
        <f>INDEX($C$11:$BV$11,72)</f>
        <v/>
      </c>
      <c r="D22">
        <f>INDEX($C$11:$BV$11,71)</f>
        <v/>
      </c>
      <c r="E22">
        <f>INDEX($C$11:$BV$11,70)</f>
        <v/>
      </c>
      <c r="F22">
        <f>INDEX($C$11:$BV$11,69)</f>
        <v/>
      </c>
      <c r="G22">
        <f>INDEX($C$11:$BV$11,68)</f>
        <v/>
      </c>
      <c r="H22">
        <f>INDEX($C$11:$BV$11,67)</f>
        <v/>
      </c>
      <c r="I22">
        <f>INDEX($C$11:$BV$11,66)</f>
        <v/>
      </c>
      <c r="J22">
        <f>INDEX($C$11:$BV$11,65)</f>
        <v/>
      </c>
      <c r="K22">
        <f>INDEX($C$11:$BV$11,64)</f>
        <v/>
      </c>
      <c r="L22">
        <f>INDEX($C$11:$BV$11,63)</f>
        <v/>
      </c>
      <c r="M22">
        <f>INDEX($C$11:$BV$11,62)</f>
        <v/>
      </c>
      <c r="N22">
        <f>INDEX($C$11:$BV$11,61)</f>
        <v/>
      </c>
      <c r="O22">
        <f>INDEX($C$11:$BV$11,60)</f>
        <v/>
      </c>
      <c r="P22">
        <f>INDEX($C$11:$BV$11,59)</f>
        <v/>
      </c>
      <c r="Q22">
        <f>INDEX($C$11:$BV$11,58)</f>
        <v/>
      </c>
      <c r="R22">
        <f>INDEX($C$11:$BV$11,57)</f>
        <v/>
      </c>
      <c r="S22">
        <f>INDEX($C$11:$BV$11,56)</f>
        <v/>
      </c>
      <c r="T22">
        <f>INDEX($C$11:$BV$11,55)</f>
        <v/>
      </c>
      <c r="U22">
        <f>INDEX($C$11:$BV$11,54)</f>
        <v/>
      </c>
      <c r="V22">
        <f>INDEX($C$11:$BV$11,53)</f>
        <v/>
      </c>
      <c r="W22">
        <f>INDEX($C$11:$BV$11,52)</f>
        <v/>
      </c>
      <c r="X22">
        <f>INDEX($C$11:$BV$11,51)</f>
        <v/>
      </c>
      <c r="Y22">
        <f>INDEX($C$11:$BV$11,50)</f>
        <v/>
      </c>
      <c r="Z22">
        <f>INDEX($C$11:$BV$11,49)</f>
        <v/>
      </c>
      <c r="AA22">
        <f>INDEX($C$11:$BV$11,48)</f>
        <v/>
      </c>
      <c r="AB22">
        <f>INDEX($C$11:$BV$11,47)</f>
        <v/>
      </c>
      <c r="AC22">
        <f>INDEX($C$11:$BV$11,46)</f>
        <v/>
      </c>
      <c r="AD22">
        <f>INDEX($C$11:$BV$11,45)</f>
        <v/>
      </c>
      <c r="AE22">
        <f>INDEX($C$11:$BV$11,44)</f>
        <v/>
      </c>
      <c r="AF22">
        <f>INDEX($C$11:$BV$11,43)</f>
        <v/>
      </c>
      <c r="AG22">
        <f>INDEX($C$11:$BV$11,42)</f>
        <v/>
      </c>
      <c r="AH22">
        <f>INDEX($C$11:$BV$11,41)</f>
        <v/>
      </c>
      <c r="AI22">
        <f>INDEX($C$11:$BV$11,40)</f>
        <v/>
      </c>
      <c r="AJ22">
        <f>INDEX($C$11:$BV$11,39)</f>
        <v/>
      </c>
      <c r="AK22">
        <f>INDEX($C$11:$BV$11,38)</f>
        <v/>
      </c>
      <c r="AL22">
        <f>INDEX($C$11:$BV$11,37)</f>
        <v/>
      </c>
      <c r="AM22">
        <f>INDEX($C$11:$BV$11,36)</f>
        <v/>
      </c>
      <c r="AN22">
        <f>INDEX($C$11:$BV$11,35)</f>
        <v/>
      </c>
      <c r="AO22">
        <f>INDEX($C$11:$BV$11,34)</f>
        <v/>
      </c>
      <c r="AP22">
        <f>INDEX($C$11:$BV$11,33)</f>
        <v/>
      </c>
      <c r="AQ22">
        <f>INDEX($C$11:$BV$11,32)</f>
        <v/>
      </c>
      <c r="AR22">
        <f>INDEX($C$11:$BV$11,31)</f>
        <v/>
      </c>
      <c r="AS22">
        <f>INDEX($C$11:$BV$11,30)</f>
        <v/>
      </c>
      <c r="AT22">
        <f>INDEX($C$11:$BV$11,29)</f>
        <v/>
      </c>
      <c r="AU22">
        <f>INDEX($C$11:$BV$11,28)</f>
        <v/>
      </c>
      <c r="AV22">
        <f>INDEX($C$11:$BV$11,27)</f>
        <v/>
      </c>
      <c r="AW22">
        <f>INDEX($C$11:$BV$11,26)</f>
        <v/>
      </c>
      <c r="AX22">
        <f>INDEX($C$11:$BV$11,25)</f>
        <v/>
      </c>
      <c r="AY22">
        <f>INDEX($C$11:$BV$11,24)</f>
        <v/>
      </c>
      <c r="AZ22">
        <f>INDEX($C$11:$BV$11,23)</f>
        <v/>
      </c>
      <c r="BA22">
        <f>INDEX($C$11:$BV$11,22)</f>
        <v/>
      </c>
      <c r="BB22">
        <f>INDEX($C$11:$BV$11,21)</f>
        <v/>
      </c>
      <c r="BC22">
        <f>INDEX($C$11:$BV$11,20)</f>
        <v/>
      </c>
      <c r="BD22">
        <f>INDEX($C$11:$BV$11,19)</f>
        <v/>
      </c>
      <c r="BE22">
        <f>INDEX($C$11:$BV$11,18)</f>
        <v/>
      </c>
      <c r="BF22">
        <f>INDEX($C$11:$BV$11,17)</f>
        <v/>
      </c>
      <c r="BG22">
        <f>INDEX($C$11:$BV$11,16)</f>
        <v/>
      </c>
      <c r="BH22">
        <f>INDEX($C$11:$BV$11,15)</f>
        <v/>
      </c>
      <c r="BI22">
        <f>INDEX($C$11:$BV$11,14)</f>
        <v/>
      </c>
      <c r="BJ22">
        <f>INDEX($C$11:$BV$11,13)</f>
        <v/>
      </c>
      <c r="BK22">
        <f>INDEX($C$11:$BV$11,12)</f>
        <v/>
      </c>
      <c r="BL22">
        <f>INDEX($C$11:$BV$11,11)</f>
        <v/>
      </c>
      <c r="BM22">
        <f>INDEX($C$11:$BV$11,10)</f>
        <v/>
      </c>
      <c r="BN22">
        <f>INDEX($C$11:$BV$11,9)</f>
        <v/>
      </c>
      <c r="BO22">
        <f>INDEX($C$11:$BV$11,8)</f>
        <v/>
      </c>
      <c r="BP22">
        <f>INDEX($C$11:$BV$11,7)</f>
        <v/>
      </c>
      <c r="BQ22">
        <f>INDEX($C$11:$BV$11,6)</f>
        <v/>
      </c>
      <c r="BR22">
        <f>INDEX($C$11:$BV$11,5)</f>
        <v/>
      </c>
      <c r="BS22">
        <f>INDEX($C$11:$BV$11,4)</f>
        <v/>
      </c>
      <c r="BT22">
        <f>INDEX($C$11:$BV$11,3)</f>
        <v/>
      </c>
      <c r="BU22">
        <f>INDEX($C$11:$BV$11,2)</f>
        <v/>
      </c>
      <c r="BV22">
        <f>INDEX($C$11:$BV$11,1)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MAU total</t>
        </is>
      </c>
      <c r="B3" t="inlineStr">
        <is>
          <t>all</t>
        </is>
      </c>
      <c r="C3" s="3">
        <f>Params!$B$2</f>
        <v/>
      </c>
      <c r="D3" s="3">
        <f>C3*(1+(Params!$B$3+(Params!$B$4-Params!$B$3)*INT(D$2/12)/5))^(1/12)</f>
        <v/>
      </c>
      <c r="E3" s="3">
        <f>D3*(1+(Params!$B$3+(Params!$B$4-Params!$B$3)*INT(E$2/12)/5))^(1/12)</f>
        <v/>
      </c>
      <c r="F3" s="3">
        <f>E3*(1+(Params!$B$3+(Params!$B$4-Params!$B$3)*INT(F$2/12)/5))^(1/12)</f>
        <v/>
      </c>
      <c r="G3" s="3">
        <f>F3*(1+(Params!$B$3+(Params!$B$4-Params!$B$3)*INT(G$2/12)/5))^(1/12)</f>
        <v/>
      </c>
      <c r="H3" s="3">
        <f>G3*(1+(Params!$B$3+(Params!$B$4-Params!$B$3)*INT(H$2/12)/5))^(1/12)</f>
        <v/>
      </c>
      <c r="I3" s="3">
        <f>H3*(1+(Params!$B$3+(Params!$B$4-Params!$B$3)*INT(I$2/12)/5))^(1/12)</f>
        <v/>
      </c>
      <c r="J3" s="3">
        <f>I3*(1+(Params!$B$3+(Params!$B$4-Params!$B$3)*INT(J$2/12)/5))^(1/12)</f>
        <v/>
      </c>
      <c r="K3" s="3">
        <f>J3*(1+(Params!$B$3+(Params!$B$4-Params!$B$3)*INT(K$2/12)/5))^(1/12)</f>
        <v/>
      </c>
      <c r="L3" s="3">
        <f>K3*(1+(Params!$B$3+(Params!$B$4-Params!$B$3)*INT(L$2/12)/5))^(1/12)</f>
        <v/>
      </c>
      <c r="M3" s="3">
        <f>L3*(1+(Params!$B$3+(Params!$B$4-Params!$B$3)*INT(M$2/12)/5))^(1/12)</f>
        <v/>
      </c>
      <c r="N3" s="3">
        <f>M3*(1+(Params!$B$3+(Params!$B$4-Params!$B$3)*INT(N$2/12)/5))^(1/12)</f>
        <v/>
      </c>
      <c r="O3" s="3">
        <f>N3*(1+(Params!$B$3+(Params!$B$4-Params!$B$3)*INT(O$2/12)/5))^(1/12)</f>
        <v/>
      </c>
      <c r="P3" s="3">
        <f>O3*(1+(Params!$B$3+(Params!$B$4-Params!$B$3)*INT(P$2/12)/5))^(1/12)</f>
        <v/>
      </c>
      <c r="Q3" s="3">
        <f>P3*(1+(Params!$B$3+(Params!$B$4-Params!$B$3)*INT(Q$2/12)/5))^(1/12)</f>
        <v/>
      </c>
      <c r="R3" s="3">
        <f>Q3*(1+(Params!$B$3+(Params!$B$4-Params!$B$3)*INT(R$2/12)/5))^(1/12)</f>
        <v/>
      </c>
      <c r="S3" s="3">
        <f>R3*(1+(Params!$B$3+(Params!$B$4-Params!$B$3)*INT(S$2/12)/5))^(1/12)</f>
        <v/>
      </c>
      <c r="T3" s="3">
        <f>S3*(1+(Params!$B$3+(Params!$B$4-Params!$B$3)*INT(T$2/12)/5))^(1/12)</f>
        <v/>
      </c>
      <c r="U3" s="3">
        <f>T3*(1+(Params!$B$3+(Params!$B$4-Params!$B$3)*INT(U$2/12)/5))^(1/12)</f>
        <v/>
      </c>
      <c r="V3" s="3">
        <f>U3*(1+(Params!$B$3+(Params!$B$4-Params!$B$3)*INT(V$2/12)/5))^(1/12)</f>
        <v/>
      </c>
      <c r="W3" s="3">
        <f>V3*(1+(Params!$B$3+(Params!$B$4-Params!$B$3)*INT(W$2/12)/5))^(1/12)</f>
        <v/>
      </c>
      <c r="X3" s="3">
        <f>W3*(1+(Params!$B$3+(Params!$B$4-Params!$B$3)*INT(X$2/12)/5))^(1/12)</f>
        <v/>
      </c>
      <c r="Y3" s="3">
        <f>X3*(1+(Params!$B$3+(Params!$B$4-Params!$B$3)*INT(Y$2/12)/5))^(1/12)</f>
        <v/>
      </c>
      <c r="Z3" s="3">
        <f>Y3*(1+(Params!$B$3+(Params!$B$4-Params!$B$3)*INT(Z$2/12)/5))^(1/12)</f>
        <v/>
      </c>
      <c r="AA3" s="3">
        <f>Z3*(1+(Params!$B$3+(Params!$B$4-Params!$B$3)*INT(AA$2/12)/5))^(1/12)</f>
        <v/>
      </c>
      <c r="AB3" s="3">
        <f>AA3*(1+(Params!$B$3+(Params!$B$4-Params!$B$3)*INT(AB$2/12)/5))^(1/12)</f>
        <v/>
      </c>
      <c r="AC3" s="3">
        <f>AB3*(1+(Params!$B$3+(Params!$B$4-Params!$B$3)*INT(AC$2/12)/5))^(1/12)</f>
        <v/>
      </c>
      <c r="AD3" s="3">
        <f>AC3*(1+(Params!$B$3+(Params!$B$4-Params!$B$3)*INT(AD$2/12)/5))^(1/12)</f>
        <v/>
      </c>
      <c r="AE3" s="3">
        <f>AD3*(1+(Params!$B$3+(Params!$B$4-Params!$B$3)*INT(AE$2/12)/5))^(1/12)</f>
        <v/>
      </c>
      <c r="AF3" s="3">
        <f>AE3*(1+(Params!$B$3+(Params!$B$4-Params!$B$3)*INT(AF$2/12)/5))^(1/12)</f>
        <v/>
      </c>
      <c r="AG3" s="3">
        <f>AF3*(1+(Params!$B$3+(Params!$B$4-Params!$B$3)*INT(AG$2/12)/5))^(1/12)</f>
        <v/>
      </c>
      <c r="AH3" s="3">
        <f>AG3*(1+(Params!$B$3+(Params!$B$4-Params!$B$3)*INT(AH$2/12)/5))^(1/12)</f>
        <v/>
      </c>
      <c r="AI3" s="3">
        <f>AH3*(1+(Params!$B$3+(Params!$B$4-Params!$B$3)*INT(AI$2/12)/5))^(1/12)</f>
        <v/>
      </c>
      <c r="AJ3" s="3">
        <f>AI3*(1+(Params!$B$3+(Params!$B$4-Params!$B$3)*INT(AJ$2/12)/5))^(1/12)</f>
        <v/>
      </c>
      <c r="AK3" s="3">
        <f>AJ3*(1+(Params!$B$3+(Params!$B$4-Params!$B$3)*INT(AK$2/12)/5))^(1/12)</f>
        <v/>
      </c>
      <c r="AL3" s="3">
        <f>AK3*(1+(Params!$B$3+(Params!$B$4-Params!$B$3)*INT(AL$2/12)/5))^(1/12)</f>
        <v/>
      </c>
      <c r="AM3" s="3">
        <f>AL3*(1+(Params!$B$3+(Params!$B$4-Params!$B$3)*INT(AM$2/12)/5))^(1/12)</f>
        <v/>
      </c>
      <c r="AN3" s="3">
        <f>AM3*(1+(Params!$B$3+(Params!$B$4-Params!$B$3)*INT(AN$2/12)/5))^(1/12)</f>
        <v/>
      </c>
      <c r="AO3" s="3">
        <f>AN3*(1+(Params!$B$3+(Params!$B$4-Params!$B$3)*INT(AO$2/12)/5))^(1/12)</f>
        <v/>
      </c>
      <c r="AP3" s="3">
        <f>AO3*(1+(Params!$B$3+(Params!$B$4-Params!$B$3)*INT(AP$2/12)/5))^(1/12)</f>
        <v/>
      </c>
      <c r="AQ3" s="3">
        <f>AP3*(1+(Params!$B$3+(Params!$B$4-Params!$B$3)*INT(AQ$2/12)/5))^(1/12)</f>
        <v/>
      </c>
      <c r="AR3" s="3">
        <f>AQ3*(1+(Params!$B$3+(Params!$B$4-Params!$B$3)*INT(AR$2/12)/5))^(1/12)</f>
        <v/>
      </c>
      <c r="AS3" s="3">
        <f>AR3*(1+(Params!$B$3+(Params!$B$4-Params!$B$3)*INT(AS$2/12)/5))^(1/12)</f>
        <v/>
      </c>
      <c r="AT3" s="3">
        <f>AS3*(1+(Params!$B$3+(Params!$B$4-Params!$B$3)*INT(AT$2/12)/5))^(1/12)</f>
        <v/>
      </c>
      <c r="AU3" s="3">
        <f>AT3*(1+(Params!$B$3+(Params!$B$4-Params!$B$3)*INT(AU$2/12)/5))^(1/12)</f>
        <v/>
      </c>
      <c r="AV3" s="3">
        <f>AU3*(1+(Params!$B$3+(Params!$B$4-Params!$B$3)*INT(AV$2/12)/5))^(1/12)</f>
        <v/>
      </c>
      <c r="AW3" s="3">
        <f>AV3*(1+(Params!$B$3+(Params!$B$4-Params!$B$3)*INT(AW$2/12)/5))^(1/12)</f>
        <v/>
      </c>
      <c r="AX3" s="3">
        <f>AW3*(1+(Params!$B$3+(Params!$B$4-Params!$B$3)*INT(AX$2/12)/5))^(1/12)</f>
        <v/>
      </c>
      <c r="AY3" s="3">
        <f>AX3*(1+(Params!$B$3+(Params!$B$4-Params!$B$3)*INT(AY$2/12)/5))^(1/12)</f>
        <v/>
      </c>
      <c r="AZ3" s="3">
        <f>AY3*(1+(Params!$B$3+(Params!$B$4-Params!$B$3)*INT(AZ$2/12)/5))^(1/12)</f>
        <v/>
      </c>
      <c r="BA3" s="3">
        <f>AZ3*(1+(Params!$B$3+(Params!$B$4-Params!$B$3)*INT(BA$2/12)/5))^(1/12)</f>
        <v/>
      </c>
      <c r="BB3" s="3">
        <f>BA3*(1+(Params!$B$3+(Params!$B$4-Params!$B$3)*INT(BB$2/12)/5))^(1/12)</f>
        <v/>
      </c>
      <c r="BC3" s="3">
        <f>BB3*(1+(Params!$B$3+(Params!$B$4-Params!$B$3)*INT(BC$2/12)/5))^(1/12)</f>
        <v/>
      </c>
      <c r="BD3" s="3">
        <f>BC3*(1+(Params!$B$3+(Params!$B$4-Params!$B$3)*INT(BD$2/12)/5))^(1/12)</f>
        <v/>
      </c>
      <c r="BE3" s="3">
        <f>BD3*(1+(Params!$B$3+(Params!$B$4-Params!$B$3)*INT(BE$2/12)/5))^(1/12)</f>
        <v/>
      </c>
      <c r="BF3" s="3">
        <f>BE3*(1+(Params!$B$3+(Params!$B$4-Params!$B$3)*INT(BF$2/12)/5))^(1/12)</f>
        <v/>
      </c>
      <c r="BG3" s="3">
        <f>BF3*(1+(Params!$B$3+(Params!$B$4-Params!$B$3)*INT(BG$2/12)/5))^(1/12)</f>
        <v/>
      </c>
      <c r="BH3" s="3">
        <f>BG3*(1+(Params!$B$3+(Params!$B$4-Params!$B$3)*INT(BH$2/12)/5))^(1/12)</f>
        <v/>
      </c>
      <c r="BI3" s="3">
        <f>BH3*(1+(Params!$B$3+(Params!$B$4-Params!$B$3)*INT(BI$2/12)/5))^(1/12)</f>
        <v/>
      </c>
      <c r="BJ3" s="3">
        <f>BI3*(1+(Params!$B$3+(Params!$B$4-Params!$B$3)*INT(BJ$2/12)/5))^(1/12)</f>
        <v/>
      </c>
      <c r="BK3" s="3">
        <f>BJ3*(1+(Params!$B$3+(Params!$B$4-Params!$B$3)*INT(BK$2/12)/5))^(1/12)</f>
        <v/>
      </c>
      <c r="BL3" s="3">
        <f>BK3*(1+(Params!$B$3+(Params!$B$4-Params!$B$3)*INT(BL$2/12)/5))^(1/12)</f>
        <v/>
      </c>
      <c r="BM3" s="3">
        <f>BL3*(1+(Params!$B$3+(Params!$B$4-Params!$B$3)*INT(BM$2/12)/5))^(1/12)</f>
        <v/>
      </c>
      <c r="BN3" s="3">
        <f>BM3*(1+(Params!$B$3+(Params!$B$4-Params!$B$3)*INT(BN$2/12)/5))^(1/12)</f>
        <v/>
      </c>
      <c r="BO3" s="3">
        <f>BN3*(1+(Params!$B$3+(Params!$B$4-Params!$B$3)*INT(BO$2/12)/5))^(1/12)</f>
        <v/>
      </c>
      <c r="BP3" s="3">
        <f>BO3*(1+(Params!$B$3+(Params!$B$4-Params!$B$3)*INT(BP$2/12)/5))^(1/12)</f>
        <v/>
      </c>
      <c r="BQ3" s="3">
        <f>BP3*(1+(Params!$B$3+(Params!$B$4-Params!$B$3)*INT(BQ$2/12)/5))^(1/12)</f>
        <v/>
      </c>
      <c r="BR3" s="3">
        <f>BQ3*(1+(Params!$B$3+(Params!$B$4-Params!$B$3)*INT(BR$2/12)/5))^(1/12)</f>
        <v/>
      </c>
      <c r="BS3" s="3">
        <f>BR3*(1+(Params!$B$3+(Params!$B$4-Params!$B$3)*INT(BS$2/12)/5))^(1/12)</f>
        <v/>
      </c>
      <c r="BT3" s="3">
        <f>BS3*(1+(Params!$B$3+(Params!$B$4-Params!$B$3)*INT(BT$2/12)/5))^(1/12)</f>
        <v/>
      </c>
      <c r="BU3" s="3">
        <f>BT3*(1+(Params!$B$3+(Params!$B$4-Params!$B$3)*INT(BU$2/12)/5))^(1/12)</f>
        <v/>
      </c>
      <c r="BV3" s="3">
        <f>BU3*(1+(Params!$B$3+(Params!$B$4-Params!$B$3)*INT(BV$2/12)/5))^(1/12)</f>
        <v/>
      </c>
    </row>
    <row r="4">
      <c r="A4" t="inlineStr">
        <is>
          <t>MAU</t>
        </is>
      </c>
      <c r="B4" t="inlineStr">
        <is>
          <t>US_CA</t>
        </is>
      </c>
      <c r="C4" s="3">
        <f>C$3*Params!$B$31</f>
        <v/>
      </c>
      <c r="D4" s="3">
        <f>D$3*Params!$B$31</f>
        <v/>
      </c>
      <c r="E4" s="3">
        <f>E$3*Params!$B$31</f>
        <v/>
      </c>
      <c r="F4" s="3">
        <f>F$3*Params!$B$31</f>
        <v/>
      </c>
      <c r="G4" s="3">
        <f>G$3*Params!$B$31</f>
        <v/>
      </c>
      <c r="H4" s="3">
        <f>H$3*Params!$B$31</f>
        <v/>
      </c>
      <c r="I4" s="3">
        <f>I$3*Params!$B$31</f>
        <v/>
      </c>
      <c r="J4" s="3">
        <f>J$3*Params!$B$31</f>
        <v/>
      </c>
      <c r="K4" s="3">
        <f>K$3*Params!$B$31</f>
        <v/>
      </c>
      <c r="L4" s="3">
        <f>L$3*Params!$B$31</f>
        <v/>
      </c>
      <c r="M4" s="3">
        <f>M$3*Params!$B$31</f>
        <v/>
      </c>
      <c r="N4" s="3">
        <f>N$3*Params!$B$31</f>
        <v/>
      </c>
      <c r="O4" s="3">
        <f>O$3*Params!$B$31</f>
        <v/>
      </c>
      <c r="P4" s="3">
        <f>P$3*Params!$B$31</f>
        <v/>
      </c>
      <c r="Q4" s="3">
        <f>Q$3*Params!$B$31</f>
        <v/>
      </c>
      <c r="R4" s="3">
        <f>R$3*Params!$B$31</f>
        <v/>
      </c>
      <c r="S4" s="3">
        <f>S$3*Params!$B$31</f>
        <v/>
      </c>
      <c r="T4" s="3">
        <f>T$3*Params!$B$31</f>
        <v/>
      </c>
      <c r="U4" s="3">
        <f>U$3*Params!$B$31</f>
        <v/>
      </c>
      <c r="V4" s="3">
        <f>V$3*Params!$B$31</f>
        <v/>
      </c>
      <c r="W4" s="3">
        <f>W$3*Params!$B$31</f>
        <v/>
      </c>
      <c r="X4" s="3">
        <f>X$3*Params!$B$31</f>
        <v/>
      </c>
      <c r="Y4" s="3">
        <f>Y$3*Params!$B$31</f>
        <v/>
      </c>
      <c r="Z4" s="3">
        <f>Z$3*Params!$B$31</f>
        <v/>
      </c>
      <c r="AA4" s="3">
        <f>AA$3*Params!$B$31</f>
        <v/>
      </c>
      <c r="AB4" s="3">
        <f>AB$3*Params!$B$31</f>
        <v/>
      </c>
      <c r="AC4" s="3">
        <f>AC$3*Params!$B$31</f>
        <v/>
      </c>
      <c r="AD4" s="3">
        <f>AD$3*Params!$B$31</f>
        <v/>
      </c>
      <c r="AE4" s="3">
        <f>AE$3*Params!$B$31</f>
        <v/>
      </c>
      <c r="AF4" s="3">
        <f>AF$3*Params!$B$31</f>
        <v/>
      </c>
      <c r="AG4" s="3">
        <f>AG$3*Params!$B$31</f>
        <v/>
      </c>
      <c r="AH4" s="3">
        <f>AH$3*Params!$B$31</f>
        <v/>
      </c>
      <c r="AI4" s="3">
        <f>AI$3*Params!$B$31</f>
        <v/>
      </c>
      <c r="AJ4" s="3">
        <f>AJ$3*Params!$B$31</f>
        <v/>
      </c>
      <c r="AK4" s="3">
        <f>AK$3*Params!$B$31</f>
        <v/>
      </c>
      <c r="AL4" s="3">
        <f>AL$3*Params!$B$31</f>
        <v/>
      </c>
      <c r="AM4" s="3">
        <f>AM$3*Params!$B$31</f>
        <v/>
      </c>
      <c r="AN4" s="3">
        <f>AN$3*Params!$B$31</f>
        <v/>
      </c>
      <c r="AO4" s="3">
        <f>AO$3*Params!$B$31</f>
        <v/>
      </c>
      <c r="AP4" s="3">
        <f>AP$3*Params!$B$31</f>
        <v/>
      </c>
      <c r="AQ4" s="3">
        <f>AQ$3*Params!$B$31</f>
        <v/>
      </c>
      <c r="AR4" s="3">
        <f>AR$3*Params!$B$31</f>
        <v/>
      </c>
      <c r="AS4" s="3">
        <f>AS$3*Params!$B$31</f>
        <v/>
      </c>
      <c r="AT4" s="3">
        <f>AT$3*Params!$B$31</f>
        <v/>
      </c>
      <c r="AU4" s="3">
        <f>AU$3*Params!$B$31</f>
        <v/>
      </c>
      <c r="AV4" s="3">
        <f>AV$3*Params!$B$31</f>
        <v/>
      </c>
      <c r="AW4" s="3">
        <f>AW$3*Params!$B$31</f>
        <v/>
      </c>
      <c r="AX4" s="3">
        <f>AX$3*Params!$B$31</f>
        <v/>
      </c>
      <c r="AY4" s="3">
        <f>AY$3*Params!$B$31</f>
        <v/>
      </c>
      <c r="AZ4" s="3">
        <f>AZ$3*Params!$B$31</f>
        <v/>
      </c>
      <c r="BA4" s="3">
        <f>BA$3*Params!$B$31</f>
        <v/>
      </c>
      <c r="BB4" s="3">
        <f>BB$3*Params!$B$31</f>
        <v/>
      </c>
      <c r="BC4" s="3">
        <f>BC$3*Params!$B$31</f>
        <v/>
      </c>
      <c r="BD4" s="3">
        <f>BD$3*Params!$B$31</f>
        <v/>
      </c>
      <c r="BE4" s="3">
        <f>BE$3*Params!$B$31</f>
        <v/>
      </c>
      <c r="BF4" s="3">
        <f>BF$3*Params!$B$31</f>
        <v/>
      </c>
      <c r="BG4" s="3">
        <f>BG$3*Params!$B$31</f>
        <v/>
      </c>
      <c r="BH4" s="3">
        <f>BH$3*Params!$B$31</f>
        <v/>
      </c>
      <c r="BI4" s="3">
        <f>BI$3*Params!$B$31</f>
        <v/>
      </c>
      <c r="BJ4" s="3">
        <f>BJ$3*Params!$B$31</f>
        <v/>
      </c>
      <c r="BK4" s="3">
        <f>BK$3*Params!$B$31</f>
        <v/>
      </c>
      <c r="BL4" s="3">
        <f>BL$3*Params!$B$31</f>
        <v/>
      </c>
      <c r="BM4" s="3">
        <f>BM$3*Params!$B$31</f>
        <v/>
      </c>
      <c r="BN4" s="3">
        <f>BN$3*Params!$B$31</f>
        <v/>
      </c>
      <c r="BO4" s="3">
        <f>BO$3*Params!$B$31</f>
        <v/>
      </c>
      <c r="BP4" s="3">
        <f>BP$3*Params!$B$31</f>
        <v/>
      </c>
      <c r="BQ4" s="3">
        <f>BQ$3*Params!$B$31</f>
        <v/>
      </c>
      <c r="BR4" s="3">
        <f>BR$3*Params!$B$31</f>
        <v/>
      </c>
      <c r="BS4" s="3">
        <f>BS$3*Params!$B$31</f>
        <v/>
      </c>
      <c r="BT4" s="3">
        <f>BT$3*Params!$B$31</f>
        <v/>
      </c>
      <c r="BU4" s="3">
        <f>BU$3*Params!$B$31</f>
        <v/>
      </c>
      <c r="BV4" s="3">
        <f>BV$3*Params!$B$31</f>
        <v/>
      </c>
    </row>
    <row r="5">
      <c r="A5" t="inlineStr">
        <is>
          <t>MAU</t>
        </is>
      </c>
      <c r="B5" t="inlineStr">
        <is>
          <t>EUROPE</t>
        </is>
      </c>
      <c r="C5" s="3">
        <f>C$3*Params!$B$32</f>
        <v/>
      </c>
      <c r="D5" s="3">
        <f>D$3*Params!$B$32</f>
        <v/>
      </c>
      <c r="E5" s="3">
        <f>E$3*Params!$B$32</f>
        <v/>
      </c>
      <c r="F5" s="3">
        <f>F$3*Params!$B$32</f>
        <v/>
      </c>
      <c r="G5" s="3">
        <f>G$3*Params!$B$32</f>
        <v/>
      </c>
      <c r="H5" s="3">
        <f>H$3*Params!$B$32</f>
        <v/>
      </c>
      <c r="I5" s="3">
        <f>I$3*Params!$B$32</f>
        <v/>
      </c>
      <c r="J5" s="3">
        <f>J$3*Params!$B$32</f>
        <v/>
      </c>
      <c r="K5" s="3">
        <f>K$3*Params!$B$32</f>
        <v/>
      </c>
      <c r="L5" s="3">
        <f>L$3*Params!$B$32</f>
        <v/>
      </c>
      <c r="M5" s="3">
        <f>M$3*Params!$B$32</f>
        <v/>
      </c>
      <c r="N5" s="3">
        <f>N$3*Params!$B$32</f>
        <v/>
      </c>
      <c r="O5" s="3">
        <f>O$3*Params!$B$32</f>
        <v/>
      </c>
      <c r="P5" s="3">
        <f>P$3*Params!$B$32</f>
        <v/>
      </c>
      <c r="Q5" s="3">
        <f>Q$3*Params!$B$32</f>
        <v/>
      </c>
      <c r="R5" s="3">
        <f>R$3*Params!$B$32</f>
        <v/>
      </c>
      <c r="S5" s="3">
        <f>S$3*Params!$B$32</f>
        <v/>
      </c>
      <c r="T5" s="3">
        <f>T$3*Params!$B$32</f>
        <v/>
      </c>
      <c r="U5" s="3">
        <f>U$3*Params!$B$32</f>
        <v/>
      </c>
      <c r="V5" s="3">
        <f>V$3*Params!$B$32</f>
        <v/>
      </c>
      <c r="W5" s="3">
        <f>W$3*Params!$B$32</f>
        <v/>
      </c>
      <c r="X5" s="3">
        <f>X$3*Params!$B$32</f>
        <v/>
      </c>
      <c r="Y5" s="3">
        <f>Y$3*Params!$B$32</f>
        <v/>
      </c>
      <c r="Z5" s="3">
        <f>Z$3*Params!$B$32</f>
        <v/>
      </c>
      <c r="AA5" s="3">
        <f>AA$3*Params!$B$32</f>
        <v/>
      </c>
      <c r="AB5" s="3">
        <f>AB$3*Params!$B$32</f>
        <v/>
      </c>
      <c r="AC5" s="3">
        <f>AC$3*Params!$B$32</f>
        <v/>
      </c>
      <c r="AD5" s="3">
        <f>AD$3*Params!$B$32</f>
        <v/>
      </c>
      <c r="AE5" s="3">
        <f>AE$3*Params!$B$32</f>
        <v/>
      </c>
      <c r="AF5" s="3">
        <f>AF$3*Params!$B$32</f>
        <v/>
      </c>
      <c r="AG5" s="3">
        <f>AG$3*Params!$B$32</f>
        <v/>
      </c>
      <c r="AH5" s="3">
        <f>AH$3*Params!$B$32</f>
        <v/>
      </c>
      <c r="AI5" s="3">
        <f>AI$3*Params!$B$32</f>
        <v/>
      </c>
      <c r="AJ5" s="3">
        <f>AJ$3*Params!$B$32</f>
        <v/>
      </c>
      <c r="AK5" s="3">
        <f>AK$3*Params!$B$32</f>
        <v/>
      </c>
      <c r="AL5" s="3">
        <f>AL$3*Params!$B$32</f>
        <v/>
      </c>
      <c r="AM5" s="3">
        <f>AM$3*Params!$B$32</f>
        <v/>
      </c>
      <c r="AN5" s="3">
        <f>AN$3*Params!$B$32</f>
        <v/>
      </c>
      <c r="AO5" s="3">
        <f>AO$3*Params!$B$32</f>
        <v/>
      </c>
      <c r="AP5" s="3">
        <f>AP$3*Params!$B$32</f>
        <v/>
      </c>
      <c r="AQ5" s="3">
        <f>AQ$3*Params!$B$32</f>
        <v/>
      </c>
      <c r="AR5" s="3">
        <f>AR$3*Params!$B$32</f>
        <v/>
      </c>
      <c r="AS5" s="3">
        <f>AS$3*Params!$B$32</f>
        <v/>
      </c>
      <c r="AT5" s="3">
        <f>AT$3*Params!$B$32</f>
        <v/>
      </c>
      <c r="AU5" s="3">
        <f>AU$3*Params!$B$32</f>
        <v/>
      </c>
      <c r="AV5" s="3">
        <f>AV$3*Params!$B$32</f>
        <v/>
      </c>
      <c r="AW5" s="3">
        <f>AW$3*Params!$B$32</f>
        <v/>
      </c>
      <c r="AX5" s="3">
        <f>AX$3*Params!$B$32</f>
        <v/>
      </c>
      <c r="AY5" s="3">
        <f>AY$3*Params!$B$32</f>
        <v/>
      </c>
      <c r="AZ5" s="3">
        <f>AZ$3*Params!$B$32</f>
        <v/>
      </c>
      <c r="BA5" s="3">
        <f>BA$3*Params!$B$32</f>
        <v/>
      </c>
      <c r="BB5" s="3">
        <f>BB$3*Params!$B$32</f>
        <v/>
      </c>
      <c r="BC5" s="3">
        <f>BC$3*Params!$B$32</f>
        <v/>
      </c>
      <c r="BD5" s="3">
        <f>BD$3*Params!$B$32</f>
        <v/>
      </c>
      <c r="BE5" s="3">
        <f>BE$3*Params!$B$32</f>
        <v/>
      </c>
      <c r="BF5" s="3">
        <f>BF$3*Params!$B$32</f>
        <v/>
      </c>
      <c r="BG5" s="3">
        <f>BG$3*Params!$B$32</f>
        <v/>
      </c>
      <c r="BH5" s="3">
        <f>BH$3*Params!$B$32</f>
        <v/>
      </c>
      <c r="BI5" s="3">
        <f>BI$3*Params!$B$32</f>
        <v/>
      </c>
      <c r="BJ5" s="3">
        <f>BJ$3*Params!$B$32</f>
        <v/>
      </c>
      <c r="BK5" s="3">
        <f>BK$3*Params!$B$32</f>
        <v/>
      </c>
      <c r="BL5" s="3">
        <f>BL$3*Params!$B$32</f>
        <v/>
      </c>
      <c r="BM5" s="3">
        <f>BM$3*Params!$B$32</f>
        <v/>
      </c>
      <c r="BN5" s="3">
        <f>BN$3*Params!$B$32</f>
        <v/>
      </c>
      <c r="BO5" s="3">
        <f>BO$3*Params!$B$32</f>
        <v/>
      </c>
      <c r="BP5" s="3">
        <f>BP$3*Params!$B$32</f>
        <v/>
      </c>
      <c r="BQ5" s="3">
        <f>BQ$3*Params!$B$32</f>
        <v/>
      </c>
      <c r="BR5" s="3">
        <f>BR$3*Params!$B$32</f>
        <v/>
      </c>
      <c r="BS5" s="3">
        <f>BS$3*Params!$B$32</f>
        <v/>
      </c>
      <c r="BT5" s="3">
        <f>BT$3*Params!$B$32</f>
        <v/>
      </c>
      <c r="BU5" s="3">
        <f>BU$3*Params!$B$32</f>
        <v/>
      </c>
      <c r="BV5" s="3">
        <f>BV$3*Params!$B$32</f>
        <v/>
      </c>
    </row>
    <row r="6">
      <c r="A6" t="inlineStr">
        <is>
          <t>MAU</t>
        </is>
      </c>
      <c r="B6" t="inlineStr">
        <is>
          <t>LATAM</t>
        </is>
      </c>
      <c r="C6" s="3">
        <f>C$3*Params!$B$33</f>
        <v/>
      </c>
      <c r="D6" s="3">
        <f>D$3*Params!$B$33</f>
        <v/>
      </c>
      <c r="E6" s="3">
        <f>E$3*Params!$B$33</f>
        <v/>
      </c>
      <c r="F6" s="3">
        <f>F$3*Params!$B$33</f>
        <v/>
      </c>
      <c r="G6" s="3">
        <f>G$3*Params!$B$33</f>
        <v/>
      </c>
      <c r="H6" s="3">
        <f>H$3*Params!$B$33</f>
        <v/>
      </c>
      <c r="I6" s="3">
        <f>I$3*Params!$B$33</f>
        <v/>
      </c>
      <c r="J6" s="3">
        <f>J$3*Params!$B$33</f>
        <v/>
      </c>
      <c r="K6" s="3">
        <f>K$3*Params!$B$33</f>
        <v/>
      </c>
      <c r="L6" s="3">
        <f>L$3*Params!$B$33</f>
        <v/>
      </c>
      <c r="M6" s="3">
        <f>M$3*Params!$B$33</f>
        <v/>
      </c>
      <c r="N6" s="3">
        <f>N$3*Params!$B$33</f>
        <v/>
      </c>
      <c r="O6" s="3">
        <f>O$3*Params!$B$33</f>
        <v/>
      </c>
      <c r="P6" s="3">
        <f>P$3*Params!$B$33</f>
        <v/>
      </c>
      <c r="Q6" s="3">
        <f>Q$3*Params!$B$33</f>
        <v/>
      </c>
      <c r="R6" s="3">
        <f>R$3*Params!$B$33</f>
        <v/>
      </c>
      <c r="S6" s="3">
        <f>S$3*Params!$B$33</f>
        <v/>
      </c>
      <c r="T6" s="3">
        <f>T$3*Params!$B$33</f>
        <v/>
      </c>
      <c r="U6" s="3">
        <f>U$3*Params!$B$33</f>
        <v/>
      </c>
      <c r="V6" s="3">
        <f>V$3*Params!$B$33</f>
        <v/>
      </c>
      <c r="W6" s="3">
        <f>W$3*Params!$B$33</f>
        <v/>
      </c>
      <c r="X6" s="3">
        <f>X$3*Params!$B$33</f>
        <v/>
      </c>
      <c r="Y6" s="3">
        <f>Y$3*Params!$B$33</f>
        <v/>
      </c>
      <c r="Z6" s="3">
        <f>Z$3*Params!$B$33</f>
        <v/>
      </c>
      <c r="AA6" s="3">
        <f>AA$3*Params!$B$33</f>
        <v/>
      </c>
      <c r="AB6" s="3">
        <f>AB$3*Params!$B$33</f>
        <v/>
      </c>
      <c r="AC6" s="3">
        <f>AC$3*Params!$B$33</f>
        <v/>
      </c>
      <c r="AD6" s="3">
        <f>AD$3*Params!$B$33</f>
        <v/>
      </c>
      <c r="AE6" s="3">
        <f>AE$3*Params!$B$33</f>
        <v/>
      </c>
      <c r="AF6" s="3">
        <f>AF$3*Params!$B$33</f>
        <v/>
      </c>
      <c r="AG6" s="3">
        <f>AG$3*Params!$B$33</f>
        <v/>
      </c>
      <c r="AH6" s="3">
        <f>AH$3*Params!$B$33</f>
        <v/>
      </c>
      <c r="AI6" s="3">
        <f>AI$3*Params!$B$33</f>
        <v/>
      </c>
      <c r="AJ6" s="3">
        <f>AJ$3*Params!$B$33</f>
        <v/>
      </c>
      <c r="AK6" s="3">
        <f>AK$3*Params!$B$33</f>
        <v/>
      </c>
      <c r="AL6" s="3">
        <f>AL$3*Params!$B$33</f>
        <v/>
      </c>
      <c r="AM6" s="3">
        <f>AM$3*Params!$B$33</f>
        <v/>
      </c>
      <c r="AN6" s="3">
        <f>AN$3*Params!$B$33</f>
        <v/>
      </c>
      <c r="AO6" s="3">
        <f>AO$3*Params!$B$33</f>
        <v/>
      </c>
      <c r="AP6" s="3">
        <f>AP$3*Params!$B$33</f>
        <v/>
      </c>
      <c r="AQ6" s="3">
        <f>AQ$3*Params!$B$33</f>
        <v/>
      </c>
      <c r="AR6" s="3">
        <f>AR$3*Params!$B$33</f>
        <v/>
      </c>
      <c r="AS6" s="3">
        <f>AS$3*Params!$B$33</f>
        <v/>
      </c>
      <c r="AT6" s="3">
        <f>AT$3*Params!$B$33</f>
        <v/>
      </c>
      <c r="AU6" s="3">
        <f>AU$3*Params!$B$33</f>
        <v/>
      </c>
      <c r="AV6" s="3">
        <f>AV$3*Params!$B$33</f>
        <v/>
      </c>
      <c r="AW6" s="3">
        <f>AW$3*Params!$B$33</f>
        <v/>
      </c>
      <c r="AX6" s="3">
        <f>AX$3*Params!$B$33</f>
        <v/>
      </c>
      <c r="AY6" s="3">
        <f>AY$3*Params!$B$33</f>
        <v/>
      </c>
      <c r="AZ6" s="3">
        <f>AZ$3*Params!$B$33</f>
        <v/>
      </c>
      <c r="BA6" s="3">
        <f>BA$3*Params!$B$33</f>
        <v/>
      </c>
      <c r="BB6" s="3">
        <f>BB$3*Params!$B$33</f>
        <v/>
      </c>
      <c r="BC6" s="3">
        <f>BC$3*Params!$B$33</f>
        <v/>
      </c>
      <c r="BD6" s="3">
        <f>BD$3*Params!$B$33</f>
        <v/>
      </c>
      <c r="BE6" s="3">
        <f>BE$3*Params!$B$33</f>
        <v/>
      </c>
      <c r="BF6" s="3">
        <f>BF$3*Params!$B$33</f>
        <v/>
      </c>
      <c r="BG6" s="3">
        <f>BG$3*Params!$B$33</f>
        <v/>
      </c>
      <c r="BH6" s="3">
        <f>BH$3*Params!$B$33</f>
        <v/>
      </c>
      <c r="BI6" s="3">
        <f>BI$3*Params!$B$33</f>
        <v/>
      </c>
      <c r="BJ6" s="3">
        <f>BJ$3*Params!$B$33</f>
        <v/>
      </c>
      <c r="BK6" s="3">
        <f>BK$3*Params!$B$33</f>
        <v/>
      </c>
      <c r="BL6" s="3">
        <f>BL$3*Params!$B$33</f>
        <v/>
      </c>
      <c r="BM6" s="3">
        <f>BM$3*Params!$B$33</f>
        <v/>
      </c>
      <c r="BN6" s="3">
        <f>BN$3*Params!$B$33</f>
        <v/>
      </c>
      <c r="BO6" s="3">
        <f>BO$3*Params!$B$33</f>
        <v/>
      </c>
      <c r="BP6" s="3">
        <f>BP$3*Params!$B$33</f>
        <v/>
      </c>
      <c r="BQ6" s="3">
        <f>BQ$3*Params!$B$33</f>
        <v/>
      </c>
      <c r="BR6" s="3">
        <f>BR$3*Params!$B$33</f>
        <v/>
      </c>
      <c r="BS6" s="3">
        <f>BS$3*Params!$B$33</f>
        <v/>
      </c>
      <c r="BT6" s="3">
        <f>BT$3*Params!$B$33</f>
        <v/>
      </c>
      <c r="BU6" s="3">
        <f>BU$3*Params!$B$33</f>
        <v/>
      </c>
      <c r="BV6" s="3">
        <f>BV$3*Params!$B$33</f>
        <v/>
      </c>
    </row>
    <row r="7">
      <c r="A7" t="inlineStr">
        <is>
          <t>MAU</t>
        </is>
      </c>
      <c r="B7" t="inlineStr">
        <is>
          <t>APAC</t>
        </is>
      </c>
      <c r="C7" s="3">
        <f>C$3*Params!$B$34</f>
        <v/>
      </c>
      <c r="D7" s="3">
        <f>D$3*Params!$B$34</f>
        <v/>
      </c>
      <c r="E7" s="3">
        <f>E$3*Params!$B$34</f>
        <v/>
      </c>
      <c r="F7" s="3">
        <f>F$3*Params!$B$34</f>
        <v/>
      </c>
      <c r="G7" s="3">
        <f>G$3*Params!$B$34</f>
        <v/>
      </c>
      <c r="H7" s="3">
        <f>H$3*Params!$B$34</f>
        <v/>
      </c>
      <c r="I7" s="3">
        <f>I$3*Params!$B$34</f>
        <v/>
      </c>
      <c r="J7" s="3">
        <f>J$3*Params!$B$34</f>
        <v/>
      </c>
      <c r="K7" s="3">
        <f>K$3*Params!$B$34</f>
        <v/>
      </c>
      <c r="L7" s="3">
        <f>L$3*Params!$B$34</f>
        <v/>
      </c>
      <c r="M7" s="3">
        <f>M$3*Params!$B$34</f>
        <v/>
      </c>
      <c r="N7" s="3">
        <f>N$3*Params!$B$34</f>
        <v/>
      </c>
      <c r="O7" s="3">
        <f>O$3*Params!$B$34</f>
        <v/>
      </c>
      <c r="P7" s="3">
        <f>P$3*Params!$B$34</f>
        <v/>
      </c>
      <c r="Q7" s="3">
        <f>Q$3*Params!$B$34</f>
        <v/>
      </c>
      <c r="R7" s="3">
        <f>R$3*Params!$B$34</f>
        <v/>
      </c>
      <c r="S7" s="3">
        <f>S$3*Params!$B$34</f>
        <v/>
      </c>
      <c r="T7" s="3">
        <f>T$3*Params!$B$34</f>
        <v/>
      </c>
      <c r="U7" s="3">
        <f>U$3*Params!$B$34</f>
        <v/>
      </c>
      <c r="V7" s="3">
        <f>V$3*Params!$B$34</f>
        <v/>
      </c>
      <c r="W7" s="3">
        <f>W$3*Params!$B$34</f>
        <v/>
      </c>
      <c r="X7" s="3">
        <f>X$3*Params!$B$34</f>
        <v/>
      </c>
      <c r="Y7" s="3">
        <f>Y$3*Params!$B$34</f>
        <v/>
      </c>
      <c r="Z7" s="3">
        <f>Z$3*Params!$B$34</f>
        <v/>
      </c>
      <c r="AA7" s="3">
        <f>AA$3*Params!$B$34</f>
        <v/>
      </c>
      <c r="AB7" s="3">
        <f>AB$3*Params!$B$34</f>
        <v/>
      </c>
      <c r="AC7" s="3">
        <f>AC$3*Params!$B$34</f>
        <v/>
      </c>
      <c r="AD7" s="3">
        <f>AD$3*Params!$B$34</f>
        <v/>
      </c>
      <c r="AE7" s="3">
        <f>AE$3*Params!$B$34</f>
        <v/>
      </c>
      <c r="AF7" s="3">
        <f>AF$3*Params!$B$34</f>
        <v/>
      </c>
      <c r="AG7" s="3">
        <f>AG$3*Params!$B$34</f>
        <v/>
      </c>
      <c r="AH7" s="3">
        <f>AH$3*Params!$B$34</f>
        <v/>
      </c>
      <c r="AI7" s="3">
        <f>AI$3*Params!$B$34</f>
        <v/>
      </c>
      <c r="AJ7" s="3">
        <f>AJ$3*Params!$B$34</f>
        <v/>
      </c>
      <c r="AK7" s="3">
        <f>AK$3*Params!$B$34</f>
        <v/>
      </c>
      <c r="AL7" s="3">
        <f>AL$3*Params!$B$34</f>
        <v/>
      </c>
      <c r="AM7" s="3">
        <f>AM$3*Params!$B$34</f>
        <v/>
      </c>
      <c r="AN7" s="3">
        <f>AN$3*Params!$B$34</f>
        <v/>
      </c>
      <c r="AO7" s="3">
        <f>AO$3*Params!$B$34</f>
        <v/>
      </c>
      <c r="AP7" s="3">
        <f>AP$3*Params!$B$34</f>
        <v/>
      </c>
      <c r="AQ7" s="3">
        <f>AQ$3*Params!$B$34</f>
        <v/>
      </c>
      <c r="AR7" s="3">
        <f>AR$3*Params!$B$34</f>
        <v/>
      </c>
      <c r="AS7" s="3">
        <f>AS$3*Params!$B$34</f>
        <v/>
      </c>
      <c r="AT7" s="3">
        <f>AT$3*Params!$B$34</f>
        <v/>
      </c>
      <c r="AU7" s="3">
        <f>AU$3*Params!$B$34</f>
        <v/>
      </c>
      <c r="AV7" s="3">
        <f>AV$3*Params!$B$34</f>
        <v/>
      </c>
      <c r="AW7" s="3">
        <f>AW$3*Params!$B$34</f>
        <v/>
      </c>
      <c r="AX7" s="3">
        <f>AX$3*Params!$B$34</f>
        <v/>
      </c>
      <c r="AY7" s="3">
        <f>AY$3*Params!$B$34</f>
        <v/>
      </c>
      <c r="AZ7" s="3">
        <f>AZ$3*Params!$B$34</f>
        <v/>
      </c>
      <c r="BA7" s="3">
        <f>BA$3*Params!$B$34</f>
        <v/>
      </c>
      <c r="BB7" s="3">
        <f>BB$3*Params!$B$34</f>
        <v/>
      </c>
      <c r="BC7" s="3">
        <f>BC$3*Params!$B$34</f>
        <v/>
      </c>
      <c r="BD7" s="3">
        <f>BD$3*Params!$B$34</f>
        <v/>
      </c>
      <c r="BE7" s="3">
        <f>BE$3*Params!$B$34</f>
        <v/>
      </c>
      <c r="BF7" s="3">
        <f>BF$3*Params!$B$34</f>
        <v/>
      </c>
      <c r="BG7" s="3">
        <f>BG$3*Params!$B$34</f>
        <v/>
      </c>
      <c r="BH7" s="3">
        <f>BH$3*Params!$B$34</f>
        <v/>
      </c>
      <c r="BI7" s="3">
        <f>BI$3*Params!$B$34</f>
        <v/>
      </c>
      <c r="BJ7" s="3">
        <f>BJ$3*Params!$B$34</f>
        <v/>
      </c>
      <c r="BK7" s="3">
        <f>BK$3*Params!$B$34</f>
        <v/>
      </c>
      <c r="BL7" s="3">
        <f>BL$3*Params!$B$34</f>
        <v/>
      </c>
      <c r="BM7" s="3">
        <f>BM$3*Params!$B$34</f>
        <v/>
      </c>
      <c r="BN7" s="3">
        <f>BN$3*Params!$B$34</f>
        <v/>
      </c>
      <c r="BO7" s="3">
        <f>BO$3*Params!$B$34</f>
        <v/>
      </c>
      <c r="BP7" s="3">
        <f>BP$3*Params!$B$34</f>
        <v/>
      </c>
      <c r="BQ7" s="3">
        <f>BQ$3*Params!$B$34</f>
        <v/>
      </c>
      <c r="BR7" s="3">
        <f>BR$3*Params!$B$34</f>
        <v/>
      </c>
      <c r="BS7" s="3">
        <f>BS$3*Params!$B$34</f>
        <v/>
      </c>
      <c r="BT7" s="3">
        <f>BT$3*Params!$B$34</f>
        <v/>
      </c>
      <c r="BU7" s="3">
        <f>BU$3*Params!$B$34</f>
        <v/>
      </c>
      <c r="BV7" s="3">
        <f>BV$3*Params!$B$34</f>
        <v/>
      </c>
    </row>
    <row r="8">
      <c r="A8" t="inlineStr">
        <is>
          <t>MAU</t>
        </is>
      </c>
      <c r="B8" t="inlineStr">
        <is>
          <t>ROW</t>
        </is>
      </c>
      <c r="C8" s="3">
        <f>C$3*Params!$B$35</f>
        <v/>
      </c>
      <c r="D8" s="3">
        <f>D$3*Params!$B$35</f>
        <v/>
      </c>
      <c r="E8" s="3">
        <f>E$3*Params!$B$35</f>
        <v/>
      </c>
      <c r="F8" s="3">
        <f>F$3*Params!$B$35</f>
        <v/>
      </c>
      <c r="G8" s="3">
        <f>G$3*Params!$B$35</f>
        <v/>
      </c>
      <c r="H8" s="3">
        <f>H$3*Params!$B$35</f>
        <v/>
      </c>
      <c r="I8" s="3">
        <f>I$3*Params!$B$35</f>
        <v/>
      </c>
      <c r="J8" s="3">
        <f>J$3*Params!$B$35</f>
        <v/>
      </c>
      <c r="K8" s="3">
        <f>K$3*Params!$B$35</f>
        <v/>
      </c>
      <c r="L8" s="3">
        <f>L$3*Params!$B$35</f>
        <v/>
      </c>
      <c r="M8" s="3">
        <f>M$3*Params!$B$35</f>
        <v/>
      </c>
      <c r="N8" s="3">
        <f>N$3*Params!$B$35</f>
        <v/>
      </c>
      <c r="O8" s="3">
        <f>O$3*Params!$B$35</f>
        <v/>
      </c>
      <c r="P8" s="3">
        <f>P$3*Params!$B$35</f>
        <v/>
      </c>
      <c r="Q8" s="3">
        <f>Q$3*Params!$B$35</f>
        <v/>
      </c>
      <c r="R8" s="3">
        <f>R$3*Params!$B$35</f>
        <v/>
      </c>
      <c r="S8" s="3">
        <f>S$3*Params!$B$35</f>
        <v/>
      </c>
      <c r="T8" s="3">
        <f>T$3*Params!$B$35</f>
        <v/>
      </c>
      <c r="U8" s="3">
        <f>U$3*Params!$B$35</f>
        <v/>
      </c>
      <c r="V8" s="3">
        <f>V$3*Params!$B$35</f>
        <v/>
      </c>
      <c r="W8" s="3">
        <f>W$3*Params!$B$35</f>
        <v/>
      </c>
      <c r="X8" s="3">
        <f>X$3*Params!$B$35</f>
        <v/>
      </c>
      <c r="Y8" s="3">
        <f>Y$3*Params!$B$35</f>
        <v/>
      </c>
      <c r="Z8" s="3">
        <f>Z$3*Params!$B$35</f>
        <v/>
      </c>
      <c r="AA8" s="3">
        <f>AA$3*Params!$B$35</f>
        <v/>
      </c>
      <c r="AB8" s="3">
        <f>AB$3*Params!$B$35</f>
        <v/>
      </c>
      <c r="AC8" s="3">
        <f>AC$3*Params!$B$35</f>
        <v/>
      </c>
      <c r="AD8" s="3">
        <f>AD$3*Params!$B$35</f>
        <v/>
      </c>
      <c r="AE8" s="3">
        <f>AE$3*Params!$B$35</f>
        <v/>
      </c>
      <c r="AF8" s="3">
        <f>AF$3*Params!$B$35</f>
        <v/>
      </c>
      <c r="AG8" s="3">
        <f>AG$3*Params!$B$35</f>
        <v/>
      </c>
      <c r="AH8" s="3">
        <f>AH$3*Params!$B$35</f>
        <v/>
      </c>
      <c r="AI8" s="3">
        <f>AI$3*Params!$B$35</f>
        <v/>
      </c>
      <c r="AJ8" s="3">
        <f>AJ$3*Params!$B$35</f>
        <v/>
      </c>
      <c r="AK8" s="3">
        <f>AK$3*Params!$B$35</f>
        <v/>
      </c>
      <c r="AL8" s="3">
        <f>AL$3*Params!$B$35</f>
        <v/>
      </c>
      <c r="AM8" s="3">
        <f>AM$3*Params!$B$35</f>
        <v/>
      </c>
      <c r="AN8" s="3">
        <f>AN$3*Params!$B$35</f>
        <v/>
      </c>
      <c r="AO8" s="3">
        <f>AO$3*Params!$B$35</f>
        <v/>
      </c>
      <c r="AP8" s="3">
        <f>AP$3*Params!$B$35</f>
        <v/>
      </c>
      <c r="AQ8" s="3">
        <f>AQ$3*Params!$B$35</f>
        <v/>
      </c>
      <c r="AR8" s="3">
        <f>AR$3*Params!$B$35</f>
        <v/>
      </c>
      <c r="AS8" s="3">
        <f>AS$3*Params!$B$35</f>
        <v/>
      </c>
      <c r="AT8" s="3">
        <f>AT$3*Params!$B$35</f>
        <v/>
      </c>
      <c r="AU8" s="3">
        <f>AU$3*Params!$B$35</f>
        <v/>
      </c>
      <c r="AV8" s="3">
        <f>AV$3*Params!$B$35</f>
        <v/>
      </c>
      <c r="AW8" s="3">
        <f>AW$3*Params!$B$35</f>
        <v/>
      </c>
      <c r="AX8" s="3">
        <f>AX$3*Params!$B$35</f>
        <v/>
      </c>
      <c r="AY8" s="3">
        <f>AY$3*Params!$B$35</f>
        <v/>
      </c>
      <c r="AZ8" s="3">
        <f>AZ$3*Params!$B$35</f>
        <v/>
      </c>
      <c r="BA8" s="3">
        <f>BA$3*Params!$B$35</f>
        <v/>
      </c>
      <c r="BB8" s="3">
        <f>BB$3*Params!$B$35</f>
        <v/>
      </c>
      <c r="BC8" s="3">
        <f>BC$3*Params!$B$35</f>
        <v/>
      </c>
      <c r="BD8" s="3">
        <f>BD$3*Params!$B$35</f>
        <v/>
      </c>
      <c r="BE8" s="3">
        <f>BE$3*Params!$B$35</f>
        <v/>
      </c>
      <c r="BF8" s="3">
        <f>BF$3*Params!$B$35</f>
        <v/>
      </c>
      <c r="BG8" s="3">
        <f>BG$3*Params!$B$35</f>
        <v/>
      </c>
      <c r="BH8" s="3">
        <f>BH$3*Params!$B$35</f>
        <v/>
      </c>
      <c r="BI8" s="3">
        <f>BI$3*Params!$B$35</f>
        <v/>
      </c>
      <c r="BJ8" s="3">
        <f>BJ$3*Params!$B$35</f>
        <v/>
      </c>
      <c r="BK8" s="3">
        <f>BK$3*Params!$B$35</f>
        <v/>
      </c>
      <c r="BL8" s="3">
        <f>BL$3*Params!$B$35</f>
        <v/>
      </c>
      <c r="BM8" s="3">
        <f>BM$3*Params!$B$35</f>
        <v/>
      </c>
      <c r="BN8" s="3">
        <f>BN$3*Params!$B$35</f>
        <v/>
      </c>
      <c r="BO8" s="3">
        <f>BO$3*Params!$B$35</f>
        <v/>
      </c>
      <c r="BP8" s="3">
        <f>BP$3*Params!$B$35</f>
        <v/>
      </c>
      <c r="BQ8" s="3">
        <f>BQ$3*Params!$B$35</f>
        <v/>
      </c>
      <c r="BR8" s="3">
        <f>BR$3*Params!$B$35</f>
        <v/>
      </c>
      <c r="BS8" s="3">
        <f>BS$3*Params!$B$35</f>
        <v/>
      </c>
      <c r="BT8" s="3">
        <f>BT$3*Params!$B$35</f>
        <v/>
      </c>
      <c r="BU8" s="3">
        <f>BU$3*Params!$B$35</f>
        <v/>
      </c>
      <c r="BV8" s="3">
        <f>BV$3*Params!$B$35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plan</t>
        </is>
      </c>
      <c r="C1" s="1" t="inlineStr">
        <is>
          <t>list $/mo</t>
        </is>
      </c>
      <c r="D1" s="1" t="inlineStr">
        <is>
          <t>x regional index</t>
        </is>
      </c>
      <c r="E1" s="1" t="inlineStr">
        <is>
          <t>after discount &amp; VAT</t>
        </is>
      </c>
      <c r="F1" s="1" t="inlineStr">
        <is>
          <t>keep after fees (yr 1)</t>
        </is>
      </c>
      <c r="G1" s="1" t="inlineStr">
        <is>
          <t>keep after fees (later)</t>
        </is>
      </c>
      <c r="H1" s="1" t="inlineStr">
        <is>
          <t>net $/mo (yr 1)</t>
        </is>
      </c>
      <c r="I1" s="1" t="inlineStr">
        <is>
          <t>net $/mo (later)</t>
        </is>
      </c>
    </row>
    <row r="2">
      <c r="A2" t="inlineStr">
        <is>
          <t>US_CA</t>
        </is>
      </c>
      <c r="B2" t="inlineStr">
        <is>
          <t>NITRO_M</t>
        </is>
      </c>
      <c r="C2" s="4">
        <f>Params!$B$79/Params!$B$83</f>
        <v/>
      </c>
      <c r="D2" s="4">
        <f>C2*Params!$B$41</f>
        <v/>
      </c>
      <c r="E2" s="4">
        <f>D2*(1-Params!$B$22)*(1-Params!$B$46)</f>
        <v/>
      </c>
      <c r="F2" s="5">
        <f>Params!$B$56*(1-Params!$B$23)+Params!$B$57*(1-Params!$B$24)+Params!$B$58*(1-Params!$B$26)</f>
        <v/>
      </c>
      <c r="G2" s="5">
        <f>Params!$B$56*(1-Params!$B$23)+Params!$B$57*(1-Params!$B$25)+Params!$B$58*(1-Params!$B$26)</f>
        <v/>
      </c>
      <c r="H2" s="4">
        <f>E2*F2</f>
        <v/>
      </c>
      <c r="I2" s="4">
        <f>E2*G2</f>
        <v/>
      </c>
    </row>
    <row r="3">
      <c r="A3" t="inlineStr">
        <is>
          <t>US_CA</t>
        </is>
      </c>
      <c r="B3" t="inlineStr">
        <is>
          <t>NITRO_A</t>
        </is>
      </c>
      <c r="C3" s="4">
        <f>Params!$B$80/Params!$B$84</f>
        <v/>
      </c>
      <c r="D3" s="4">
        <f>C3*Params!$B$41</f>
        <v/>
      </c>
      <c r="E3" s="4">
        <f>D3*(1-Params!$B$22)*(1-Params!$B$46)</f>
        <v/>
      </c>
      <c r="F3" s="5">
        <f>Params!$B$56*(1-Params!$B$23)+Params!$B$57*(1-Params!$B$24)+Params!$B$58*(1-Params!$B$26)</f>
        <v/>
      </c>
      <c r="G3" s="5">
        <f>Params!$B$56*(1-Params!$B$23)+Params!$B$57*(1-Params!$B$25)+Params!$B$58*(1-Params!$B$26)</f>
        <v/>
      </c>
      <c r="H3" s="4">
        <f>E3*F3</f>
        <v/>
      </c>
      <c r="I3" s="4">
        <f>E3*G3</f>
        <v/>
      </c>
    </row>
    <row r="4">
      <c r="A4" t="inlineStr">
        <is>
          <t>US_CA</t>
        </is>
      </c>
      <c r="B4" t="inlineStr">
        <is>
          <t>BASIC_M</t>
        </is>
      </c>
      <c r="C4" s="4">
        <f>Params!$B$81/Params!$B$85</f>
        <v/>
      </c>
      <c r="D4" s="4">
        <f>C4*Params!$B$41</f>
        <v/>
      </c>
      <c r="E4" s="4">
        <f>D4*(1-Params!$B$22)*(1-Params!$B$46)</f>
        <v/>
      </c>
      <c r="F4" s="5">
        <f>Params!$B$56*(1-Params!$B$23)+Params!$B$57*(1-Params!$B$24)+Params!$B$58*(1-Params!$B$26)</f>
        <v/>
      </c>
      <c r="G4" s="5">
        <f>Params!$B$56*(1-Params!$B$23)+Params!$B$57*(1-Params!$B$25)+Params!$B$58*(1-Params!$B$26)</f>
        <v/>
      </c>
      <c r="H4" s="4">
        <f>E4*F4</f>
        <v/>
      </c>
      <c r="I4" s="4">
        <f>E4*G4</f>
        <v/>
      </c>
    </row>
    <row r="5">
      <c r="A5" t="inlineStr">
        <is>
          <t>US_CA</t>
        </is>
      </c>
      <c r="B5" t="inlineStr">
        <is>
          <t>BASIC_A</t>
        </is>
      </c>
      <c r="C5" s="4">
        <f>Params!$B$82/Params!$B$86</f>
        <v/>
      </c>
      <c r="D5" s="4">
        <f>C5*Params!$B$41</f>
        <v/>
      </c>
      <c r="E5" s="4">
        <f>D5*(1-Params!$B$22)*(1-Params!$B$46)</f>
        <v/>
      </c>
      <c r="F5" s="5">
        <f>Params!$B$56*(1-Params!$B$23)+Params!$B$57*(1-Params!$B$24)+Params!$B$58*(1-Params!$B$26)</f>
        <v/>
      </c>
      <c r="G5" s="5">
        <f>Params!$B$56*(1-Params!$B$23)+Params!$B$57*(1-Params!$B$25)+Params!$B$58*(1-Params!$B$26)</f>
        <v/>
      </c>
      <c r="H5" s="4">
        <f>E5*F5</f>
        <v/>
      </c>
      <c r="I5" s="4">
        <f>E5*G5</f>
        <v/>
      </c>
    </row>
    <row r="6">
      <c r="A6" t="inlineStr">
        <is>
          <t>EUROPE</t>
        </is>
      </c>
      <c r="B6" t="inlineStr">
        <is>
          <t>NITRO_M</t>
        </is>
      </c>
      <c r="C6" s="4">
        <f>Params!$B$79/Params!$B$83</f>
        <v/>
      </c>
      <c r="D6" s="4">
        <f>C6*Params!$B$42</f>
        <v/>
      </c>
      <c r="E6" s="4">
        <f>D6*(1-Params!$B$22)*(1-Params!$B$47)</f>
        <v/>
      </c>
      <c r="F6" s="5">
        <f>Params!$B$59*(1-Params!$B$23)+Params!$B$60*(1-Params!$B$24)+Params!$B$61*(1-Params!$B$26)</f>
        <v/>
      </c>
      <c r="G6" s="5">
        <f>Params!$B$59*(1-Params!$B$23)+Params!$B$60*(1-Params!$B$25)+Params!$B$61*(1-Params!$B$26)</f>
        <v/>
      </c>
      <c r="H6" s="4">
        <f>E6*F6</f>
        <v/>
      </c>
      <c r="I6" s="4">
        <f>E6*G6</f>
        <v/>
      </c>
    </row>
    <row r="7">
      <c r="A7" t="inlineStr">
        <is>
          <t>EUROPE</t>
        </is>
      </c>
      <c r="B7" t="inlineStr">
        <is>
          <t>NITRO_A</t>
        </is>
      </c>
      <c r="C7" s="4">
        <f>Params!$B$80/Params!$B$84</f>
        <v/>
      </c>
      <c r="D7" s="4">
        <f>C7*Params!$B$42</f>
        <v/>
      </c>
      <c r="E7" s="4">
        <f>D7*(1-Params!$B$22)*(1-Params!$B$47)</f>
        <v/>
      </c>
      <c r="F7" s="5">
        <f>Params!$B$59*(1-Params!$B$23)+Params!$B$60*(1-Params!$B$24)+Params!$B$61*(1-Params!$B$26)</f>
        <v/>
      </c>
      <c r="G7" s="5">
        <f>Params!$B$59*(1-Params!$B$23)+Params!$B$60*(1-Params!$B$25)+Params!$B$61*(1-Params!$B$26)</f>
        <v/>
      </c>
      <c r="H7" s="4">
        <f>E7*F7</f>
        <v/>
      </c>
      <c r="I7" s="4">
        <f>E7*G7</f>
        <v/>
      </c>
    </row>
    <row r="8">
      <c r="A8" t="inlineStr">
        <is>
          <t>EUROPE</t>
        </is>
      </c>
      <c r="B8" t="inlineStr">
        <is>
          <t>BASIC_M</t>
        </is>
      </c>
      <c r="C8" s="4">
        <f>Params!$B$81/Params!$B$85</f>
        <v/>
      </c>
      <c r="D8" s="4">
        <f>C8*Params!$B$42</f>
        <v/>
      </c>
      <c r="E8" s="4">
        <f>D8*(1-Params!$B$22)*(1-Params!$B$47)</f>
        <v/>
      </c>
      <c r="F8" s="5">
        <f>Params!$B$59*(1-Params!$B$23)+Params!$B$60*(1-Params!$B$24)+Params!$B$61*(1-Params!$B$26)</f>
        <v/>
      </c>
      <c r="G8" s="5">
        <f>Params!$B$59*(1-Params!$B$23)+Params!$B$60*(1-Params!$B$25)+Params!$B$61*(1-Params!$B$26)</f>
        <v/>
      </c>
      <c r="H8" s="4">
        <f>E8*F8</f>
        <v/>
      </c>
      <c r="I8" s="4">
        <f>E8*G8</f>
        <v/>
      </c>
    </row>
    <row r="9">
      <c r="A9" t="inlineStr">
        <is>
          <t>EUROPE</t>
        </is>
      </c>
      <c r="B9" t="inlineStr">
        <is>
          <t>BASIC_A</t>
        </is>
      </c>
      <c r="C9" s="4">
        <f>Params!$B$82/Params!$B$86</f>
        <v/>
      </c>
      <c r="D9" s="4">
        <f>C9*Params!$B$42</f>
        <v/>
      </c>
      <c r="E9" s="4">
        <f>D9*(1-Params!$B$22)*(1-Params!$B$47)</f>
        <v/>
      </c>
      <c r="F9" s="5">
        <f>Params!$B$59*(1-Params!$B$23)+Params!$B$60*(1-Params!$B$24)+Params!$B$61*(1-Params!$B$26)</f>
        <v/>
      </c>
      <c r="G9" s="5">
        <f>Params!$B$59*(1-Params!$B$23)+Params!$B$60*(1-Params!$B$25)+Params!$B$61*(1-Params!$B$26)</f>
        <v/>
      </c>
      <c r="H9" s="4">
        <f>E9*F9</f>
        <v/>
      </c>
      <c r="I9" s="4">
        <f>E9*G9</f>
        <v/>
      </c>
    </row>
    <row r="10">
      <c r="A10" t="inlineStr">
        <is>
          <t>LATAM</t>
        </is>
      </c>
      <c r="B10" t="inlineStr">
        <is>
          <t>NITRO_M</t>
        </is>
      </c>
      <c r="C10" s="4">
        <f>Params!$B$79/Params!$B$83</f>
        <v/>
      </c>
      <c r="D10" s="4">
        <f>C10*Params!$B$43</f>
        <v/>
      </c>
      <c r="E10" s="4">
        <f>D10*(1-Params!$B$22)*(1-Params!$B$48)</f>
        <v/>
      </c>
      <c r="F10" s="5">
        <f>Params!$B$62*(1-Params!$B$23)+Params!$B$63*(1-Params!$B$24)+Params!$B$64*(1-Params!$B$26)</f>
        <v/>
      </c>
      <c r="G10" s="5">
        <f>Params!$B$62*(1-Params!$B$23)+Params!$B$63*(1-Params!$B$25)+Params!$B$64*(1-Params!$B$26)</f>
        <v/>
      </c>
      <c r="H10" s="4">
        <f>E10*F10</f>
        <v/>
      </c>
      <c r="I10" s="4">
        <f>E10*G10</f>
        <v/>
      </c>
    </row>
    <row r="11">
      <c r="A11" t="inlineStr">
        <is>
          <t>LATAM</t>
        </is>
      </c>
      <c r="B11" t="inlineStr">
        <is>
          <t>NITRO_A</t>
        </is>
      </c>
      <c r="C11" s="4">
        <f>Params!$B$80/Params!$B$84</f>
        <v/>
      </c>
      <c r="D11" s="4">
        <f>C11*Params!$B$43</f>
        <v/>
      </c>
      <c r="E11" s="4">
        <f>D11*(1-Params!$B$22)*(1-Params!$B$48)</f>
        <v/>
      </c>
      <c r="F11" s="5">
        <f>Params!$B$62*(1-Params!$B$23)+Params!$B$63*(1-Params!$B$24)+Params!$B$64*(1-Params!$B$26)</f>
        <v/>
      </c>
      <c r="G11" s="5">
        <f>Params!$B$62*(1-Params!$B$23)+Params!$B$63*(1-Params!$B$25)+Params!$B$64*(1-Params!$B$26)</f>
        <v/>
      </c>
      <c r="H11" s="4">
        <f>E11*F11</f>
        <v/>
      </c>
      <c r="I11" s="4">
        <f>E11*G11</f>
        <v/>
      </c>
    </row>
    <row r="12">
      <c r="A12" t="inlineStr">
        <is>
          <t>LATAM</t>
        </is>
      </c>
      <c r="B12" t="inlineStr">
        <is>
          <t>BASIC_M</t>
        </is>
      </c>
      <c r="C12" s="4">
        <f>Params!$B$81/Params!$B$85</f>
        <v/>
      </c>
      <c r="D12" s="4">
        <f>C12*Params!$B$43</f>
        <v/>
      </c>
      <c r="E12" s="4">
        <f>D12*(1-Params!$B$22)*(1-Params!$B$48)</f>
        <v/>
      </c>
      <c r="F12" s="5">
        <f>Params!$B$62*(1-Params!$B$23)+Params!$B$63*(1-Params!$B$24)+Params!$B$64*(1-Params!$B$26)</f>
        <v/>
      </c>
      <c r="G12" s="5">
        <f>Params!$B$62*(1-Params!$B$23)+Params!$B$63*(1-Params!$B$25)+Params!$B$64*(1-Params!$B$26)</f>
        <v/>
      </c>
      <c r="H12" s="4">
        <f>E12*F12</f>
        <v/>
      </c>
      <c r="I12" s="4">
        <f>E12*G12</f>
        <v/>
      </c>
    </row>
    <row r="13">
      <c r="A13" t="inlineStr">
        <is>
          <t>LATAM</t>
        </is>
      </c>
      <c r="B13" t="inlineStr">
        <is>
          <t>BASIC_A</t>
        </is>
      </c>
      <c r="C13" s="4">
        <f>Params!$B$82/Params!$B$86</f>
        <v/>
      </c>
      <c r="D13" s="4">
        <f>C13*Params!$B$43</f>
        <v/>
      </c>
      <c r="E13" s="4">
        <f>D13*(1-Params!$B$22)*(1-Params!$B$48)</f>
        <v/>
      </c>
      <c r="F13" s="5">
        <f>Params!$B$62*(1-Params!$B$23)+Params!$B$63*(1-Params!$B$24)+Params!$B$64*(1-Params!$B$26)</f>
        <v/>
      </c>
      <c r="G13" s="5">
        <f>Params!$B$62*(1-Params!$B$23)+Params!$B$63*(1-Params!$B$25)+Params!$B$64*(1-Params!$B$26)</f>
        <v/>
      </c>
      <c r="H13" s="4">
        <f>E13*F13</f>
        <v/>
      </c>
      <c r="I13" s="4">
        <f>E13*G13</f>
        <v/>
      </c>
    </row>
    <row r="14">
      <c r="A14" t="inlineStr">
        <is>
          <t>APAC</t>
        </is>
      </c>
      <c r="B14" t="inlineStr">
        <is>
          <t>NITRO_M</t>
        </is>
      </c>
      <c r="C14" s="4">
        <f>Params!$B$79/Params!$B$83</f>
        <v/>
      </c>
      <c r="D14" s="4">
        <f>C14*Params!$B$44</f>
        <v/>
      </c>
      <c r="E14" s="4">
        <f>D14*(1-Params!$B$22)*(1-Params!$B$49)</f>
        <v/>
      </c>
      <c r="F14" s="5">
        <f>Params!$B$65*(1-Params!$B$23)+Params!$B$66*(1-Params!$B$24)+Params!$B$67*(1-Params!$B$26)</f>
        <v/>
      </c>
      <c r="G14" s="5">
        <f>Params!$B$65*(1-Params!$B$23)+Params!$B$66*(1-Params!$B$25)+Params!$B$67*(1-Params!$B$26)</f>
        <v/>
      </c>
      <c r="H14" s="4">
        <f>E14*F14</f>
        <v/>
      </c>
      <c r="I14" s="4">
        <f>E14*G14</f>
        <v/>
      </c>
    </row>
    <row r="15">
      <c r="A15" t="inlineStr">
        <is>
          <t>APAC</t>
        </is>
      </c>
      <c r="B15" t="inlineStr">
        <is>
          <t>NITRO_A</t>
        </is>
      </c>
      <c r="C15" s="4">
        <f>Params!$B$80/Params!$B$84</f>
        <v/>
      </c>
      <c r="D15" s="4">
        <f>C15*Params!$B$44</f>
        <v/>
      </c>
      <c r="E15" s="4">
        <f>D15*(1-Params!$B$22)*(1-Params!$B$49)</f>
        <v/>
      </c>
      <c r="F15" s="5">
        <f>Params!$B$65*(1-Params!$B$23)+Params!$B$66*(1-Params!$B$24)+Params!$B$67*(1-Params!$B$26)</f>
        <v/>
      </c>
      <c r="G15" s="5">
        <f>Params!$B$65*(1-Params!$B$23)+Params!$B$66*(1-Params!$B$25)+Params!$B$67*(1-Params!$B$26)</f>
        <v/>
      </c>
      <c r="H15" s="4">
        <f>E15*F15</f>
        <v/>
      </c>
      <c r="I15" s="4">
        <f>E15*G15</f>
        <v/>
      </c>
    </row>
    <row r="16">
      <c r="A16" t="inlineStr">
        <is>
          <t>APAC</t>
        </is>
      </c>
      <c r="B16" t="inlineStr">
        <is>
          <t>BASIC_M</t>
        </is>
      </c>
      <c r="C16" s="4">
        <f>Params!$B$81/Params!$B$85</f>
        <v/>
      </c>
      <c r="D16" s="4">
        <f>C16*Params!$B$44</f>
        <v/>
      </c>
      <c r="E16" s="4">
        <f>D16*(1-Params!$B$22)*(1-Params!$B$49)</f>
        <v/>
      </c>
      <c r="F16" s="5">
        <f>Params!$B$65*(1-Params!$B$23)+Params!$B$66*(1-Params!$B$24)+Params!$B$67*(1-Params!$B$26)</f>
        <v/>
      </c>
      <c r="G16" s="5">
        <f>Params!$B$65*(1-Params!$B$23)+Params!$B$66*(1-Params!$B$25)+Params!$B$67*(1-Params!$B$26)</f>
        <v/>
      </c>
      <c r="H16" s="4">
        <f>E16*F16</f>
        <v/>
      </c>
      <c r="I16" s="4">
        <f>E16*G16</f>
        <v/>
      </c>
    </row>
    <row r="17">
      <c r="A17" t="inlineStr">
        <is>
          <t>APAC</t>
        </is>
      </c>
      <c r="B17" t="inlineStr">
        <is>
          <t>BASIC_A</t>
        </is>
      </c>
      <c r="C17" s="4">
        <f>Params!$B$82/Params!$B$86</f>
        <v/>
      </c>
      <c r="D17" s="4">
        <f>C17*Params!$B$44</f>
        <v/>
      </c>
      <c r="E17" s="4">
        <f>D17*(1-Params!$B$22)*(1-Params!$B$49)</f>
        <v/>
      </c>
      <c r="F17" s="5">
        <f>Params!$B$65*(1-Params!$B$23)+Params!$B$66*(1-Params!$B$24)+Params!$B$67*(1-Params!$B$26)</f>
        <v/>
      </c>
      <c r="G17" s="5">
        <f>Params!$B$65*(1-Params!$B$23)+Params!$B$66*(1-Params!$B$25)+Params!$B$67*(1-Params!$B$26)</f>
        <v/>
      </c>
      <c r="H17" s="4">
        <f>E17*F17</f>
        <v/>
      </c>
      <c r="I17" s="4">
        <f>E17*G17</f>
        <v/>
      </c>
    </row>
    <row r="18">
      <c r="A18" t="inlineStr">
        <is>
          <t>ROW</t>
        </is>
      </c>
      <c r="B18" t="inlineStr">
        <is>
          <t>NITRO_M</t>
        </is>
      </c>
      <c r="C18" s="4">
        <f>Params!$B$79/Params!$B$83</f>
        <v/>
      </c>
      <c r="D18" s="4">
        <f>C18*Params!$B$45</f>
        <v/>
      </c>
      <c r="E18" s="4">
        <f>D18*(1-Params!$B$22)*(1-Params!$B$50)</f>
        <v/>
      </c>
      <c r="F18" s="5">
        <f>Params!$B$68*(1-Params!$B$23)+Params!$B$69*(1-Params!$B$24)+Params!$B$70*(1-Params!$B$26)</f>
        <v/>
      </c>
      <c r="G18" s="5">
        <f>Params!$B$68*(1-Params!$B$23)+Params!$B$69*(1-Params!$B$25)+Params!$B$70*(1-Params!$B$26)</f>
        <v/>
      </c>
      <c r="H18" s="4">
        <f>E18*F18</f>
        <v/>
      </c>
      <c r="I18" s="4">
        <f>E18*G18</f>
        <v/>
      </c>
    </row>
    <row r="19">
      <c r="A19" t="inlineStr">
        <is>
          <t>ROW</t>
        </is>
      </c>
      <c r="B19" t="inlineStr">
        <is>
          <t>NITRO_A</t>
        </is>
      </c>
      <c r="C19" s="4">
        <f>Params!$B$80/Params!$B$84</f>
        <v/>
      </c>
      <c r="D19" s="4">
        <f>C19*Params!$B$45</f>
        <v/>
      </c>
      <c r="E19" s="4">
        <f>D19*(1-Params!$B$22)*(1-Params!$B$50)</f>
        <v/>
      </c>
      <c r="F19" s="5">
        <f>Params!$B$68*(1-Params!$B$23)+Params!$B$69*(1-Params!$B$24)+Params!$B$70*(1-Params!$B$26)</f>
        <v/>
      </c>
      <c r="G19" s="5">
        <f>Params!$B$68*(1-Params!$B$23)+Params!$B$69*(1-Params!$B$25)+Params!$B$70*(1-Params!$B$26)</f>
        <v/>
      </c>
      <c r="H19" s="4">
        <f>E19*F19</f>
        <v/>
      </c>
      <c r="I19" s="4">
        <f>E19*G19</f>
        <v/>
      </c>
    </row>
    <row r="20">
      <c r="A20" t="inlineStr">
        <is>
          <t>ROW</t>
        </is>
      </c>
      <c r="B20" t="inlineStr">
        <is>
          <t>BASIC_M</t>
        </is>
      </c>
      <c r="C20" s="4">
        <f>Params!$B$81/Params!$B$85</f>
        <v/>
      </c>
      <c r="D20" s="4">
        <f>C20*Params!$B$45</f>
        <v/>
      </c>
      <c r="E20" s="4">
        <f>D20*(1-Params!$B$22)*(1-Params!$B$50)</f>
        <v/>
      </c>
      <c r="F20" s="5">
        <f>Params!$B$68*(1-Params!$B$23)+Params!$B$69*(1-Params!$B$24)+Params!$B$70*(1-Params!$B$26)</f>
        <v/>
      </c>
      <c r="G20" s="5">
        <f>Params!$B$68*(1-Params!$B$23)+Params!$B$69*(1-Params!$B$25)+Params!$B$70*(1-Params!$B$26)</f>
        <v/>
      </c>
      <c r="H20" s="4">
        <f>E20*F20</f>
        <v/>
      </c>
      <c r="I20" s="4">
        <f>E20*G20</f>
        <v/>
      </c>
    </row>
    <row r="21">
      <c r="A21" t="inlineStr">
        <is>
          <t>ROW</t>
        </is>
      </c>
      <c r="B21" t="inlineStr">
        <is>
          <t>BASIC_A</t>
        </is>
      </c>
      <c r="C21" s="4">
        <f>Params!$B$82/Params!$B$86</f>
        <v/>
      </c>
      <c r="D21" s="4">
        <f>C21*Params!$B$45</f>
        <v/>
      </c>
      <c r="E21" s="4">
        <f>D21*(1-Params!$B$22)*(1-Params!$B$50)</f>
        <v/>
      </c>
      <c r="F21" s="5">
        <f>Params!$B$68*(1-Params!$B$23)+Params!$B$69*(1-Params!$B$24)+Params!$B$70*(1-Params!$B$26)</f>
        <v/>
      </c>
      <c r="G21" s="5">
        <f>Params!$B$68*(1-Params!$B$23)+Params!$B$69*(1-Params!$B$25)+Params!$B$70*(1-Params!$B$26)</f>
        <v/>
      </c>
      <c r="H21" s="4">
        <f>E21*F21</f>
        <v/>
      </c>
      <c r="I21" s="4">
        <f>E21*G21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V2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gross adds</t>
        </is>
      </c>
      <c r="B3" t="inlineStr">
        <is>
          <t>US_CA|NITRO_M</t>
        </is>
      </c>
      <c r="C3" s="3">
        <f>MAU!C4*Params!$B$36*Params!$B$5*Params!$B$87*Params!$B$71</f>
        <v/>
      </c>
      <c r="D3" s="3">
        <f>MAU!D4*Params!$B$36*Params!$B$5*Params!$B$87*Params!$B$71</f>
        <v/>
      </c>
      <c r="E3" s="3">
        <f>MAU!E4*Params!$B$36*Params!$B$5*Params!$B$87*Params!$B$71</f>
        <v/>
      </c>
      <c r="F3" s="3">
        <f>MAU!F4*Params!$B$36*Params!$B$5*Params!$B$87*Params!$B$71</f>
        <v/>
      </c>
      <c r="G3" s="3">
        <f>MAU!G4*Params!$B$36*Params!$B$5*Params!$B$87*Params!$B$71</f>
        <v/>
      </c>
      <c r="H3" s="3">
        <f>MAU!H4*Params!$B$36*Params!$B$5*Params!$B$87*Params!$B$71</f>
        <v/>
      </c>
      <c r="I3" s="3">
        <f>MAU!I4*Params!$B$36*Params!$B$5*Params!$B$87*Params!$B$71</f>
        <v/>
      </c>
      <c r="J3" s="3">
        <f>MAU!J4*Params!$B$36*Params!$B$5*Params!$B$87*Params!$B$71</f>
        <v/>
      </c>
      <c r="K3" s="3">
        <f>MAU!K4*Params!$B$36*Params!$B$5*Params!$B$87*Params!$B$71</f>
        <v/>
      </c>
      <c r="L3" s="3">
        <f>MAU!L4*Params!$B$36*Params!$B$5*Params!$B$87*Params!$B$71</f>
        <v/>
      </c>
      <c r="M3" s="3">
        <f>MAU!M4*Params!$B$36*Params!$B$5*Params!$B$87*Params!$B$71</f>
        <v/>
      </c>
      <c r="N3" s="3">
        <f>MAU!N4*Params!$B$36*Params!$B$5*Params!$B$87*Params!$B$71</f>
        <v/>
      </c>
      <c r="O3" s="3">
        <f>MAU!O4*Params!$B$36*Params!$B$5*Params!$B$87*Params!$B$71</f>
        <v/>
      </c>
      <c r="P3" s="3">
        <f>MAU!P4*Params!$B$36*Params!$B$5*Params!$B$87*Params!$B$71</f>
        <v/>
      </c>
      <c r="Q3" s="3">
        <f>MAU!Q4*Params!$B$36*Params!$B$5*Params!$B$87*Params!$B$71</f>
        <v/>
      </c>
      <c r="R3" s="3">
        <f>MAU!R4*Params!$B$36*Params!$B$5*Params!$B$87*Params!$B$71</f>
        <v/>
      </c>
      <c r="S3" s="3">
        <f>MAU!S4*Params!$B$36*Params!$B$5*Params!$B$87*Params!$B$71</f>
        <v/>
      </c>
      <c r="T3" s="3">
        <f>MAU!T4*Params!$B$36*Params!$B$5*Params!$B$87*Params!$B$71</f>
        <v/>
      </c>
      <c r="U3" s="3">
        <f>MAU!U4*Params!$B$36*Params!$B$5*Params!$B$87*Params!$B$71</f>
        <v/>
      </c>
      <c r="V3" s="3">
        <f>MAU!V4*Params!$B$36*Params!$B$5*Params!$B$87*Params!$B$71</f>
        <v/>
      </c>
      <c r="W3" s="3">
        <f>MAU!W4*Params!$B$36*Params!$B$5*Params!$B$87*Params!$B$71</f>
        <v/>
      </c>
      <c r="X3" s="3">
        <f>MAU!X4*Params!$B$36*Params!$B$5*Params!$B$87*Params!$B$71</f>
        <v/>
      </c>
      <c r="Y3" s="3">
        <f>MAU!Y4*Params!$B$36*Params!$B$5*Params!$B$87*Params!$B$71</f>
        <v/>
      </c>
      <c r="Z3" s="3">
        <f>MAU!Z4*Params!$B$36*Params!$B$5*Params!$B$87*Params!$B$71</f>
        <v/>
      </c>
      <c r="AA3" s="3">
        <f>MAU!AA4*Params!$B$36*Params!$B$5*Params!$B$87*Params!$B$71</f>
        <v/>
      </c>
      <c r="AB3" s="3">
        <f>MAU!AB4*Params!$B$36*Params!$B$5*Params!$B$87*Params!$B$71</f>
        <v/>
      </c>
      <c r="AC3" s="3">
        <f>MAU!AC4*Params!$B$36*Params!$B$5*Params!$B$87*Params!$B$71</f>
        <v/>
      </c>
      <c r="AD3" s="3">
        <f>MAU!AD4*Params!$B$36*Params!$B$5*Params!$B$87*Params!$B$71</f>
        <v/>
      </c>
      <c r="AE3" s="3">
        <f>MAU!AE4*Params!$B$36*Params!$B$5*Params!$B$87*Params!$B$71</f>
        <v/>
      </c>
      <c r="AF3" s="3">
        <f>MAU!AF4*Params!$B$36*Params!$B$5*Params!$B$87*Params!$B$71</f>
        <v/>
      </c>
      <c r="AG3" s="3">
        <f>MAU!AG4*Params!$B$36*Params!$B$5*Params!$B$87*Params!$B$71</f>
        <v/>
      </c>
      <c r="AH3" s="3">
        <f>MAU!AH4*Params!$B$36*Params!$B$5*Params!$B$87*Params!$B$71</f>
        <v/>
      </c>
      <c r="AI3" s="3">
        <f>MAU!AI4*Params!$B$36*Params!$B$5*Params!$B$87*Params!$B$71</f>
        <v/>
      </c>
      <c r="AJ3" s="3">
        <f>MAU!AJ4*Params!$B$36*Params!$B$5*Params!$B$87*Params!$B$71</f>
        <v/>
      </c>
      <c r="AK3" s="3">
        <f>MAU!AK4*Params!$B$36*Params!$B$5*Params!$B$87*Params!$B$71</f>
        <v/>
      </c>
      <c r="AL3" s="3">
        <f>MAU!AL4*Params!$B$36*Params!$B$5*Params!$B$87*Params!$B$71</f>
        <v/>
      </c>
      <c r="AM3" s="3">
        <f>MAU!AM4*Params!$B$36*Params!$B$5*Params!$B$87*Params!$B$71</f>
        <v/>
      </c>
      <c r="AN3" s="3">
        <f>MAU!AN4*Params!$B$36*Params!$B$5*Params!$B$87*Params!$B$71</f>
        <v/>
      </c>
      <c r="AO3" s="3">
        <f>MAU!AO4*Params!$B$36*Params!$B$5*Params!$B$87*Params!$B$71</f>
        <v/>
      </c>
      <c r="AP3" s="3">
        <f>MAU!AP4*Params!$B$36*Params!$B$5*Params!$B$87*Params!$B$71</f>
        <v/>
      </c>
      <c r="AQ3" s="3">
        <f>MAU!AQ4*Params!$B$36*Params!$B$5*Params!$B$87*Params!$B$71</f>
        <v/>
      </c>
      <c r="AR3" s="3">
        <f>MAU!AR4*Params!$B$36*Params!$B$5*Params!$B$87*Params!$B$71</f>
        <v/>
      </c>
      <c r="AS3" s="3">
        <f>MAU!AS4*Params!$B$36*Params!$B$5*Params!$B$87*Params!$B$71</f>
        <v/>
      </c>
      <c r="AT3" s="3">
        <f>MAU!AT4*Params!$B$36*Params!$B$5*Params!$B$87*Params!$B$71</f>
        <v/>
      </c>
      <c r="AU3" s="3">
        <f>MAU!AU4*Params!$B$36*Params!$B$5*Params!$B$87*Params!$B$71</f>
        <v/>
      </c>
      <c r="AV3" s="3">
        <f>MAU!AV4*Params!$B$36*Params!$B$5*Params!$B$87*Params!$B$71</f>
        <v/>
      </c>
      <c r="AW3" s="3">
        <f>MAU!AW4*Params!$B$36*Params!$B$5*Params!$B$87*Params!$B$71</f>
        <v/>
      </c>
      <c r="AX3" s="3">
        <f>MAU!AX4*Params!$B$36*Params!$B$5*Params!$B$87*Params!$B$71</f>
        <v/>
      </c>
      <c r="AY3" s="3">
        <f>MAU!AY4*Params!$B$36*Params!$B$5*Params!$B$87*Params!$B$71</f>
        <v/>
      </c>
      <c r="AZ3" s="3">
        <f>MAU!AZ4*Params!$B$36*Params!$B$5*Params!$B$87*Params!$B$71</f>
        <v/>
      </c>
      <c r="BA3" s="3">
        <f>MAU!BA4*Params!$B$36*Params!$B$5*Params!$B$87*Params!$B$71</f>
        <v/>
      </c>
      <c r="BB3" s="3">
        <f>MAU!BB4*Params!$B$36*Params!$B$5*Params!$B$87*Params!$B$71</f>
        <v/>
      </c>
      <c r="BC3" s="3">
        <f>MAU!BC4*Params!$B$36*Params!$B$5*Params!$B$87*Params!$B$71</f>
        <v/>
      </c>
      <c r="BD3" s="3">
        <f>MAU!BD4*Params!$B$36*Params!$B$5*Params!$B$87*Params!$B$71</f>
        <v/>
      </c>
      <c r="BE3" s="3">
        <f>MAU!BE4*Params!$B$36*Params!$B$5*Params!$B$87*Params!$B$71</f>
        <v/>
      </c>
      <c r="BF3" s="3">
        <f>MAU!BF4*Params!$B$36*Params!$B$5*Params!$B$87*Params!$B$71</f>
        <v/>
      </c>
      <c r="BG3" s="3">
        <f>MAU!BG4*Params!$B$36*Params!$B$5*Params!$B$87*Params!$B$71</f>
        <v/>
      </c>
      <c r="BH3" s="3">
        <f>MAU!BH4*Params!$B$36*Params!$B$5*Params!$B$87*Params!$B$71</f>
        <v/>
      </c>
      <c r="BI3" s="3">
        <f>MAU!BI4*Params!$B$36*Params!$B$5*Params!$B$87*Params!$B$71</f>
        <v/>
      </c>
      <c r="BJ3" s="3">
        <f>MAU!BJ4*Params!$B$36*Params!$B$5*Params!$B$87*Params!$B$71</f>
        <v/>
      </c>
      <c r="BK3" s="3">
        <f>MAU!BK4*Params!$B$36*Params!$B$5*Params!$B$87*Params!$B$71</f>
        <v/>
      </c>
      <c r="BL3" s="3">
        <f>MAU!BL4*Params!$B$36*Params!$B$5*Params!$B$87*Params!$B$71</f>
        <v/>
      </c>
      <c r="BM3" s="3">
        <f>MAU!BM4*Params!$B$36*Params!$B$5*Params!$B$87*Params!$B$71</f>
        <v/>
      </c>
      <c r="BN3" s="3">
        <f>MAU!BN4*Params!$B$36*Params!$B$5*Params!$B$87*Params!$B$71</f>
        <v/>
      </c>
      <c r="BO3" s="3">
        <f>MAU!BO4*Params!$B$36*Params!$B$5*Params!$B$87*Params!$B$71</f>
        <v/>
      </c>
      <c r="BP3" s="3">
        <f>MAU!BP4*Params!$B$36*Params!$B$5*Params!$B$87*Params!$B$71</f>
        <v/>
      </c>
      <c r="BQ3" s="3">
        <f>MAU!BQ4*Params!$B$36*Params!$B$5*Params!$B$87*Params!$B$71</f>
        <v/>
      </c>
      <c r="BR3" s="3">
        <f>MAU!BR4*Params!$B$36*Params!$B$5*Params!$B$87*Params!$B$71</f>
        <v/>
      </c>
      <c r="BS3" s="3">
        <f>MAU!BS4*Params!$B$36*Params!$B$5*Params!$B$87*Params!$B$71</f>
        <v/>
      </c>
      <c r="BT3" s="3">
        <f>MAU!BT4*Params!$B$36*Params!$B$5*Params!$B$87*Params!$B$71</f>
        <v/>
      </c>
      <c r="BU3" s="3">
        <f>MAU!BU4*Params!$B$36*Params!$B$5*Params!$B$87*Params!$B$71</f>
        <v/>
      </c>
      <c r="BV3" s="3">
        <f>MAU!BV4*Params!$B$36*Params!$B$5*Params!$B$87*Params!$B$71</f>
        <v/>
      </c>
    </row>
    <row r="4">
      <c r="A4" t="inlineStr">
        <is>
          <t>trial starts</t>
        </is>
      </c>
      <c r="B4" t="inlineStr">
        <is>
          <t>US_CA|NITRO_M</t>
        </is>
      </c>
      <c r="C4" s="3">
        <f>C3*Params!$B$6</f>
        <v/>
      </c>
      <c r="D4" s="3">
        <f>D3*Params!$B$6</f>
        <v/>
      </c>
      <c r="E4" s="3">
        <f>E3*Params!$B$6</f>
        <v/>
      </c>
      <c r="F4" s="3">
        <f>F3*Params!$B$6</f>
        <v/>
      </c>
      <c r="G4" s="3">
        <f>G3*Params!$B$6</f>
        <v/>
      </c>
      <c r="H4" s="3">
        <f>H3*Params!$B$6</f>
        <v/>
      </c>
      <c r="I4" s="3">
        <f>I3*Params!$B$6</f>
        <v/>
      </c>
      <c r="J4" s="3">
        <f>J3*Params!$B$6</f>
        <v/>
      </c>
      <c r="K4" s="3">
        <f>K3*Params!$B$6</f>
        <v/>
      </c>
      <c r="L4" s="3">
        <f>L3*Params!$B$6</f>
        <v/>
      </c>
      <c r="M4" s="3">
        <f>M3*Params!$B$6</f>
        <v/>
      </c>
      <c r="N4" s="3">
        <f>N3*Params!$B$6</f>
        <v/>
      </c>
      <c r="O4" s="3">
        <f>O3*Params!$B$6</f>
        <v/>
      </c>
      <c r="P4" s="3">
        <f>P3*Params!$B$6</f>
        <v/>
      </c>
      <c r="Q4" s="3">
        <f>Q3*Params!$B$6</f>
        <v/>
      </c>
      <c r="R4" s="3">
        <f>R3*Params!$B$6</f>
        <v/>
      </c>
      <c r="S4" s="3">
        <f>S3*Params!$B$6</f>
        <v/>
      </c>
      <c r="T4" s="3">
        <f>T3*Params!$B$6</f>
        <v/>
      </c>
      <c r="U4" s="3">
        <f>U3*Params!$B$6</f>
        <v/>
      </c>
      <c r="V4" s="3">
        <f>V3*Params!$B$6</f>
        <v/>
      </c>
      <c r="W4" s="3">
        <f>W3*Params!$B$6</f>
        <v/>
      </c>
      <c r="X4" s="3">
        <f>X3*Params!$B$6</f>
        <v/>
      </c>
      <c r="Y4" s="3">
        <f>Y3*Params!$B$6</f>
        <v/>
      </c>
      <c r="Z4" s="3">
        <f>Z3*Params!$B$6</f>
        <v/>
      </c>
      <c r="AA4" s="3">
        <f>AA3*Params!$B$6</f>
        <v/>
      </c>
      <c r="AB4" s="3">
        <f>AB3*Params!$B$6</f>
        <v/>
      </c>
      <c r="AC4" s="3">
        <f>AC3*Params!$B$6</f>
        <v/>
      </c>
      <c r="AD4" s="3">
        <f>AD3*Params!$B$6</f>
        <v/>
      </c>
      <c r="AE4" s="3">
        <f>AE3*Params!$B$6</f>
        <v/>
      </c>
      <c r="AF4" s="3">
        <f>AF3*Params!$B$6</f>
        <v/>
      </c>
      <c r="AG4" s="3">
        <f>AG3*Params!$B$6</f>
        <v/>
      </c>
      <c r="AH4" s="3">
        <f>AH3*Params!$B$6</f>
        <v/>
      </c>
      <c r="AI4" s="3">
        <f>AI3*Params!$B$6</f>
        <v/>
      </c>
      <c r="AJ4" s="3">
        <f>AJ3*Params!$B$6</f>
        <v/>
      </c>
      <c r="AK4" s="3">
        <f>AK3*Params!$B$6</f>
        <v/>
      </c>
      <c r="AL4" s="3">
        <f>AL3*Params!$B$6</f>
        <v/>
      </c>
      <c r="AM4" s="3">
        <f>AM3*Params!$B$6</f>
        <v/>
      </c>
      <c r="AN4" s="3">
        <f>AN3*Params!$B$6</f>
        <v/>
      </c>
      <c r="AO4" s="3">
        <f>AO3*Params!$B$6</f>
        <v/>
      </c>
      <c r="AP4" s="3">
        <f>AP3*Params!$B$6</f>
        <v/>
      </c>
      <c r="AQ4" s="3">
        <f>AQ3*Params!$B$6</f>
        <v/>
      </c>
      <c r="AR4" s="3">
        <f>AR3*Params!$B$6</f>
        <v/>
      </c>
      <c r="AS4" s="3">
        <f>AS3*Params!$B$6</f>
        <v/>
      </c>
      <c r="AT4" s="3">
        <f>AT3*Params!$B$6</f>
        <v/>
      </c>
      <c r="AU4" s="3">
        <f>AU3*Params!$B$6</f>
        <v/>
      </c>
      <c r="AV4" s="3">
        <f>AV3*Params!$B$6</f>
        <v/>
      </c>
      <c r="AW4" s="3">
        <f>AW3*Params!$B$6</f>
        <v/>
      </c>
      <c r="AX4" s="3">
        <f>AX3*Params!$B$6</f>
        <v/>
      </c>
      <c r="AY4" s="3">
        <f>AY3*Params!$B$6</f>
        <v/>
      </c>
      <c r="AZ4" s="3">
        <f>AZ3*Params!$B$6</f>
        <v/>
      </c>
      <c r="BA4" s="3">
        <f>BA3*Params!$B$6</f>
        <v/>
      </c>
      <c r="BB4" s="3">
        <f>BB3*Params!$B$6</f>
        <v/>
      </c>
      <c r="BC4" s="3">
        <f>BC3*Params!$B$6</f>
        <v/>
      </c>
      <c r="BD4" s="3">
        <f>BD3*Params!$B$6</f>
        <v/>
      </c>
      <c r="BE4" s="3">
        <f>BE3*Params!$B$6</f>
        <v/>
      </c>
      <c r="BF4" s="3">
        <f>BF3*Params!$B$6</f>
        <v/>
      </c>
      <c r="BG4" s="3">
        <f>BG3*Params!$B$6</f>
        <v/>
      </c>
      <c r="BH4" s="3">
        <f>BH3*Params!$B$6</f>
        <v/>
      </c>
      <c r="BI4" s="3">
        <f>BI3*Params!$B$6</f>
        <v/>
      </c>
      <c r="BJ4" s="3">
        <f>BJ3*Params!$B$6</f>
        <v/>
      </c>
      <c r="BK4" s="3">
        <f>BK3*Params!$B$6</f>
        <v/>
      </c>
      <c r="BL4" s="3">
        <f>BL3*Params!$B$6</f>
        <v/>
      </c>
      <c r="BM4" s="3">
        <f>BM3*Params!$B$6</f>
        <v/>
      </c>
      <c r="BN4" s="3">
        <f>BN3*Params!$B$6</f>
        <v/>
      </c>
      <c r="BO4" s="3">
        <f>BO3*Params!$B$6</f>
        <v/>
      </c>
      <c r="BP4" s="3">
        <f>BP3*Params!$B$6</f>
        <v/>
      </c>
      <c r="BQ4" s="3">
        <f>BQ3*Params!$B$6</f>
        <v/>
      </c>
      <c r="BR4" s="3">
        <f>BR3*Params!$B$6</f>
        <v/>
      </c>
      <c r="BS4" s="3">
        <f>BS3*Params!$B$6</f>
        <v/>
      </c>
      <c r="BT4" s="3">
        <f>BT3*Params!$B$6</f>
        <v/>
      </c>
      <c r="BU4" s="3">
        <f>BU3*Params!$B$6</f>
        <v/>
      </c>
      <c r="BV4" s="3">
        <f>BV3*Params!$B$6</f>
        <v/>
      </c>
    </row>
    <row r="5">
      <c r="A5" t="inlineStr">
        <is>
          <t>direct paid starts</t>
        </is>
      </c>
      <c r="B5" t="inlineStr">
        <is>
          <t>US_CA|NITRO_M</t>
        </is>
      </c>
      <c r="C5" s="3">
        <f>C3-C4</f>
        <v/>
      </c>
      <c r="D5" s="3">
        <f>D3-D4</f>
        <v/>
      </c>
      <c r="E5" s="3">
        <f>E3-E4</f>
        <v/>
      </c>
      <c r="F5" s="3">
        <f>F3-F4</f>
        <v/>
      </c>
      <c r="G5" s="3">
        <f>G3-G4</f>
        <v/>
      </c>
      <c r="H5" s="3">
        <f>H3-H4</f>
        <v/>
      </c>
      <c r="I5" s="3">
        <f>I3-I4</f>
        <v/>
      </c>
      <c r="J5" s="3">
        <f>J3-J4</f>
        <v/>
      </c>
      <c r="K5" s="3">
        <f>K3-K4</f>
        <v/>
      </c>
      <c r="L5" s="3">
        <f>L3-L4</f>
        <v/>
      </c>
      <c r="M5" s="3">
        <f>M3-M4</f>
        <v/>
      </c>
      <c r="N5" s="3">
        <f>N3-N4</f>
        <v/>
      </c>
      <c r="O5" s="3">
        <f>O3-O4</f>
        <v/>
      </c>
      <c r="P5" s="3">
        <f>P3-P4</f>
        <v/>
      </c>
      <c r="Q5" s="3">
        <f>Q3-Q4</f>
        <v/>
      </c>
      <c r="R5" s="3">
        <f>R3-R4</f>
        <v/>
      </c>
      <c r="S5" s="3">
        <f>S3-S4</f>
        <v/>
      </c>
      <c r="T5" s="3">
        <f>T3-T4</f>
        <v/>
      </c>
      <c r="U5" s="3">
        <f>U3-U4</f>
        <v/>
      </c>
      <c r="V5" s="3">
        <f>V3-V4</f>
        <v/>
      </c>
      <c r="W5" s="3">
        <f>W3-W4</f>
        <v/>
      </c>
      <c r="X5" s="3">
        <f>X3-X4</f>
        <v/>
      </c>
      <c r="Y5" s="3">
        <f>Y3-Y4</f>
        <v/>
      </c>
      <c r="Z5" s="3">
        <f>Z3-Z4</f>
        <v/>
      </c>
      <c r="AA5" s="3">
        <f>AA3-AA4</f>
        <v/>
      </c>
      <c r="AB5" s="3">
        <f>AB3-AB4</f>
        <v/>
      </c>
      <c r="AC5" s="3">
        <f>AC3-AC4</f>
        <v/>
      </c>
      <c r="AD5" s="3">
        <f>AD3-AD4</f>
        <v/>
      </c>
      <c r="AE5" s="3">
        <f>AE3-AE4</f>
        <v/>
      </c>
      <c r="AF5" s="3">
        <f>AF3-AF4</f>
        <v/>
      </c>
      <c r="AG5" s="3">
        <f>AG3-AG4</f>
        <v/>
      </c>
      <c r="AH5" s="3">
        <f>AH3-AH4</f>
        <v/>
      </c>
      <c r="AI5" s="3">
        <f>AI3-AI4</f>
        <v/>
      </c>
      <c r="AJ5" s="3">
        <f>AJ3-AJ4</f>
        <v/>
      </c>
      <c r="AK5" s="3">
        <f>AK3-AK4</f>
        <v/>
      </c>
      <c r="AL5" s="3">
        <f>AL3-AL4</f>
        <v/>
      </c>
      <c r="AM5" s="3">
        <f>AM3-AM4</f>
        <v/>
      </c>
      <c r="AN5" s="3">
        <f>AN3-AN4</f>
        <v/>
      </c>
      <c r="AO5" s="3">
        <f>AO3-AO4</f>
        <v/>
      </c>
      <c r="AP5" s="3">
        <f>AP3-AP4</f>
        <v/>
      </c>
      <c r="AQ5" s="3">
        <f>AQ3-AQ4</f>
        <v/>
      </c>
      <c r="AR5" s="3">
        <f>AR3-AR4</f>
        <v/>
      </c>
      <c r="AS5" s="3">
        <f>AS3-AS4</f>
        <v/>
      </c>
      <c r="AT5" s="3">
        <f>AT3-AT4</f>
        <v/>
      </c>
      <c r="AU5" s="3">
        <f>AU3-AU4</f>
        <v/>
      </c>
      <c r="AV5" s="3">
        <f>AV3-AV4</f>
        <v/>
      </c>
      <c r="AW5" s="3">
        <f>AW3-AW4</f>
        <v/>
      </c>
      <c r="AX5" s="3">
        <f>AX3-AX4</f>
        <v/>
      </c>
      <c r="AY5" s="3">
        <f>AY3-AY4</f>
        <v/>
      </c>
      <c r="AZ5" s="3">
        <f>AZ3-AZ4</f>
        <v/>
      </c>
      <c r="BA5" s="3">
        <f>BA3-BA4</f>
        <v/>
      </c>
      <c r="BB5" s="3">
        <f>BB3-BB4</f>
        <v/>
      </c>
      <c r="BC5" s="3">
        <f>BC3-BC4</f>
        <v/>
      </c>
      <c r="BD5" s="3">
        <f>BD3-BD4</f>
        <v/>
      </c>
      <c r="BE5" s="3">
        <f>BE3-BE4</f>
        <v/>
      </c>
      <c r="BF5" s="3">
        <f>BF3-BF4</f>
        <v/>
      </c>
      <c r="BG5" s="3">
        <f>BG3-BG4</f>
        <v/>
      </c>
      <c r="BH5" s="3">
        <f>BH3-BH4</f>
        <v/>
      </c>
      <c r="BI5" s="3">
        <f>BI3-BI4</f>
        <v/>
      </c>
      <c r="BJ5" s="3">
        <f>BJ3-BJ4</f>
        <v/>
      </c>
      <c r="BK5" s="3">
        <f>BK3-BK4</f>
        <v/>
      </c>
      <c r="BL5" s="3">
        <f>BL3-BL4</f>
        <v/>
      </c>
      <c r="BM5" s="3">
        <f>BM3-BM4</f>
        <v/>
      </c>
      <c r="BN5" s="3">
        <f>BN3-BN4</f>
        <v/>
      </c>
      <c r="BO5" s="3">
        <f>BO3-BO4</f>
        <v/>
      </c>
      <c r="BP5" s="3">
        <f>BP3-BP4</f>
        <v/>
      </c>
      <c r="BQ5" s="3">
        <f>BQ3-BQ4</f>
        <v/>
      </c>
      <c r="BR5" s="3">
        <f>BR3-BR4</f>
        <v/>
      </c>
      <c r="BS5" s="3">
        <f>BS3-BS4</f>
        <v/>
      </c>
      <c r="BT5" s="3">
        <f>BT3-BT4</f>
        <v/>
      </c>
      <c r="BU5" s="3">
        <f>BU3-BU4</f>
        <v/>
      </c>
      <c r="BV5" s="3">
        <f>BV3-BV4</f>
        <v/>
      </c>
    </row>
    <row r="6">
      <c r="A6" t="inlineStr">
        <is>
          <t>trials ending</t>
        </is>
      </c>
      <c r="B6" t="inlineStr">
        <is>
          <t>US_CA|NITRO_M</t>
        </is>
      </c>
      <c r="C6" s="3">
        <f>IF(C$2&gt;=Params!$B$7,INDEX($C$4:$BV$4,C$2-Params!$B$7+1),0)</f>
        <v/>
      </c>
      <c r="D6" s="3">
        <f>IF(D$2&gt;=Params!$B$7,INDEX($C$4:$BV$4,D$2-Params!$B$7+1),0)</f>
        <v/>
      </c>
      <c r="E6" s="3">
        <f>IF(E$2&gt;=Params!$B$7,INDEX($C$4:$BV$4,E$2-Params!$B$7+1),0)</f>
        <v/>
      </c>
      <c r="F6" s="3">
        <f>IF(F$2&gt;=Params!$B$7,INDEX($C$4:$BV$4,F$2-Params!$B$7+1),0)</f>
        <v/>
      </c>
      <c r="G6" s="3">
        <f>IF(G$2&gt;=Params!$B$7,INDEX($C$4:$BV$4,G$2-Params!$B$7+1),0)</f>
        <v/>
      </c>
      <c r="H6" s="3">
        <f>IF(H$2&gt;=Params!$B$7,INDEX($C$4:$BV$4,H$2-Params!$B$7+1),0)</f>
        <v/>
      </c>
      <c r="I6" s="3">
        <f>IF(I$2&gt;=Params!$B$7,INDEX($C$4:$BV$4,I$2-Params!$B$7+1),0)</f>
        <v/>
      </c>
      <c r="J6" s="3">
        <f>IF(J$2&gt;=Params!$B$7,INDEX($C$4:$BV$4,J$2-Params!$B$7+1),0)</f>
        <v/>
      </c>
      <c r="K6" s="3">
        <f>IF(K$2&gt;=Params!$B$7,INDEX($C$4:$BV$4,K$2-Params!$B$7+1),0)</f>
        <v/>
      </c>
      <c r="L6" s="3">
        <f>IF(L$2&gt;=Params!$B$7,INDEX($C$4:$BV$4,L$2-Params!$B$7+1),0)</f>
        <v/>
      </c>
      <c r="M6" s="3">
        <f>IF(M$2&gt;=Params!$B$7,INDEX($C$4:$BV$4,M$2-Params!$B$7+1),0)</f>
        <v/>
      </c>
      <c r="N6" s="3">
        <f>IF(N$2&gt;=Params!$B$7,INDEX($C$4:$BV$4,N$2-Params!$B$7+1),0)</f>
        <v/>
      </c>
      <c r="O6" s="3">
        <f>IF(O$2&gt;=Params!$B$7,INDEX($C$4:$BV$4,O$2-Params!$B$7+1),0)</f>
        <v/>
      </c>
      <c r="P6" s="3">
        <f>IF(P$2&gt;=Params!$B$7,INDEX($C$4:$BV$4,P$2-Params!$B$7+1),0)</f>
        <v/>
      </c>
      <c r="Q6" s="3">
        <f>IF(Q$2&gt;=Params!$B$7,INDEX($C$4:$BV$4,Q$2-Params!$B$7+1),0)</f>
        <v/>
      </c>
      <c r="R6" s="3">
        <f>IF(R$2&gt;=Params!$B$7,INDEX($C$4:$BV$4,R$2-Params!$B$7+1),0)</f>
        <v/>
      </c>
      <c r="S6" s="3">
        <f>IF(S$2&gt;=Params!$B$7,INDEX($C$4:$BV$4,S$2-Params!$B$7+1),0)</f>
        <v/>
      </c>
      <c r="T6" s="3">
        <f>IF(T$2&gt;=Params!$B$7,INDEX($C$4:$BV$4,T$2-Params!$B$7+1),0)</f>
        <v/>
      </c>
      <c r="U6" s="3">
        <f>IF(U$2&gt;=Params!$B$7,INDEX($C$4:$BV$4,U$2-Params!$B$7+1),0)</f>
        <v/>
      </c>
      <c r="V6" s="3">
        <f>IF(V$2&gt;=Params!$B$7,INDEX($C$4:$BV$4,V$2-Params!$B$7+1),0)</f>
        <v/>
      </c>
      <c r="W6" s="3">
        <f>IF(W$2&gt;=Params!$B$7,INDEX($C$4:$BV$4,W$2-Params!$B$7+1),0)</f>
        <v/>
      </c>
      <c r="X6" s="3">
        <f>IF(X$2&gt;=Params!$B$7,INDEX($C$4:$BV$4,X$2-Params!$B$7+1),0)</f>
        <v/>
      </c>
      <c r="Y6" s="3">
        <f>IF(Y$2&gt;=Params!$B$7,INDEX($C$4:$BV$4,Y$2-Params!$B$7+1),0)</f>
        <v/>
      </c>
      <c r="Z6" s="3">
        <f>IF(Z$2&gt;=Params!$B$7,INDEX($C$4:$BV$4,Z$2-Params!$B$7+1),0)</f>
        <v/>
      </c>
      <c r="AA6" s="3">
        <f>IF(AA$2&gt;=Params!$B$7,INDEX($C$4:$BV$4,AA$2-Params!$B$7+1),0)</f>
        <v/>
      </c>
      <c r="AB6" s="3">
        <f>IF(AB$2&gt;=Params!$B$7,INDEX($C$4:$BV$4,AB$2-Params!$B$7+1),0)</f>
        <v/>
      </c>
      <c r="AC6" s="3">
        <f>IF(AC$2&gt;=Params!$B$7,INDEX($C$4:$BV$4,AC$2-Params!$B$7+1),0)</f>
        <v/>
      </c>
      <c r="AD6" s="3">
        <f>IF(AD$2&gt;=Params!$B$7,INDEX($C$4:$BV$4,AD$2-Params!$B$7+1),0)</f>
        <v/>
      </c>
      <c r="AE6" s="3">
        <f>IF(AE$2&gt;=Params!$B$7,INDEX($C$4:$BV$4,AE$2-Params!$B$7+1),0)</f>
        <v/>
      </c>
      <c r="AF6" s="3">
        <f>IF(AF$2&gt;=Params!$B$7,INDEX($C$4:$BV$4,AF$2-Params!$B$7+1),0)</f>
        <v/>
      </c>
      <c r="AG6" s="3">
        <f>IF(AG$2&gt;=Params!$B$7,INDEX($C$4:$BV$4,AG$2-Params!$B$7+1),0)</f>
        <v/>
      </c>
      <c r="AH6" s="3">
        <f>IF(AH$2&gt;=Params!$B$7,INDEX($C$4:$BV$4,AH$2-Params!$B$7+1),0)</f>
        <v/>
      </c>
      <c r="AI6" s="3">
        <f>IF(AI$2&gt;=Params!$B$7,INDEX($C$4:$BV$4,AI$2-Params!$B$7+1),0)</f>
        <v/>
      </c>
      <c r="AJ6" s="3">
        <f>IF(AJ$2&gt;=Params!$B$7,INDEX($C$4:$BV$4,AJ$2-Params!$B$7+1),0)</f>
        <v/>
      </c>
      <c r="AK6" s="3">
        <f>IF(AK$2&gt;=Params!$B$7,INDEX($C$4:$BV$4,AK$2-Params!$B$7+1),0)</f>
        <v/>
      </c>
      <c r="AL6" s="3">
        <f>IF(AL$2&gt;=Params!$B$7,INDEX($C$4:$BV$4,AL$2-Params!$B$7+1),0)</f>
        <v/>
      </c>
      <c r="AM6" s="3">
        <f>IF(AM$2&gt;=Params!$B$7,INDEX($C$4:$BV$4,AM$2-Params!$B$7+1),0)</f>
        <v/>
      </c>
      <c r="AN6" s="3">
        <f>IF(AN$2&gt;=Params!$B$7,INDEX($C$4:$BV$4,AN$2-Params!$B$7+1),0)</f>
        <v/>
      </c>
      <c r="AO6" s="3">
        <f>IF(AO$2&gt;=Params!$B$7,INDEX($C$4:$BV$4,AO$2-Params!$B$7+1),0)</f>
        <v/>
      </c>
      <c r="AP6" s="3">
        <f>IF(AP$2&gt;=Params!$B$7,INDEX($C$4:$BV$4,AP$2-Params!$B$7+1),0)</f>
        <v/>
      </c>
      <c r="AQ6" s="3">
        <f>IF(AQ$2&gt;=Params!$B$7,INDEX($C$4:$BV$4,AQ$2-Params!$B$7+1),0)</f>
        <v/>
      </c>
      <c r="AR6" s="3">
        <f>IF(AR$2&gt;=Params!$B$7,INDEX($C$4:$BV$4,AR$2-Params!$B$7+1),0)</f>
        <v/>
      </c>
      <c r="AS6" s="3">
        <f>IF(AS$2&gt;=Params!$B$7,INDEX($C$4:$BV$4,AS$2-Params!$B$7+1),0)</f>
        <v/>
      </c>
      <c r="AT6" s="3">
        <f>IF(AT$2&gt;=Params!$B$7,INDEX($C$4:$BV$4,AT$2-Params!$B$7+1),0)</f>
        <v/>
      </c>
      <c r="AU6" s="3">
        <f>IF(AU$2&gt;=Params!$B$7,INDEX($C$4:$BV$4,AU$2-Params!$B$7+1),0)</f>
        <v/>
      </c>
      <c r="AV6" s="3">
        <f>IF(AV$2&gt;=Params!$B$7,INDEX($C$4:$BV$4,AV$2-Params!$B$7+1),0)</f>
        <v/>
      </c>
      <c r="AW6" s="3">
        <f>IF(AW$2&gt;=Params!$B$7,INDEX($C$4:$BV$4,AW$2-Params!$B$7+1),0)</f>
        <v/>
      </c>
      <c r="AX6" s="3">
        <f>IF(AX$2&gt;=Params!$B$7,INDEX($C$4:$BV$4,AX$2-Params!$B$7+1),0)</f>
        <v/>
      </c>
      <c r="AY6" s="3">
        <f>IF(AY$2&gt;=Params!$B$7,INDEX($C$4:$BV$4,AY$2-Params!$B$7+1),0)</f>
        <v/>
      </c>
      <c r="AZ6" s="3">
        <f>IF(AZ$2&gt;=Params!$B$7,INDEX($C$4:$BV$4,AZ$2-Params!$B$7+1),0)</f>
        <v/>
      </c>
      <c r="BA6" s="3">
        <f>IF(BA$2&gt;=Params!$B$7,INDEX($C$4:$BV$4,BA$2-Params!$B$7+1),0)</f>
        <v/>
      </c>
      <c r="BB6" s="3">
        <f>IF(BB$2&gt;=Params!$B$7,INDEX($C$4:$BV$4,BB$2-Params!$B$7+1),0)</f>
        <v/>
      </c>
      <c r="BC6" s="3">
        <f>IF(BC$2&gt;=Params!$B$7,INDEX($C$4:$BV$4,BC$2-Params!$B$7+1),0)</f>
        <v/>
      </c>
      <c r="BD6" s="3">
        <f>IF(BD$2&gt;=Params!$B$7,INDEX($C$4:$BV$4,BD$2-Params!$B$7+1),0)</f>
        <v/>
      </c>
      <c r="BE6" s="3">
        <f>IF(BE$2&gt;=Params!$B$7,INDEX($C$4:$BV$4,BE$2-Params!$B$7+1),0)</f>
        <v/>
      </c>
      <c r="BF6" s="3">
        <f>IF(BF$2&gt;=Params!$B$7,INDEX($C$4:$BV$4,BF$2-Params!$B$7+1),0)</f>
        <v/>
      </c>
      <c r="BG6" s="3">
        <f>IF(BG$2&gt;=Params!$B$7,INDEX($C$4:$BV$4,BG$2-Params!$B$7+1),0)</f>
        <v/>
      </c>
      <c r="BH6" s="3">
        <f>IF(BH$2&gt;=Params!$B$7,INDEX($C$4:$BV$4,BH$2-Params!$B$7+1),0)</f>
        <v/>
      </c>
      <c r="BI6" s="3">
        <f>IF(BI$2&gt;=Params!$B$7,INDEX($C$4:$BV$4,BI$2-Params!$B$7+1),0)</f>
        <v/>
      </c>
      <c r="BJ6" s="3">
        <f>IF(BJ$2&gt;=Params!$B$7,INDEX($C$4:$BV$4,BJ$2-Params!$B$7+1),0)</f>
        <v/>
      </c>
      <c r="BK6" s="3">
        <f>IF(BK$2&gt;=Params!$B$7,INDEX($C$4:$BV$4,BK$2-Params!$B$7+1),0)</f>
        <v/>
      </c>
      <c r="BL6" s="3">
        <f>IF(BL$2&gt;=Params!$B$7,INDEX($C$4:$BV$4,BL$2-Params!$B$7+1),0)</f>
        <v/>
      </c>
      <c r="BM6" s="3">
        <f>IF(BM$2&gt;=Params!$B$7,INDEX($C$4:$BV$4,BM$2-Params!$B$7+1),0)</f>
        <v/>
      </c>
      <c r="BN6" s="3">
        <f>IF(BN$2&gt;=Params!$B$7,INDEX($C$4:$BV$4,BN$2-Params!$B$7+1),0)</f>
        <v/>
      </c>
      <c r="BO6" s="3">
        <f>IF(BO$2&gt;=Params!$B$7,INDEX($C$4:$BV$4,BO$2-Params!$B$7+1),0)</f>
        <v/>
      </c>
      <c r="BP6" s="3">
        <f>IF(BP$2&gt;=Params!$B$7,INDEX($C$4:$BV$4,BP$2-Params!$B$7+1),0)</f>
        <v/>
      </c>
      <c r="BQ6" s="3">
        <f>IF(BQ$2&gt;=Params!$B$7,INDEX($C$4:$BV$4,BQ$2-Params!$B$7+1),0)</f>
        <v/>
      </c>
      <c r="BR6" s="3">
        <f>IF(BR$2&gt;=Params!$B$7,INDEX($C$4:$BV$4,BR$2-Params!$B$7+1),0)</f>
        <v/>
      </c>
      <c r="BS6" s="3">
        <f>IF(BS$2&gt;=Params!$B$7,INDEX($C$4:$BV$4,BS$2-Params!$B$7+1),0)</f>
        <v/>
      </c>
      <c r="BT6" s="3">
        <f>IF(BT$2&gt;=Params!$B$7,INDEX($C$4:$BV$4,BT$2-Params!$B$7+1),0)</f>
        <v/>
      </c>
      <c r="BU6" s="3">
        <f>IF(BU$2&gt;=Params!$B$7,INDEX($C$4:$BV$4,BU$2-Params!$B$7+1),0)</f>
        <v/>
      </c>
      <c r="BV6" s="3">
        <f>IF(BV$2&gt;=Params!$B$7,INDEX($C$4:$BV$4,BV$2-Params!$B$7+1),0)</f>
        <v/>
      </c>
    </row>
    <row r="7">
      <c r="A7" t="inlineStr">
        <is>
          <t>trials converted</t>
        </is>
      </c>
      <c r="B7" t="inlineStr">
        <is>
          <t>US_CA|NITRO_M</t>
        </is>
      </c>
      <c r="C7" s="3">
        <f>C6*Params!$B$8</f>
        <v/>
      </c>
      <c r="D7" s="3">
        <f>D6*Params!$B$8</f>
        <v/>
      </c>
      <c r="E7" s="3">
        <f>E6*Params!$B$8</f>
        <v/>
      </c>
      <c r="F7" s="3">
        <f>F6*Params!$B$8</f>
        <v/>
      </c>
      <c r="G7" s="3">
        <f>G6*Params!$B$8</f>
        <v/>
      </c>
      <c r="H7" s="3">
        <f>H6*Params!$B$8</f>
        <v/>
      </c>
      <c r="I7" s="3">
        <f>I6*Params!$B$8</f>
        <v/>
      </c>
      <c r="J7" s="3">
        <f>J6*Params!$B$8</f>
        <v/>
      </c>
      <c r="K7" s="3">
        <f>K6*Params!$B$8</f>
        <v/>
      </c>
      <c r="L7" s="3">
        <f>L6*Params!$B$8</f>
        <v/>
      </c>
      <c r="M7" s="3">
        <f>M6*Params!$B$8</f>
        <v/>
      </c>
      <c r="N7" s="3">
        <f>N6*Params!$B$8</f>
        <v/>
      </c>
      <c r="O7" s="3">
        <f>O6*Params!$B$8</f>
        <v/>
      </c>
      <c r="P7" s="3">
        <f>P6*Params!$B$8</f>
        <v/>
      </c>
      <c r="Q7" s="3">
        <f>Q6*Params!$B$8</f>
        <v/>
      </c>
      <c r="R7" s="3">
        <f>R6*Params!$B$8</f>
        <v/>
      </c>
      <c r="S7" s="3">
        <f>S6*Params!$B$8</f>
        <v/>
      </c>
      <c r="T7" s="3">
        <f>T6*Params!$B$8</f>
        <v/>
      </c>
      <c r="U7" s="3">
        <f>U6*Params!$B$8</f>
        <v/>
      </c>
      <c r="V7" s="3">
        <f>V6*Params!$B$8</f>
        <v/>
      </c>
      <c r="W7" s="3">
        <f>W6*Params!$B$8</f>
        <v/>
      </c>
      <c r="X7" s="3">
        <f>X6*Params!$B$8</f>
        <v/>
      </c>
      <c r="Y7" s="3">
        <f>Y6*Params!$B$8</f>
        <v/>
      </c>
      <c r="Z7" s="3">
        <f>Z6*Params!$B$8</f>
        <v/>
      </c>
      <c r="AA7" s="3">
        <f>AA6*Params!$B$8</f>
        <v/>
      </c>
      <c r="AB7" s="3">
        <f>AB6*Params!$B$8</f>
        <v/>
      </c>
      <c r="AC7" s="3">
        <f>AC6*Params!$B$8</f>
        <v/>
      </c>
      <c r="AD7" s="3">
        <f>AD6*Params!$B$8</f>
        <v/>
      </c>
      <c r="AE7" s="3">
        <f>AE6*Params!$B$8</f>
        <v/>
      </c>
      <c r="AF7" s="3">
        <f>AF6*Params!$B$8</f>
        <v/>
      </c>
      <c r="AG7" s="3">
        <f>AG6*Params!$B$8</f>
        <v/>
      </c>
      <c r="AH7" s="3">
        <f>AH6*Params!$B$8</f>
        <v/>
      </c>
      <c r="AI7" s="3">
        <f>AI6*Params!$B$8</f>
        <v/>
      </c>
      <c r="AJ7" s="3">
        <f>AJ6*Params!$B$8</f>
        <v/>
      </c>
      <c r="AK7" s="3">
        <f>AK6*Params!$B$8</f>
        <v/>
      </c>
      <c r="AL7" s="3">
        <f>AL6*Params!$B$8</f>
        <v/>
      </c>
      <c r="AM7" s="3">
        <f>AM6*Params!$B$8</f>
        <v/>
      </c>
      <c r="AN7" s="3">
        <f>AN6*Params!$B$8</f>
        <v/>
      </c>
      <c r="AO7" s="3">
        <f>AO6*Params!$B$8</f>
        <v/>
      </c>
      <c r="AP7" s="3">
        <f>AP6*Params!$B$8</f>
        <v/>
      </c>
      <c r="AQ7" s="3">
        <f>AQ6*Params!$B$8</f>
        <v/>
      </c>
      <c r="AR7" s="3">
        <f>AR6*Params!$B$8</f>
        <v/>
      </c>
      <c r="AS7" s="3">
        <f>AS6*Params!$B$8</f>
        <v/>
      </c>
      <c r="AT7" s="3">
        <f>AT6*Params!$B$8</f>
        <v/>
      </c>
      <c r="AU7" s="3">
        <f>AU6*Params!$B$8</f>
        <v/>
      </c>
      <c r="AV7" s="3">
        <f>AV6*Params!$B$8</f>
        <v/>
      </c>
      <c r="AW7" s="3">
        <f>AW6*Params!$B$8</f>
        <v/>
      </c>
      <c r="AX7" s="3">
        <f>AX6*Params!$B$8</f>
        <v/>
      </c>
      <c r="AY7" s="3">
        <f>AY6*Params!$B$8</f>
        <v/>
      </c>
      <c r="AZ7" s="3">
        <f>AZ6*Params!$B$8</f>
        <v/>
      </c>
      <c r="BA7" s="3">
        <f>BA6*Params!$B$8</f>
        <v/>
      </c>
      <c r="BB7" s="3">
        <f>BB6*Params!$B$8</f>
        <v/>
      </c>
      <c r="BC7" s="3">
        <f>BC6*Params!$B$8</f>
        <v/>
      </c>
      <c r="BD7" s="3">
        <f>BD6*Params!$B$8</f>
        <v/>
      </c>
      <c r="BE7" s="3">
        <f>BE6*Params!$B$8</f>
        <v/>
      </c>
      <c r="BF7" s="3">
        <f>BF6*Params!$B$8</f>
        <v/>
      </c>
      <c r="BG7" s="3">
        <f>BG6*Params!$B$8</f>
        <v/>
      </c>
      <c r="BH7" s="3">
        <f>BH6*Params!$B$8</f>
        <v/>
      </c>
      <c r="BI7" s="3">
        <f>BI6*Params!$B$8</f>
        <v/>
      </c>
      <c r="BJ7" s="3">
        <f>BJ6*Params!$B$8</f>
        <v/>
      </c>
      <c r="BK7" s="3">
        <f>BK6*Params!$B$8</f>
        <v/>
      </c>
      <c r="BL7" s="3">
        <f>BL6*Params!$B$8</f>
        <v/>
      </c>
      <c r="BM7" s="3">
        <f>BM6*Params!$B$8</f>
        <v/>
      </c>
      <c r="BN7" s="3">
        <f>BN6*Params!$B$8</f>
        <v/>
      </c>
      <c r="BO7" s="3">
        <f>BO6*Params!$B$8</f>
        <v/>
      </c>
      <c r="BP7" s="3">
        <f>BP6*Params!$B$8</f>
        <v/>
      </c>
      <c r="BQ7" s="3">
        <f>BQ6*Params!$B$8</f>
        <v/>
      </c>
      <c r="BR7" s="3">
        <f>BR6*Params!$B$8</f>
        <v/>
      </c>
      <c r="BS7" s="3">
        <f>BS6*Params!$B$8</f>
        <v/>
      </c>
      <c r="BT7" s="3">
        <f>BT6*Params!$B$8</f>
        <v/>
      </c>
      <c r="BU7" s="3">
        <f>BU6*Params!$B$8</f>
        <v/>
      </c>
      <c r="BV7" s="3">
        <f>BV6*Params!$B$8</f>
        <v/>
      </c>
    </row>
    <row r="8">
      <c r="A8" t="inlineStr">
        <is>
          <t>trials lost</t>
        </is>
      </c>
      <c r="B8" t="inlineStr">
        <is>
          <t>US_CA|NITRO_M</t>
        </is>
      </c>
      <c r="C8" s="3">
        <f>C6-C7</f>
        <v/>
      </c>
      <c r="D8" s="3">
        <f>D6-D7</f>
        <v/>
      </c>
      <c r="E8" s="3">
        <f>E6-E7</f>
        <v/>
      </c>
      <c r="F8" s="3">
        <f>F6-F7</f>
        <v/>
      </c>
      <c r="G8" s="3">
        <f>G6-G7</f>
        <v/>
      </c>
      <c r="H8" s="3">
        <f>H6-H7</f>
        <v/>
      </c>
      <c r="I8" s="3">
        <f>I6-I7</f>
        <v/>
      </c>
      <c r="J8" s="3">
        <f>J6-J7</f>
        <v/>
      </c>
      <c r="K8" s="3">
        <f>K6-K7</f>
        <v/>
      </c>
      <c r="L8" s="3">
        <f>L6-L7</f>
        <v/>
      </c>
      <c r="M8" s="3">
        <f>M6-M7</f>
        <v/>
      </c>
      <c r="N8" s="3">
        <f>N6-N7</f>
        <v/>
      </c>
      <c r="O8" s="3">
        <f>O6-O7</f>
        <v/>
      </c>
      <c r="P8" s="3">
        <f>P6-P7</f>
        <v/>
      </c>
      <c r="Q8" s="3">
        <f>Q6-Q7</f>
        <v/>
      </c>
      <c r="R8" s="3">
        <f>R6-R7</f>
        <v/>
      </c>
      <c r="S8" s="3">
        <f>S6-S7</f>
        <v/>
      </c>
      <c r="T8" s="3">
        <f>T6-T7</f>
        <v/>
      </c>
      <c r="U8" s="3">
        <f>U6-U7</f>
        <v/>
      </c>
      <c r="V8" s="3">
        <f>V6-V7</f>
        <v/>
      </c>
      <c r="W8" s="3">
        <f>W6-W7</f>
        <v/>
      </c>
      <c r="X8" s="3">
        <f>X6-X7</f>
        <v/>
      </c>
      <c r="Y8" s="3">
        <f>Y6-Y7</f>
        <v/>
      </c>
      <c r="Z8" s="3">
        <f>Z6-Z7</f>
        <v/>
      </c>
      <c r="AA8" s="3">
        <f>AA6-AA7</f>
        <v/>
      </c>
      <c r="AB8" s="3">
        <f>AB6-AB7</f>
        <v/>
      </c>
      <c r="AC8" s="3">
        <f>AC6-AC7</f>
        <v/>
      </c>
      <c r="AD8" s="3">
        <f>AD6-AD7</f>
        <v/>
      </c>
      <c r="AE8" s="3">
        <f>AE6-AE7</f>
        <v/>
      </c>
      <c r="AF8" s="3">
        <f>AF6-AF7</f>
        <v/>
      </c>
      <c r="AG8" s="3">
        <f>AG6-AG7</f>
        <v/>
      </c>
      <c r="AH8" s="3">
        <f>AH6-AH7</f>
        <v/>
      </c>
      <c r="AI8" s="3">
        <f>AI6-AI7</f>
        <v/>
      </c>
      <c r="AJ8" s="3">
        <f>AJ6-AJ7</f>
        <v/>
      </c>
      <c r="AK8" s="3">
        <f>AK6-AK7</f>
        <v/>
      </c>
      <c r="AL8" s="3">
        <f>AL6-AL7</f>
        <v/>
      </c>
      <c r="AM8" s="3">
        <f>AM6-AM7</f>
        <v/>
      </c>
      <c r="AN8" s="3">
        <f>AN6-AN7</f>
        <v/>
      </c>
      <c r="AO8" s="3">
        <f>AO6-AO7</f>
        <v/>
      </c>
      <c r="AP8" s="3">
        <f>AP6-AP7</f>
        <v/>
      </c>
      <c r="AQ8" s="3">
        <f>AQ6-AQ7</f>
        <v/>
      </c>
      <c r="AR8" s="3">
        <f>AR6-AR7</f>
        <v/>
      </c>
      <c r="AS8" s="3">
        <f>AS6-AS7</f>
        <v/>
      </c>
      <c r="AT8" s="3">
        <f>AT6-AT7</f>
        <v/>
      </c>
      <c r="AU8" s="3">
        <f>AU6-AU7</f>
        <v/>
      </c>
      <c r="AV8" s="3">
        <f>AV6-AV7</f>
        <v/>
      </c>
      <c r="AW8" s="3">
        <f>AW6-AW7</f>
        <v/>
      </c>
      <c r="AX8" s="3">
        <f>AX6-AX7</f>
        <v/>
      </c>
      <c r="AY8" s="3">
        <f>AY6-AY7</f>
        <v/>
      </c>
      <c r="AZ8" s="3">
        <f>AZ6-AZ7</f>
        <v/>
      </c>
      <c r="BA8" s="3">
        <f>BA6-BA7</f>
        <v/>
      </c>
      <c r="BB8" s="3">
        <f>BB6-BB7</f>
        <v/>
      </c>
      <c r="BC8" s="3">
        <f>BC6-BC7</f>
        <v/>
      </c>
      <c r="BD8" s="3">
        <f>BD6-BD7</f>
        <v/>
      </c>
      <c r="BE8" s="3">
        <f>BE6-BE7</f>
        <v/>
      </c>
      <c r="BF8" s="3">
        <f>BF6-BF7</f>
        <v/>
      </c>
      <c r="BG8" s="3">
        <f>BG6-BG7</f>
        <v/>
      </c>
      <c r="BH8" s="3">
        <f>BH6-BH7</f>
        <v/>
      </c>
      <c r="BI8" s="3">
        <f>BI6-BI7</f>
        <v/>
      </c>
      <c r="BJ8" s="3">
        <f>BJ6-BJ7</f>
        <v/>
      </c>
      <c r="BK8" s="3">
        <f>BK6-BK7</f>
        <v/>
      </c>
      <c r="BL8" s="3">
        <f>BL6-BL7</f>
        <v/>
      </c>
      <c r="BM8" s="3">
        <f>BM6-BM7</f>
        <v/>
      </c>
      <c r="BN8" s="3">
        <f>BN6-BN7</f>
        <v/>
      </c>
      <c r="BO8" s="3">
        <f>BO6-BO7</f>
        <v/>
      </c>
      <c r="BP8" s="3">
        <f>BP6-BP7</f>
        <v/>
      </c>
      <c r="BQ8" s="3">
        <f>BQ6-BQ7</f>
        <v/>
      </c>
      <c r="BR8" s="3">
        <f>BR6-BR7</f>
        <v/>
      </c>
      <c r="BS8" s="3">
        <f>BS6-BS7</f>
        <v/>
      </c>
      <c r="BT8" s="3">
        <f>BT6-BT7</f>
        <v/>
      </c>
      <c r="BU8" s="3">
        <f>BU6-BU7</f>
        <v/>
      </c>
      <c r="BV8" s="3">
        <f>BV6-BV7</f>
        <v/>
      </c>
    </row>
    <row r="9">
      <c r="A9" t="inlineStr">
        <is>
          <t>cum trial starts</t>
        </is>
      </c>
      <c r="B9" t="inlineStr">
        <is>
          <t>US_CA|NITRO_M</t>
        </is>
      </c>
      <c r="C9" s="3">
        <f>SUM($C4:C4)</f>
        <v/>
      </c>
      <c r="D9" s="3">
        <f>SUM($C4:D4)</f>
        <v/>
      </c>
      <c r="E9" s="3">
        <f>SUM($C4:E4)</f>
        <v/>
      </c>
      <c r="F9" s="3">
        <f>SUM($C4:F4)</f>
        <v/>
      </c>
      <c r="G9" s="3">
        <f>SUM($C4:G4)</f>
        <v/>
      </c>
      <c r="H9" s="3">
        <f>SUM($C4:H4)</f>
        <v/>
      </c>
      <c r="I9" s="3">
        <f>SUM($C4:I4)</f>
        <v/>
      </c>
      <c r="J9" s="3">
        <f>SUM($C4:J4)</f>
        <v/>
      </c>
      <c r="K9" s="3">
        <f>SUM($C4:K4)</f>
        <v/>
      </c>
      <c r="L9" s="3">
        <f>SUM($C4:L4)</f>
        <v/>
      </c>
      <c r="M9" s="3">
        <f>SUM($C4:M4)</f>
        <v/>
      </c>
      <c r="N9" s="3">
        <f>SUM($C4:N4)</f>
        <v/>
      </c>
      <c r="O9" s="3">
        <f>SUM($C4:O4)</f>
        <v/>
      </c>
      <c r="P9" s="3">
        <f>SUM($C4:P4)</f>
        <v/>
      </c>
      <c r="Q9" s="3">
        <f>SUM($C4:Q4)</f>
        <v/>
      </c>
      <c r="R9" s="3">
        <f>SUM($C4:R4)</f>
        <v/>
      </c>
      <c r="S9" s="3">
        <f>SUM($C4:S4)</f>
        <v/>
      </c>
      <c r="T9" s="3">
        <f>SUM($C4:T4)</f>
        <v/>
      </c>
      <c r="U9" s="3">
        <f>SUM($C4:U4)</f>
        <v/>
      </c>
      <c r="V9" s="3">
        <f>SUM($C4:V4)</f>
        <v/>
      </c>
      <c r="W9" s="3">
        <f>SUM($C4:W4)</f>
        <v/>
      </c>
      <c r="X9" s="3">
        <f>SUM($C4:X4)</f>
        <v/>
      </c>
      <c r="Y9" s="3">
        <f>SUM($C4:Y4)</f>
        <v/>
      </c>
      <c r="Z9" s="3">
        <f>SUM($C4:Z4)</f>
        <v/>
      </c>
      <c r="AA9" s="3">
        <f>SUM($C4:AA4)</f>
        <v/>
      </c>
      <c r="AB9" s="3">
        <f>SUM($C4:AB4)</f>
        <v/>
      </c>
      <c r="AC9" s="3">
        <f>SUM($C4:AC4)</f>
        <v/>
      </c>
      <c r="AD9" s="3">
        <f>SUM($C4:AD4)</f>
        <v/>
      </c>
      <c r="AE9" s="3">
        <f>SUM($C4:AE4)</f>
        <v/>
      </c>
      <c r="AF9" s="3">
        <f>SUM($C4:AF4)</f>
        <v/>
      </c>
      <c r="AG9" s="3">
        <f>SUM($C4:AG4)</f>
        <v/>
      </c>
      <c r="AH9" s="3">
        <f>SUM($C4:AH4)</f>
        <v/>
      </c>
      <c r="AI9" s="3">
        <f>SUM($C4:AI4)</f>
        <v/>
      </c>
      <c r="AJ9" s="3">
        <f>SUM($C4:AJ4)</f>
        <v/>
      </c>
      <c r="AK9" s="3">
        <f>SUM($C4:AK4)</f>
        <v/>
      </c>
      <c r="AL9" s="3">
        <f>SUM($C4:AL4)</f>
        <v/>
      </c>
      <c r="AM9" s="3">
        <f>SUM($C4:AM4)</f>
        <v/>
      </c>
      <c r="AN9" s="3">
        <f>SUM($C4:AN4)</f>
        <v/>
      </c>
      <c r="AO9" s="3">
        <f>SUM($C4:AO4)</f>
        <v/>
      </c>
      <c r="AP9" s="3">
        <f>SUM($C4:AP4)</f>
        <v/>
      </c>
      <c r="AQ9" s="3">
        <f>SUM($C4:AQ4)</f>
        <v/>
      </c>
      <c r="AR9" s="3">
        <f>SUM($C4:AR4)</f>
        <v/>
      </c>
      <c r="AS9" s="3">
        <f>SUM($C4:AS4)</f>
        <v/>
      </c>
      <c r="AT9" s="3">
        <f>SUM($C4:AT4)</f>
        <v/>
      </c>
      <c r="AU9" s="3">
        <f>SUM($C4:AU4)</f>
        <v/>
      </c>
      <c r="AV9" s="3">
        <f>SUM($C4:AV4)</f>
        <v/>
      </c>
      <c r="AW9" s="3">
        <f>SUM($C4:AW4)</f>
        <v/>
      </c>
      <c r="AX9" s="3">
        <f>SUM($C4:AX4)</f>
        <v/>
      </c>
      <c r="AY9" s="3">
        <f>SUM($C4:AY4)</f>
        <v/>
      </c>
      <c r="AZ9" s="3">
        <f>SUM($C4:AZ4)</f>
        <v/>
      </c>
      <c r="BA9" s="3">
        <f>SUM($C4:BA4)</f>
        <v/>
      </c>
      <c r="BB9" s="3">
        <f>SUM($C4:BB4)</f>
        <v/>
      </c>
      <c r="BC9" s="3">
        <f>SUM($C4:BC4)</f>
        <v/>
      </c>
      <c r="BD9" s="3">
        <f>SUM($C4:BD4)</f>
        <v/>
      </c>
      <c r="BE9" s="3">
        <f>SUM($C4:BE4)</f>
        <v/>
      </c>
      <c r="BF9" s="3">
        <f>SUM($C4:BF4)</f>
        <v/>
      </c>
      <c r="BG9" s="3">
        <f>SUM($C4:BG4)</f>
        <v/>
      </c>
      <c r="BH9" s="3">
        <f>SUM($C4:BH4)</f>
        <v/>
      </c>
      <c r="BI9" s="3">
        <f>SUM($C4:BI4)</f>
        <v/>
      </c>
      <c r="BJ9" s="3">
        <f>SUM($C4:BJ4)</f>
        <v/>
      </c>
      <c r="BK9" s="3">
        <f>SUM($C4:BK4)</f>
        <v/>
      </c>
      <c r="BL9" s="3">
        <f>SUM($C4:BL4)</f>
        <v/>
      </c>
      <c r="BM9" s="3">
        <f>SUM($C4:BM4)</f>
        <v/>
      </c>
      <c r="BN9" s="3">
        <f>SUM($C4:BN4)</f>
        <v/>
      </c>
      <c r="BO9" s="3">
        <f>SUM($C4:BO4)</f>
        <v/>
      </c>
      <c r="BP9" s="3">
        <f>SUM($C4:BP4)</f>
        <v/>
      </c>
      <c r="BQ9" s="3">
        <f>SUM($C4:BQ4)</f>
        <v/>
      </c>
      <c r="BR9" s="3">
        <f>SUM($C4:BR4)</f>
        <v/>
      </c>
      <c r="BS9" s="3">
        <f>SUM($C4:BS4)</f>
        <v/>
      </c>
      <c r="BT9" s="3">
        <f>SUM($C4:BT4)</f>
        <v/>
      </c>
      <c r="BU9" s="3">
        <f>SUM($C4:BU4)</f>
        <v/>
      </c>
      <c r="BV9" s="3">
        <f>SUM($C4:BV4)</f>
        <v/>
      </c>
    </row>
    <row r="10">
      <c r="A10" t="inlineStr">
        <is>
          <t>cum trials ending</t>
        </is>
      </c>
      <c r="B10" t="inlineStr">
        <is>
          <t>US_CA|NITRO_M</t>
        </is>
      </c>
      <c r="C10" s="3">
        <f>SUM($C6:C6)</f>
        <v/>
      </c>
      <c r="D10" s="3">
        <f>SUM($C6:D6)</f>
        <v/>
      </c>
      <c r="E10" s="3">
        <f>SUM($C6:E6)</f>
        <v/>
      </c>
      <c r="F10" s="3">
        <f>SUM($C6:F6)</f>
        <v/>
      </c>
      <c r="G10" s="3">
        <f>SUM($C6:G6)</f>
        <v/>
      </c>
      <c r="H10" s="3">
        <f>SUM($C6:H6)</f>
        <v/>
      </c>
      <c r="I10" s="3">
        <f>SUM($C6:I6)</f>
        <v/>
      </c>
      <c r="J10" s="3">
        <f>SUM($C6:J6)</f>
        <v/>
      </c>
      <c r="K10" s="3">
        <f>SUM($C6:K6)</f>
        <v/>
      </c>
      <c r="L10" s="3">
        <f>SUM($C6:L6)</f>
        <v/>
      </c>
      <c r="M10" s="3">
        <f>SUM($C6:M6)</f>
        <v/>
      </c>
      <c r="N10" s="3">
        <f>SUM($C6:N6)</f>
        <v/>
      </c>
      <c r="O10" s="3">
        <f>SUM($C6:O6)</f>
        <v/>
      </c>
      <c r="P10" s="3">
        <f>SUM($C6:P6)</f>
        <v/>
      </c>
      <c r="Q10" s="3">
        <f>SUM($C6:Q6)</f>
        <v/>
      </c>
      <c r="R10" s="3">
        <f>SUM($C6:R6)</f>
        <v/>
      </c>
      <c r="S10" s="3">
        <f>SUM($C6:S6)</f>
        <v/>
      </c>
      <c r="T10" s="3">
        <f>SUM($C6:T6)</f>
        <v/>
      </c>
      <c r="U10" s="3">
        <f>SUM($C6:U6)</f>
        <v/>
      </c>
      <c r="V10" s="3">
        <f>SUM($C6:V6)</f>
        <v/>
      </c>
      <c r="W10" s="3">
        <f>SUM($C6:W6)</f>
        <v/>
      </c>
      <c r="X10" s="3">
        <f>SUM($C6:X6)</f>
        <v/>
      </c>
      <c r="Y10" s="3">
        <f>SUM($C6:Y6)</f>
        <v/>
      </c>
      <c r="Z10" s="3">
        <f>SUM($C6:Z6)</f>
        <v/>
      </c>
      <c r="AA10" s="3">
        <f>SUM($C6:AA6)</f>
        <v/>
      </c>
      <c r="AB10" s="3">
        <f>SUM($C6:AB6)</f>
        <v/>
      </c>
      <c r="AC10" s="3">
        <f>SUM($C6:AC6)</f>
        <v/>
      </c>
      <c r="AD10" s="3">
        <f>SUM($C6:AD6)</f>
        <v/>
      </c>
      <c r="AE10" s="3">
        <f>SUM($C6:AE6)</f>
        <v/>
      </c>
      <c r="AF10" s="3">
        <f>SUM($C6:AF6)</f>
        <v/>
      </c>
      <c r="AG10" s="3">
        <f>SUM($C6:AG6)</f>
        <v/>
      </c>
      <c r="AH10" s="3">
        <f>SUM($C6:AH6)</f>
        <v/>
      </c>
      <c r="AI10" s="3">
        <f>SUM($C6:AI6)</f>
        <v/>
      </c>
      <c r="AJ10" s="3">
        <f>SUM($C6:AJ6)</f>
        <v/>
      </c>
      <c r="AK10" s="3">
        <f>SUM($C6:AK6)</f>
        <v/>
      </c>
      <c r="AL10" s="3">
        <f>SUM($C6:AL6)</f>
        <v/>
      </c>
      <c r="AM10" s="3">
        <f>SUM($C6:AM6)</f>
        <v/>
      </c>
      <c r="AN10" s="3">
        <f>SUM($C6:AN6)</f>
        <v/>
      </c>
      <c r="AO10" s="3">
        <f>SUM($C6:AO6)</f>
        <v/>
      </c>
      <c r="AP10" s="3">
        <f>SUM($C6:AP6)</f>
        <v/>
      </c>
      <c r="AQ10" s="3">
        <f>SUM($C6:AQ6)</f>
        <v/>
      </c>
      <c r="AR10" s="3">
        <f>SUM($C6:AR6)</f>
        <v/>
      </c>
      <c r="AS10" s="3">
        <f>SUM($C6:AS6)</f>
        <v/>
      </c>
      <c r="AT10" s="3">
        <f>SUM($C6:AT6)</f>
        <v/>
      </c>
      <c r="AU10" s="3">
        <f>SUM($C6:AU6)</f>
        <v/>
      </c>
      <c r="AV10" s="3">
        <f>SUM($C6:AV6)</f>
        <v/>
      </c>
      <c r="AW10" s="3">
        <f>SUM($C6:AW6)</f>
        <v/>
      </c>
      <c r="AX10" s="3">
        <f>SUM($C6:AX6)</f>
        <v/>
      </c>
      <c r="AY10" s="3">
        <f>SUM($C6:AY6)</f>
        <v/>
      </c>
      <c r="AZ10" s="3">
        <f>SUM($C6:AZ6)</f>
        <v/>
      </c>
      <c r="BA10" s="3">
        <f>SUM($C6:BA6)</f>
        <v/>
      </c>
      <c r="BB10" s="3">
        <f>SUM($C6:BB6)</f>
        <v/>
      </c>
      <c r="BC10" s="3">
        <f>SUM($C6:BC6)</f>
        <v/>
      </c>
      <c r="BD10" s="3">
        <f>SUM($C6:BD6)</f>
        <v/>
      </c>
      <c r="BE10" s="3">
        <f>SUM($C6:BE6)</f>
        <v/>
      </c>
      <c r="BF10" s="3">
        <f>SUM($C6:BF6)</f>
        <v/>
      </c>
      <c r="BG10" s="3">
        <f>SUM($C6:BG6)</f>
        <v/>
      </c>
      <c r="BH10" s="3">
        <f>SUM($C6:BH6)</f>
        <v/>
      </c>
      <c r="BI10" s="3">
        <f>SUM($C6:BI6)</f>
        <v/>
      </c>
      <c r="BJ10" s="3">
        <f>SUM($C6:BJ6)</f>
        <v/>
      </c>
      <c r="BK10" s="3">
        <f>SUM($C6:BK6)</f>
        <v/>
      </c>
      <c r="BL10" s="3">
        <f>SUM($C6:BL6)</f>
        <v/>
      </c>
      <c r="BM10" s="3">
        <f>SUM($C6:BM6)</f>
        <v/>
      </c>
      <c r="BN10" s="3">
        <f>SUM($C6:BN6)</f>
        <v/>
      </c>
      <c r="BO10" s="3">
        <f>SUM($C6:BO6)</f>
        <v/>
      </c>
      <c r="BP10" s="3">
        <f>SUM($C6:BP6)</f>
        <v/>
      </c>
      <c r="BQ10" s="3">
        <f>SUM($C6:BQ6)</f>
        <v/>
      </c>
      <c r="BR10" s="3">
        <f>SUM($C6:BR6)</f>
        <v/>
      </c>
      <c r="BS10" s="3">
        <f>SUM($C6:BS6)</f>
        <v/>
      </c>
      <c r="BT10" s="3">
        <f>SUM($C6:BT6)</f>
        <v/>
      </c>
      <c r="BU10" s="3">
        <f>SUM($C6:BU6)</f>
        <v/>
      </c>
      <c r="BV10" s="3">
        <f>SUM($C6:BV6)</f>
        <v/>
      </c>
    </row>
    <row r="11">
      <c r="A11" t="inlineStr">
        <is>
          <t>trials active</t>
        </is>
      </c>
      <c r="B11" t="inlineStr">
        <is>
          <t>US_CA|NITRO_M</t>
        </is>
      </c>
      <c r="C11" s="3">
        <f>C9-C10</f>
        <v/>
      </c>
      <c r="D11" s="3">
        <f>D9-D10</f>
        <v/>
      </c>
      <c r="E11" s="3">
        <f>E9-E10</f>
        <v/>
      </c>
      <c r="F11" s="3">
        <f>F9-F10</f>
        <v/>
      </c>
      <c r="G11" s="3">
        <f>G9-G10</f>
        <v/>
      </c>
      <c r="H11" s="3">
        <f>H9-H10</f>
        <v/>
      </c>
      <c r="I11" s="3">
        <f>I9-I10</f>
        <v/>
      </c>
      <c r="J11" s="3">
        <f>J9-J10</f>
        <v/>
      </c>
      <c r="K11" s="3">
        <f>K9-K10</f>
        <v/>
      </c>
      <c r="L11" s="3">
        <f>L9-L10</f>
        <v/>
      </c>
      <c r="M11" s="3">
        <f>M9-M10</f>
        <v/>
      </c>
      <c r="N11" s="3">
        <f>N9-N10</f>
        <v/>
      </c>
      <c r="O11" s="3">
        <f>O9-O10</f>
        <v/>
      </c>
      <c r="P11" s="3">
        <f>P9-P10</f>
        <v/>
      </c>
      <c r="Q11" s="3">
        <f>Q9-Q10</f>
        <v/>
      </c>
      <c r="R11" s="3">
        <f>R9-R10</f>
        <v/>
      </c>
      <c r="S11" s="3">
        <f>S9-S10</f>
        <v/>
      </c>
      <c r="T11" s="3">
        <f>T9-T10</f>
        <v/>
      </c>
      <c r="U11" s="3">
        <f>U9-U10</f>
        <v/>
      </c>
      <c r="V11" s="3">
        <f>V9-V10</f>
        <v/>
      </c>
      <c r="W11" s="3">
        <f>W9-W10</f>
        <v/>
      </c>
      <c r="X11" s="3">
        <f>X9-X10</f>
        <v/>
      </c>
      <c r="Y11" s="3">
        <f>Y9-Y10</f>
        <v/>
      </c>
      <c r="Z11" s="3">
        <f>Z9-Z10</f>
        <v/>
      </c>
      <c r="AA11" s="3">
        <f>AA9-AA10</f>
        <v/>
      </c>
      <c r="AB11" s="3">
        <f>AB9-AB10</f>
        <v/>
      </c>
      <c r="AC11" s="3">
        <f>AC9-AC10</f>
        <v/>
      </c>
      <c r="AD11" s="3">
        <f>AD9-AD10</f>
        <v/>
      </c>
      <c r="AE11" s="3">
        <f>AE9-AE10</f>
        <v/>
      </c>
      <c r="AF11" s="3">
        <f>AF9-AF10</f>
        <v/>
      </c>
      <c r="AG11" s="3">
        <f>AG9-AG10</f>
        <v/>
      </c>
      <c r="AH11" s="3">
        <f>AH9-AH10</f>
        <v/>
      </c>
      <c r="AI11" s="3">
        <f>AI9-AI10</f>
        <v/>
      </c>
      <c r="AJ11" s="3">
        <f>AJ9-AJ10</f>
        <v/>
      </c>
      <c r="AK11" s="3">
        <f>AK9-AK10</f>
        <v/>
      </c>
      <c r="AL11" s="3">
        <f>AL9-AL10</f>
        <v/>
      </c>
      <c r="AM11" s="3">
        <f>AM9-AM10</f>
        <v/>
      </c>
      <c r="AN11" s="3">
        <f>AN9-AN10</f>
        <v/>
      </c>
      <c r="AO11" s="3">
        <f>AO9-AO10</f>
        <v/>
      </c>
      <c r="AP11" s="3">
        <f>AP9-AP10</f>
        <v/>
      </c>
      <c r="AQ11" s="3">
        <f>AQ9-AQ10</f>
        <v/>
      </c>
      <c r="AR11" s="3">
        <f>AR9-AR10</f>
        <v/>
      </c>
      <c r="AS11" s="3">
        <f>AS9-AS10</f>
        <v/>
      </c>
      <c r="AT11" s="3">
        <f>AT9-AT10</f>
        <v/>
      </c>
      <c r="AU11" s="3">
        <f>AU9-AU10</f>
        <v/>
      </c>
      <c r="AV11" s="3">
        <f>AV9-AV10</f>
        <v/>
      </c>
      <c r="AW11" s="3">
        <f>AW9-AW10</f>
        <v/>
      </c>
      <c r="AX11" s="3">
        <f>AX9-AX10</f>
        <v/>
      </c>
      <c r="AY11" s="3">
        <f>AY9-AY10</f>
        <v/>
      </c>
      <c r="AZ11" s="3">
        <f>AZ9-AZ10</f>
        <v/>
      </c>
      <c r="BA11" s="3">
        <f>BA9-BA10</f>
        <v/>
      </c>
      <c r="BB11" s="3">
        <f>BB9-BB10</f>
        <v/>
      </c>
      <c r="BC11" s="3">
        <f>BC9-BC10</f>
        <v/>
      </c>
      <c r="BD11" s="3">
        <f>BD9-BD10</f>
        <v/>
      </c>
      <c r="BE11" s="3">
        <f>BE9-BE10</f>
        <v/>
      </c>
      <c r="BF11" s="3">
        <f>BF9-BF10</f>
        <v/>
      </c>
      <c r="BG11" s="3">
        <f>BG9-BG10</f>
        <v/>
      </c>
      <c r="BH11" s="3">
        <f>BH9-BH10</f>
        <v/>
      </c>
      <c r="BI11" s="3">
        <f>BI9-BI10</f>
        <v/>
      </c>
      <c r="BJ11" s="3">
        <f>BJ9-BJ10</f>
        <v/>
      </c>
      <c r="BK11" s="3">
        <f>BK9-BK10</f>
        <v/>
      </c>
      <c r="BL11" s="3">
        <f>BL9-BL10</f>
        <v/>
      </c>
      <c r="BM11" s="3">
        <f>BM9-BM10</f>
        <v/>
      </c>
      <c r="BN11" s="3">
        <f>BN9-BN10</f>
        <v/>
      </c>
      <c r="BO11" s="3">
        <f>BO9-BO10</f>
        <v/>
      </c>
      <c r="BP11" s="3">
        <f>BP9-BP10</f>
        <v/>
      </c>
      <c r="BQ11" s="3">
        <f>BQ9-BQ10</f>
        <v/>
      </c>
      <c r="BR11" s="3">
        <f>BR9-BR10</f>
        <v/>
      </c>
      <c r="BS11" s="3">
        <f>BS9-BS10</f>
        <v/>
      </c>
      <c r="BT11" s="3">
        <f>BT9-BT10</f>
        <v/>
      </c>
      <c r="BU11" s="3">
        <f>BU9-BU10</f>
        <v/>
      </c>
      <c r="BV11" s="3">
        <f>BV9-BV10</f>
        <v/>
      </c>
    </row>
    <row r="12">
      <c r="A12" t="inlineStr">
        <is>
          <t>paid starts</t>
        </is>
      </c>
      <c r="B12" t="inlineStr">
        <is>
          <t>US_CA|NITRO_M</t>
        </is>
      </c>
      <c r="C12" s="3">
        <f>C5+C7</f>
        <v/>
      </c>
      <c r="D12" s="3">
        <f>D5+D7</f>
        <v/>
      </c>
      <c r="E12" s="3">
        <f>E5+E7</f>
        <v/>
      </c>
      <c r="F12" s="3">
        <f>F5+F7</f>
        <v/>
      </c>
      <c r="G12" s="3">
        <f>G5+G7</f>
        <v/>
      </c>
      <c r="H12" s="3">
        <f>H5+H7</f>
        <v/>
      </c>
      <c r="I12" s="3">
        <f>I5+I7</f>
        <v/>
      </c>
      <c r="J12" s="3">
        <f>J5+J7</f>
        <v/>
      </c>
      <c r="K12" s="3">
        <f>K5+K7</f>
        <v/>
      </c>
      <c r="L12" s="3">
        <f>L5+L7</f>
        <v/>
      </c>
      <c r="M12" s="3">
        <f>M5+M7</f>
        <v/>
      </c>
      <c r="N12" s="3">
        <f>N5+N7</f>
        <v/>
      </c>
      <c r="O12" s="3">
        <f>O5+O7</f>
        <v/>
      </c>
      <c r="P12" s="3">
        <f>P5+P7</f>
        <v/>
      </c>
      <c r="Q12" s="3">
        <f>Q5+Q7</f>
        <v/>
      </c>
      <c r="R12" s="3">
        <f>R5+R7</f>
        <v/>
      </c>
      <c r="S12" s="3">
        <f>S5+S7</f>
        <v/>
      </c>
      <c r="T12" s="3">
        <f>T5+T7</f>
        <v/>
      </c>
      <c r="U12" s="3">
        <f>U5+U7</f>
        <v/>
      </c>
      <c r="V12" s="3">
        <f>V5+V7</f>
        <v/>
      </c>
      <c r="W12" s="3">
        <f>W5+W7</f>
        <v/>
      </c>
      <c r="X12" s="3">
        <f>X5+X7</f>
        <v/>
      </c>
      <c r="Y12" s="3">
        <f>Y5+Y7</f>
        <v/>
      </c>
      <c r="Z12" s="3">
        <f>Z5+Z7</f>
        <v/>
      </c>
      <c r="AA12" s="3">
        <f>AA5+AA7</f>
        <v/>
      </c>
      <c r="AB12" s="3">
        <f>AB5+AB7</f>
        <v/>
      </c>
      <c r="AC12" s="3">
        <f>AC5+AC7</f>
        <v/>
      </c>
      <c r="AD12" s="3">
        <f>AD5+AD7</f>
        <v/>
      </c>
      <c r="AE12" s="3">
        <f>AE5+AE7</f>
        <v/>
      </c>
      <c r="AF12" s="3">
        <f>AF5+AF7</f>
        <v/>
      </c>
      <c r="AG12" s="3">
        <f>AG5+AG7</f>
        <v/>
      </c>
      <c r="AH12" s="3">
        <f>AH5+AH7</f>
        <v/>
      </c>
      <c r="AI12" s="3">
        <f>AI5+AI7</f>
        <v/>
      </c>
      <c r="AJ12" s="3">
        <f>AJ5+AJ7</f>
        <v/>
      </c>
      <c r="AK12" s="3">
        <f>AK5+AK7</f>
        <v/>
      </c>
      <c r="AL12" s="3">
        <f>AL5+AL7</f>
        <v/>
      </c>
      <c r="AM12" s="3">
        <f>AM5+AM7</f>
        <v/>
      </c>
      <c r="AN12" s="3">
        <f>AN5+AN7</f>
        <v/>
      </c>
      <c r="AO12" s="3">
        <f>AO5+AO7</f>
        <v/>
      </c>
      <c r="AP12" s="3">
        <f>AP5+AP7</f>
        <v/>
      </c>
      <c r="AQ12" s="3">
        <f>AQ5+AQ7</f>
        <v/>
      </c>
      <c r="AR12" s="3">
        <f>AR5+AR7</f>
        <v/>
      </c>
      <c r="AS12" s="3">
        <f>AS5+AS7</f>
        <v/>
      </c>
      <c r="AT12" s="3">
        <f>AT5+AT7</f>
        <v/>
      </c>
      <c r="AU12" s="3">
        <f>AU5+AU7</f>
        <v/>
      </c>
      <c r="AV12" s="3">
        <f>AV5+AV7</f>
        <v/>
      </c>
      <c r="AW12" s="3">
        <f>AW5+AW7</f>
        <v/>
      </c>
      <c r="AX12" s="3">
        <f>AX5+AX7</f>
        <v/>
      </c>
      <c r="AY12" s="3">
        <f>AY5+AY7</f>
        <v/>
      </c>
      <c r="AZ12" s="3">
        <f>AZ5+AZ7</f>
        <v/>
      </c>
      <c r="BA12" s="3">
        <f>BA5+BA7</f>
        <v/>
      </c>
      <c r="BB12" s="3">
        <f>BB5+BB7</f>
        <v/>
      </c>
      <c r="BC12" s="3">
        <f>BC5+BC7</f>
        <v/>
      </c>
      <c r="BD12" s="3">
        <f>BD5+BD7</f>
        <v/>
      </c>
      <c r="BE12" s="3">
        <f>BE5+BE7</f>
        <v/>
      </c>
      <c r="BF12" s="3">
        <f>BF5+BF7</f>
        <v/>
      </c>
      <c r="BG12" s="3">
        <f>BG5+BG7</f>
        <v/>
      </c>
      <c r="BH12" s="3">
        <f>BH5+BH7</f>
        <v/>
      </c>
      <c r="BI12" s="3">
        <f>BI5+BI7</f>
        <v/>
      </c>
      <c r="BJ12" s="3">
        <f>BJ5+BJ7</f>
        <v/>
      </c>
      <c r="BK12" s="3">
        <f>BK5+BK7</f>
        <v/>
      </c>
      <c r="BL12" s="3">
        <f>BL5+BL7</f>
        <v/>
      </c>
      <c r="BM12" s="3">
        <f>BM5+BM7</f>
        <v/>
      </c>
      <c r="BN12" s="3">
        <f>BN5+BN7</f>
        <v/>
      </c>
      <c r="BO12" s="3">
        <f>BO5+BO7</f>
        <v/>
      </c>
      <c r="BP12" s="3">
        <f>BP5+BP7</f>
        <v/>
      </c>
      <c r="BQ12" s="3">
        <f>BQ5+BQ7</f>
        <v/>
      </c>
      <c r="BR12" s="3">
        <f>BR5+BR7</f>
        <v/>
      </c>
      <c r="BS12" s="3">
        <f>BS5+BS7</f>
        <v/>
      </c>
      <c r="BT12" s="3">
        <f>BT5+BT7</f>
        <v/>
      </c>
      <c r="BU12" s="3">
        <f>BU5+BU7</f>
        <v/>
      </c>
      <c r="BV12" s="3">
        <f>BV5+BV7</f>
        <v/>
      </c>
    </row>
    <row r="14">
      <c r="A14" t="inlineStr">
        <is>
          <t>gross adds</t>
        </is>
      </c>
      <c r="B14" t="inlineStr">
        <is>
          <t>US_CA|NITRO_A</t>
        </is>
      </c>
      <c r="C14" s="3">
        <f>MAU!C4*Params!$B$36*Params!$B$5*Params!$B$87*Params!$B$72</f>
        <v/>
      </c>
      <c r="D14" s="3">
        <f>MAU!D4*Params!$B$36*Params!$B$5*Params!$B$87*Params!$B$72</f>
        <v/>
      </c>
      <c r="E14" s="3">
        <f>MAU!E4*Params!$B$36*Params!$B$5*Params!$B$87*Params!$B$72</f>
        <v/>
      </c>
      <c r="F14" s="3">
        <f>MAU!F4*Params!$B$36*Params!$B$5*Params!$B$87*Params!$B$72</f>
        <v/>
      </c>
      <c r="G14" s="3">
        <f>MAU!G4*Params!$B$36*Params!$B$5*Params!$B$87*Params!$B$72</f>
        <v/>
      </c>
      <c r="H14" s="3">
        <f>MAU!H4*Params!$B$36*Params!$B$5*Params!$B$87*Params!$B$72</f>
        <v/>
      </c>
      <c r="I14" s="3">
        <f>MAU!I4*Params!$B$36*Params!$B$5*Params!$B$87*Params!$B$72</f>
        <v/>
      </c>
      <c r="J14" s="3">
        <f>MAU!J4*Params!$B$36*Params!$B$5*Params!$B$87*Params!$B$72</f>
        <v/>
      </c>
      <c r="K14" s="3">
        <f>MAU!K4*Params!$B$36*Params!$B$5*Params!$B$87*Params!$B$72</f>
        <v/>
      </c>
      <c r="L14" s="3">
        <f>MAU!L4*Params!$B$36*Params!$B$5*Params!$B$87*Params!$B$72</f>
        <v/>
      </c>
      <c r="M14" s="3">
        <f>MAU!M4*Params!$B$36*Params!$B$5*Params!$B$87*Params!$B$72</f>
        <v/>
      </c>
      <c r="N14" s="3">
        <f>MAU!N4*Params!$B$36*Params!$B$5*Params!$B$87*Params!$B$72</f>
        <v/>
      </c>
      <c r="O14" s="3">
        <f>MAU!O4*Params!$B$36*Params!$B$5*Params!$B$87*Params!$B$72</f>
        <v/>
      </c>
      <c r="P14" s="3">
        <f>MAU!P4*Params!$B$36*Params!$B$5*Params!$B$87*Params!$B$72</f>
        <v/>
      </c>
      <c r="Q14" s="3">
        <f>MAU!Q4*Params!$B$36*Params!$B$5*Params!$B$87*Params!$B$72</f>
        <v/>
      </c>
      <c r="R14" s="3">
        <f>MAU!R4*Params!$B$36*Params!$B$5*Params!$B$87*Params!$B$72</f>
        <v/>
      </c>
      <c r="S14" s="3">
        <f>MAU!S4*Params!$B$36*Params!$B$5*Params!$B$87*Params!$B$72</f>
        <v/>
      </c>
      <c r="T14" s="3">
        <f>MAU!T4*Params!$B$36*Params!$B$5*Params!$B$87*Params!$B$72</f>
        <v/>
      </c>
      <c r="U14" s="3">
        <f>MAU!U4*Params!$B$36*Params!$B$5*Params!$B$87*Params!$B$72</f>
        <v/>
      </c>
      <c r="V14" s="3">
        <f>MAU!V4*Params!$B$36*Params!$B$5*Params!$B$87*Params!$B$72</f>
        <v/>
      </c>
      <c r="W14" s="3">
        <f>MAU!W4*Params!$B$36*Params!$B$5*Params!$B$87*Params!$B$72</f>
        <v/>
      </c>
      <c r="X14" s="3">
        <f>MAU!X4*Params!$B$36*Params!$B$5*Params!$B$87*Params!$B$72</f>
        <v/>
      </c>
      <c r="Y14" s="3">
        <f>MAU!Y4*Params!$B$36*Params!$B$5*Params!$B$87*Params!$B$72</f>
        <v/>
      </c>
      <c r="Z14" s="3">
        <f>MAU!Z4*Params!$B$36*Params!$B$5*Params!$B$87*Params!$B$72</f>
        <v/>
      </c>
      <c r="AA14" s="3">
        <f>MAU!AA4*Params!$B$36*Params!$B$5*Params!$B$87*Params!$B$72</f>
        <v/>
      </c>
      <c r="AB14" s="3">
        <f>MAU!AB4*Params!$B$36*Params!$B$5*Params!$B$87*Params!$B$72</f>
        <v/>
      </c>
      <c r="AC14" s="3">
        <f>MAU!AC4*Params!$B$36*Params!$B$5*Params!$B$87*Params!$B$72</f>
        <v/>
      </c>
      <c r="AD14" s="3">
        <f>MAU!AD4*Params!$B$36*Params!$B$5*Params!$B$87*Params!$B$72</f>
        <v/>
      </c>
      <c r="AE14" s="3">
        <f>MAU!AE4*Params!$B$36*Params!$B$5*Params!$B$87*Params!$B$72</f>
        <v/>
      </c>
      <c r="AF14" s="3">
        <f>MAU!AF4*Params!$B$36*Params!$B$5*Params!$B$87*Params!$B$72</f>
        <v/>
      </c>
      <c r="AG14" s="3">
        <f>MAU!AG4*Params!$B$36*Params!$B$5*Params!$B$87*Params!$B$72</f>
        <v/>
      </c>
      <c r="AH14" s="3">
        <f>MAU!AH4*Params!$B$36*Params!$B$5*Params!$B$87*Params!$B$72</f>
        <v/>
      </c>
      <c r="AI14" s="3">
        <f>MAU!AI4*Params!$B$36*Params!$B$5*Params!$B$87*Params!$B$72</f>
        <v/>
      </c>
      <c r="AJ14" s="3">
        <f>MAU!AJ4*Params!$B$36*Params!$B$5*Params!$B$87*Params!$B$72</f>
        <v/>
      </c>
      <c r="AK14" s="3">
        <f>MAU!AK4*Params!$B$36*Params!$B$5*Params!$B$87*Params!$B$72</f>
        <v/>
      </c>
      <c r="AL14" s="3">
        <f>MAU!AL4*Params!$B$36*Params!$B$5*Params!$B$87*Params!$B$72</f>
        <v/>
      </c>
      <c r="AM14" s="3">
        <f>MAU!AM4*Params!$B$36*Params!$B$5*Params!$B$87*Params!$B$72</f>
        <v/>
      </c>
      <c r="AN14" s="3">
        <f>MAU!AN4*Params!$B$36*Params!$B$5*Params!$B$87*Params!$B$72</f>
        <v/>
      </c>
      <c r="AO14" s="3">
        <f>MAU!AO4*Params!$B$36*Params!$B$5*Params!$B$87*Params!$B$72</f>
        <v/>
      </c>
      <c r="AP14" s="3">
        <f>MAU!AP4*Params!$B$36*Params!$B$5*Params!$B$87*Params!$B$72</f>
        <v/>
      </c>
      <c r="AQ14" s="3">
        <f>MAU!AQ4*Params!$B$36*Params!$B$5*Params!$B$87*Params!$B$72</f>
        <v/>
      </c>
      <c r="AR14" s="3">
        <f>MAU!AR4*Params!$B$36*Params!$B$5*Params!$B$87*Params!$B$72</f>
        <v/>
      </c>
      <c r="AS14" s="3">
        <f>MAU!AS4*Params!$B$36*Params!$B$5*Params!$B$87*Params!$B$72</f>
        <v/>
      </c>
      <c r="AT14" s="3">
        <f>MAU!AT4*Params!$B$36*Params!$B$5*Params!$B$87*Params!$B$72</f>
        <v/>
      </c>
      <c r="AU14" s="3">
        <f>MAU!AU4*Params!$B$36*Params!$B$5*Params!$B$87*Params!$B$72</f>
        <v/>
      </c>
      <c r="AV14" s="3">
        <f>MAU!AV4*Params!$B$36*Params!$B$5*Params!$B$87*Params!$B$72</f>
        <v/>
      </c>
      <c r="AW14" s="3">
        <f>MAU!AW4*Params!$B$36*Params!$B$5*Params!$B$87*Params!$B$72</f>
        <v/>
      </c>
      <c r="AX14" s="3">
        <f>MAU!AX4*Params!$B$36*Params!$B$5*Params!$B$87*Params!$B$72</f>
        <v/>
      </c>
      <c r="AY14" s="3">
        <f>MAU!AY4*Params!$B$36*Params!$B$5*Params!$B$87*Params!$B$72</f>
        <v/>
      </c>
      <c r="AZ14" s="3">
        <f>MAU!AZ4*Params!$B$36*Params!$B$5*Params!$B$87*Params!$B$72</f>
        <v/>
      </c>
      <c r="BA14" s="3">
        <f>MAU!BA4*Params!$B$36*Params!$B$5*Params!$B$87*Params!$B$72</f>
        <v/>
      </c>
      <c r="BB14" s="3">
        <f>MAU!BB4*Params!$B$36*Params!$B$5*Params!$B$87*Params!$B$72</f>
        <v/>
      </c>
      <c r="BC14" s="3">
        <f>MAU!BC4*Params!$B$36*Params!$B$5*Params!$B$87*Params!$B$72</f>
        <v/>
      </c>
      <c r="BD14" s="3">
        <f>MAU!BD4*Params!$B$36*Params!$B$5*Params!$B$87*Params!$B$72</f>
        <v/>
      </c>
      <c r="BE14" s="3">
        <f>MAU!BE4*Params!$B$36*Params!$B$5*Params!$B$87*Params!$B$72</f>
        <v/>
      </c>
      <c r="BF14" s="3">
        <f>MAU!BF4*Params!$B$36*Params!$B$5*Params!$B$87*Params!$B$72</f>
        <v/>
      </c>
      <c r="BG14" s="3">
        <f>MAU!BG4*Params!$B$36*Params!$B$5*Params!$B$87*Params!$B$72</f>
        <v/>
      </c>
      <c r="BH14" s="3">
        <f>MAU!BH4*Params!$B$36*Params!$B$5*Params!$B$87*Params!$B$72</f>
        <v/>
      </c>
      <c r="BI14" s="3">
        <f>MAU!BI4*Params!$B$36*Params!$B$5*Params!$B$87*Params!$B$72</f>
        <v/>
      </c>
      <c r="BJ14" s="3">
        <f>MAU!BJ4*Params!$B$36*Params!$B$5*Params!$B$87*Params!$B$72</f>
        <v/>
      </c>
      <c r="BK14" s="3">
        <f>MAU!BK4*Params!$B$36*Params!$B$5*Params!$B$87*Params!$B$72</f>
        <v/>
      </c>
      <c r="BL14" s="3">
        <f>MAU!BL4*Params!$B$36*Params!$B$5*Params!$B$87*Params!$B$72</f>
        <v/>
      </c>
      <c r="BM14" s="3">
        <f>MAU!BM4*Params!$B$36*Params!$B$5*Params!$B$87*Params!$B$72</f>
        <v/>
      </c>
      <c r="BN14" s="3">
        <f>MAU!BN4*Params!$B$36*Params!$B$5*Params!$B$87*Params!$B$72</f>
        <v/>
      </c>
      <c r="BO14" s="3">
        <f>MAU!BO4*Params!$B$36*Params!$B$5*Params!$B$87*Params!$B$72</f>
        <v/>
      </c>
      <c r="BP14" s="3">
        <f>MAU!BP4*Params!$B$36*Params!$B$5*Params!$B$87*Params!$B$72</f>
        <v/>
      </c>
      <c r="BQ14" s="3">
        <f>MAU!BQ4*Params!$B$36*Params!$B$5*Params!$B$87*Params!$B$72</f>
        <v/>
      </c>
      <c r="BR14" s="3">
        <f>MAU!BR4*Params!$B$36*Params!$B$5*Params!$B$87*Params!$B$72</f>
        <v/>
      </c>
      <c r="BS14" s="3">
        <f>MAU!BS4*Params!$B$36*Params!$B$5*Params!$B$87*Params!$B$72</f>
        <v/>
      </c>
      <c r="BT14" s="3">
        <f>MAU!BT4*Params!$B$36*Params!$B$5*Params!$B$87*Params!$B$72</f>
        <v/>
      </c>
      <c r="BU14" s="3">
        <f>MAU!BU4*Params!$B$36*Params!$B$5*Params!$B$87*Params!$B$72</f>
        <v/>
      </c>
      <c r="BV14" s="3">
        <f>MAU!BV4*Params!$B$36*Params!$B$5*Params!$B$87*Params!$B$72</f>
        <v/>
      </c>
    </row>
    <row r="15">
      <c r="A15" t="inlineStr">
        <is>
          <t>trial starts</t>
        </is>
      </c>
      <c r="B15" t="inlineStr">
        <is>
          <t>US_CA|NITRO_A</t>
        </is>
      </c>
      <c r="C15" s="3">
        <f>C14*Params!$B$6</f>
        <v/>
      </c>
      <c r="D15" s="3">
        <f>D14*Params!$B$6</f>
        <v/>
      </c>
      <c r="E15" s="3">
        <f>E14*Params!$B$6</f>
        <v/>
      </c>
      <c r="F15" s="3">
        <f>F14*Params!$B$6</f>
        <v/>
      </c>
      <c r="G15" s="3">
        <f>G14*Params!$B$6</f>
        <v/>
      </c>
      <c r="H15" s="3">
        <f>H14*Params!$B$6</f>
        <v/>
      </c>
      <c r="I15" s="3">
        <f>I14*Params!$B$6</f>
        <v/>
      </c>
      <c r="J15" s="3">
        <f>J14*Params!$B$6</f>
        <v/>
      </c>
      <c r="K15" s="3">
        <f>K14*Params!$B$6</f>
        <v/>
      </c>
      <c r="L15" s="3">
        <f>L14*Params!$B$6</f>
        <v/>
      </c>
      <c r="M15" s="3">
        <f>M14*Params!$B$6</f>
        <v/>
      </c>
      <c r="N15" s="3">
        <f>N14*Params!$B$6</f>
        <v/>
      </c>
      <c r="O15" s="3">
        <f>O14*Params!$B$6</f>
        <v/>
      </c>
      <c r="P15" s="3">
        <f>P14*Params!$B$6</f>
        <v/>
      </c>
      <c r="Q15" s="3">
        <f>Q14*Params!$B$6</f>
        <v/>
      </c>
      <c r="R15" s="3">
        <f>R14*Params!$B$6</f>
        <v/>
      </c>
      <c r="S15" s="3">
        <f>S14*Params!$B$6</f>
        <v/>
      </c>
      <c r="T15" s="3">
        <f>T14*Params!$B$6</f>
        <v/>
      </c>
      <c r="U15" s="3">
        <f>U14*Params!$B$6</f>
        <v/>
      </c>
      <c r="V15" s="3">
        <f>V14*Params!$B$6</f>
        <v/>
      </c>
      <c r="W15" s="3">
        <f>W14*Params!$B$6</f>
        <v/>
      </c>
      <c r="X15" s="3">
        <f>X14*Params!$B$6</f>
        <v/>
      </c>
      <c r="Y15" s="3">
        <f>Y14*Params!$B$6</f>
        <v/>
      </c>
      <c r="Z15" s="3">
        <f>Z14*Params!$B$6</f>
        <v/>
      </c>
      <c r="AA15" s="3">
        <f>AA14*Params!$B$6</f>
        <v/>
      </c>
      <c r="AB15" s="3">
        <f>AB14*Params!$B$6</f>
        <v/>
      </c>
      <c r="AC15" s="3">
        <f>AC14*Params!$B$6</f>
        <v/>
      </c>
      <c r="AD15" s="3">
        <f>AD14*Params!$B$6</f>
        <v/>
      </c>
      <c r="AE15" s="3">
        <f>AE14*Params!$B$6</f>
        <v/>
      </c>
      <c r="AF15" s="3">
        <f>AF14*Params!$B$6</f>
        <v/>
      </c>
      <c r="AG15" s="3">
        <f>AG14*Params!$B$6</f>
        <v/>
      </c>
      <c r="AH15" s="3">
        <f>AH14*Params!$B$6</f>
        <v/>
      </c>
      <c r="AI15" s="3">
        <f>AI14*Params!$B$6</f>
        <v/>
      </c>
      <c r="AJ15" s="3">
        <f>AJ14*Params!$B$6</f>
        <v/>
      </c>
      <c r="AK15" s="3">
        <f>AK14*Params!$B$6</f>
        <v/>
      </c>
      <c r="AL15" s="3">
        <f>AL14*Params!$B$6</f>
        <v/>
      </c>
      <c r="AM15" s="3">
        <f>AM14*Params!$B$6</f>
        <v/>
      </c>
      <c r="AN15" s="3">
        <f>AN14*Params!$B$6</f>
        <v/>
      </c>
      <c r="AO15" s="3">
        <f>AO14*Params!$B$6</f>
        <v/>
      </c>
      <c r="AP15" s="3">
        <f>AP14*Params!$B$6</f>
        <v/>
      </c>
      <c r="AQ15" s="3">
        <f>AQ14*Params!$B$6</f>
        <v/>
      </c>
      <c r="AR15" s="3">
        <f>AR14*Params!$B$6</f>
        <v/>
      </c>
      <c r="AS15" s="3">
        <f>AS14*Params!$B$6</f>
        <v/>
      </c>
      <c r="AT15" s="3">
        <f>AT14*Params!$B$6</f>
        <v/>
      </c>
      <c r="AU15" s="3">
        <f>AU14*Params!$B$6</f>
        <v/>
      </c>
      <c r="AV15" s="3">
        <f>AV14*Params!$B$6</f>
        <v/>
      </c>
      <c r="AW15" s="3">
        <f>AW14*Params!$B$6</f>
        <v/>
      </c>
      <c r="AX15" s="3">
        <f>AX14*Params!$B$6</f>
        <v/>
      </c>
      <c r="AY15" s="3">
        <f>AY14*Params!$B$6</f>
        <v/>
      </c>
      <c r="AZ15" s="3">
        <f>AZ14*Params!$B$6</f>
        <v/>
      </c>
      <c r="BA15" s="3">
        <f>BA14*Params!$B$6</f>
        <v/>
      </c>
      <c r="BB15" s="3">
        <f>BB14*Params!$B$6</f>
        <v/>
      </c>
      <c r="BC15" s="3">
        <f>BC14*Params!$B$6</f>
        <v/>
      </c>
      <c r="BD15" s="3">
        <f>BD14*Params!$B$6</f>
        <v/>
      </c>
      <c r="BE15" s="3">
        <f>BE14*Params!$B$6</f>
        <v/>
      </c>
      <c r="BF15" s="3">
        <f>BF14*Params!$B$6</f>
        <v/>
      </c>
      <c r="BG15" s="3">
        <f>BG14*Params!$B$6</f>
        <v/>
      </c>
      <c r="BH15" s="3">
        <f>BH14*Params!$B$6</f>
        <v/>
      </c>
      <c r="BI15" s="3">
        <f>BI14*Params!$B$6</f>
        <v/>
      </c>
      <c r="BJ15" s="3">
        <f>BJ14*Params!$B$6</f>
        <v/>
      </c>
      <c r="BK15" s="3">
        <f>BK14*Params!$B$6</f>
        <v/>
      </c>
      <c r="BL15" s="3">
        <f>BL14*Params!$B$6</f>
        <v/>
      </c>
      <c r="BM15" s="3">
        <f>BM14*Params!$B$6</f>
        <v/>
      </c>
      <c r="BN15" s="3">
        <f>BN14*Params!$B$6</f>
        <v/>
      </c>
      <c r="BO15" s="3">
        <f>BO14*Params!$B$6</f>
        <v/>
      </c>
      <c r="BP15" s="3">
        <f>BP14*Params!$B$6</f>
        <v/>
      </c>
      <c r="BQ15" s="3">
        <f>BQ14*Params!$B$6</f>
        <v/>
      </c>
      <c r="BR15" s="3">
        <f>BR14*Params!$B$6</f>
        <v/>
      </c>
      <c r="BS15" s="3">
        <f>BS14*Params!$B$6</f>
        <v/>
      </c>
      <c r="BT15" s="3">
        <f>BT14*Params!$B$6</f>
        <v/>
      </c>
      <c r="BU15" s="3">
        <f>BU14*Params!$B$6</f>
        <v/>
      </c>
      <c r="BV15" s="3">
        <f>BV14*Params!$B$6</f>
        <v/>
      </c>
    </row>
    <row r="16">
      <c r="A16" t="inlineStr">
        <is>
          <t>direct paid starts</t>
        </is>
      </c>
      <c r="B16" t="inlineStr">
        <is>
          <t>US_CA|NITRO_A</t>
        </is>
      </c>
      <c r="C16" s="3">
        <f>C14-C15</f>
        <v/>
      </c>
      <c r="D16" s="3">
        <f>D14-D15</f>
        <v/>
      </c>
      <c r="E16" s="3">
        <f>E14-E15</f>
        <v/>
      </c>
      <c r="F16" s="3">
        <f>F14-F15</f>
        <v/>
      </c>
      <c r="G16" s="3">
        <f>G14-G15</f>
        <v/>
      </c>
      <c r="H16" s="3">
        <f>H14-H15</f>
        <v/>
      </c>
      <c r="I16" s="3">
        <f>I14-I15</f>
        <v/>
      </c>
      <c r="J16" s="3">
        <f>J14-J15</f>
        <v/>
      </c>
      <c r="K16" s="3">
        <f>K14-K15</f>
        <v/>
      </c>
      <c r="L16" s="3">
        <f>L14-L15</f>
        <v/>
      </c>
      <c r="M16" s="3">
        <f>M14-M15</f>
        <v/>
      </c>
      <c r="N16" s="3">
        <f>N14-N15</f>
        <v/>
      </c>
      <c r="O16" s="3">
        <f>O14-O15</f>
        <v/>
      </c>
      <c r="P16" s="3">
        <f>P14-P15</f>
        <v/>
      </c>
      <c r="Q16" s="3">
        <f>Q14-Q15</f>
        <v/>
      </c>
      <c r="R16" s="3">
        <f>R14-R15</f>
        <v/>
      </c>
      <c r="S16" s="3">
        <f>S14-S15</f>
        <v/>
      </c>
      <c r="T16" s="3">
        <f>T14-T15</f>
        <v/>
      </c>
      <c r="U16" s="3">
        <f>U14-U15</f>
        <v/>
      </c>
      <c r="V16" s="3">
        <f>V14-V15</f>
        <v/>
      </c>
      <c r="W16" s="3">
        <f>W14-W15</f>
        <v/>
      </c>
      <c r="X16" s="3">
        <f>X14-X15</f>
        <v/>
      </c>
      <c r="Y16" s="3">
        <f>Y14-Y15</f>
        <v/>
      </c>
      <c r="Z16" s="3">
        <f>Z14-Z15</f>
        <v/>
      </c>
      <c r="AA16" s="3">
        <f>AA14-AA15</f>
        <v/>
      </c>
      <c r="AB16" s="3">
        <f>AB14-AB15</f>
        <v/>
      </c>
      <c r="AC16" s="3">
        <f>AC14-AC15</f>
        <v/>
      </c>
      <c r="AD16" s="3">
        <f>AD14-AD15</f>
        <v/>
      </c>
      <c r="AE16" s="3">
        <f>AE14-AE15</f>
        <v/>
      </c>
      <c r="AF16" s="3">
        <f>AF14-AF15</f>
        <v/>
      </c>
      <c r="AG16" s="3">
        <f>AG14-AG15</f>
        <v/>
      </c>
      <c r="AH16" s="3">
        <f>AH14-AH15</f>
        <v/>
      </c>
      <c r="AI16" s="3">
        <f>AI14-AI15</f>
        <v/>
      </c>
      <c r="AJ16" s="3">
        <f>AJ14-AJ15</f>
        <v/>
      </c>
      <c r="AK16" s="3">
        <f>AK14-AK15</f>
        <v/>
      </c>
      <c r="AL16" s="3">
        <f>AL14-AL15</f>
        <v/>
      </c>
      <c r="AM16" s="3">
        <f>AM14-AM15</f>
        <v/>
      </c>
      <c r="AN16" s="3">
        <f>AN14-AN15</f>
        <v/>
      </c>
      <c r="AO16" s="3">
        <f>AO14-AO15</f>
        <v/>
      </c>
      <c r="AP16" s="3">
        <f>AP14-AP15</f>
        <v/>
      </c>
      <c r="AQ16" s="3">
        <f>AQ14-AQ15</f>
        <v/>
      </c>
      <c r="AR16" s="3">
        <f>AR14-AR15</f>
        <v/>
      </c>
      <c r="AS16" s="3">
        <f>AS14-AS15</f>
        <v/>
      </c>
      <c r="AT16" s="3">
        <f>AT14-AT15</f>
        <v/>
      </c>
      <c r="AU16" s="3">
        <f>AU14-AU15</f>
        <v/>
      </c>
      <c r="AV16" s="3">
        <f>AV14-AV15</f>
        <v/>
      </c>
      <c r="AW16" s="3">
        <f>AW14-AW15</f>
        <v/>
      </c>
      <c r="AX16" s="3">
        <f>AX14-AX15</f>
        <v/>
      </c>
      <c r="AY16" s="3">
        <f>AY14-AY15</f>
        <v/>
      </c>
      <c r="AZ16" s="3">
        <f>AZ14-AZ15</f>
        <v/>
      </c>
      <c r="BA16" s="3">
        <f>BA14-BA15</f>
        <v/>
      </c>
      <c r="BB16" s="3">
        <f>BB14-BB15</f>
        <v/>
      </c>
      <c r="BC16" s="3">
        <f>BC14-BC15</f>
        <v/>
      </c>
      <c r="BD16" s="3">
        <f>BD14-BD15</f>
        <v/>
      </c>
      <c r="BE16" s="3">
        <f>BE14-BE15</f>
        <v/>
      </c>
      <c r="BF16" s="3">
        <f>BF14-BF15</f>
        <v/>
      </c>
      <c r="BG16" s="3">
        <f>BG14-BG15</f>
        <v/>
      </c>
      <c r="BH16" s="3">
        <f>BH14-BH15</f>
        <v/>
      </c>
      <c r="BI16" s="3">
        <f>BI14-BI15</f>
        <v/>
      </c>
      <c r="BJ16" s="3">
        <f>BJ14-BJ15</f>
        <v/>
      </c>
      <c r="BK16" s="3">
        <f>BK14-BK15</f>
        <v/>
      </c>
      <c r="BL16" s="3">
        <f>BL14-BL15</f>
        <v/>
      </c>
      <c r="BM16" s="3">
        <f>BM14-BM15</f>
        <v/>
      </c>
      <c r="BN16" s="3">
        <f>BN14-BN15</f>
        <v/>
      </c>
      <c r="BO16" s="3">
        <f>BO14-BO15</f>
        <v/>
      </c>
      <c r="BP16" s="3">
        <f>BP14-BP15</f>
        <v/>
      </c>
      <c r="BQ16" s="3">
        <f>BQ14-BQ15</f>
        <v/>
      </c>
      <c r="BR16" s="3">
        <f>BR14-BR15</f>
        <v/>
      </c>
      <c r="BS16" s="3">
        <f>BS14-BS15</f>
        <v/>
      </c>
      <c r="BT16" s="3">
        <f>BT14-BT15</f>
        <v/>
      </c>
      <c r="BU16" s="3">
        <f>BU14-BU15</f>
        <v/>
      </c>
      <c r="BV16" s="3">
        <f>BV14-BV15</f>
        <v/>
      </c>
    </row>
    <row r="17">
      <c r="A17" t="inlineStr">
        <is>
          <t>trials ending</t>
        </is>
      </c>
      <c r="B17" t="inlineStr">
        <is>
          <t>US_CA|NITRO_A</t>
        </is>
      </c>
      <c r="C17" s="3">
        <f>IF(C$2&gt;=Params!$B$7,INDEX($C$15:$BV$15,C$2-Params!$B$7+1),0)</f>
        <v/>
      </c>
      <c r="D17" s="3">
        <f>IF(D$2&gt;=Params!$B$7,INDEX($C$15:$BV$15,D$2-Params!$B$7+1),0)</f>
        <v/>
      </c>
      <c r="E17" s="3">
        <f>IF(E$2&gt;=Params!$B$7,INDEX($C$15:$BV$15,E$2-Params!$B$7+1),0)</f>
        <v/>
      </c>
      <c r="F17" s="3">
        <f>IF(F$2&gt;=Params!$B$7,INDEX($C$15:$BV$15,F$2-Params!$B$7+1),0)</f>
        <v/>
      </c>
      <c r="G17" s="3">
        <f>IF(G$2&gt;=Params!$B$7,INDEX($C$15:$BV$15,G$2-Params!$B$7+1),0)</f>
        <v/>
      </c>
      <c r="H17" s="3">
        <f>IF(H$2&gt;=Params!$B$7,INDEX($C$15:$BV$15,H$2-Params!$B$7+1),0)</f>
        <v/>
      </c>
      <c r="I17" s="3">
        <f>IF(I$2&gt;=Params!$B$7,INDEX($C$15:$BV$15,I$2-Params!$B$7+1),0)</f>
        <v/>
      </c>
      <c r="J17" s="3">
        <f>IF(J$2&gt;=Params!$B$7,INDEX($C$15:$BV$15,J$2-Params!$B$7+1),0)</f>
        <v/>
      </c>
      <c r="K17" s="3">
        <f>IF(K$2&gt;=Params!$B$7,INDEX($C$15:$BV$15,K$2-Params!$B$7+1),0)</f>
        <v/>
      </c>
      <c r="L17" s="3">
        <f>IF(L$2&gt;=Params!$B$7,INDEX($C$15:$BV$15,L$2-Params!$B$7+1),0)</f>
        <v/>
      </c>
      <c r="M17" s="3">
        <f>IF(M$2&gt;=Params!$B$7,INDEX($C$15:$BV$15,M$2-Params!$B$7+1),0)</f>
        <v/>
      </c>
      <c r="N17" s="3">
        <f>IF(N$2&gt;=Params!$B$7,INDEX($C$15:$BV$15,N$2-Params!$B$7+1),0)</f>
        <v/>
      </c>
      <c r="O17" s="3">
        <f>IF(O$2&gt;=Params!$B$7,INDEX($C$15:$BV$15,O$2-Params!$B$7+1),0)</f>
        <v/>
      </c>
      <c r="P17" s="3">
        <f>IF(P$2&gt;=Params!$B$7,INDEX($C$15:$BV$15,P$2-Params!$B$7+1),0)</f>
        <v/>
      </c>
      <c r="Q17" s="3">
        <f>IF(Q$2&gt;=Params!$B$7,INDEX($C$15:$BV$15,Q$2-Params!$B$7+1),0)</f>
        <v/>
      </c>
      <c r="R17" s="3">
        <f>IF(R$2&gt;=Params!$B$7,INDEX($C$15:$BV$15,R$2-Params!$B$7+1),0)</f>
        <v/>
      </c>
      <c r="S17" s="3">
        <f>IF(S$2&gt;=Params!$B$7,INDEX($C$15:$BV$15,S$2-Params!$B$7+1),0)</f>
        <v/>
      </c>
      <c r="T17" s="3">
        <f>IF(T$2&gt;=Params!$B$7,INDEX($C$15:$BV$15,T$2-Params!$B$7+1),0)</f>
        <v/>
      </c>
      <c r="U17" s="3">
        <f>IF(U$2&gt;=Params!$B$7,INDEX($C$15:$BV$15,U$2-Params!$B$7+1),0)</f>
        <v/>
      </c>
      <c r="V17" s="3">
        <f>IF(V$2&gt;=Params!$B$7,INDEX($C$15:$BV$15,V$2-Params!$B$7+1),0)</f>
        <v/>
      </c>
      <c r="W17" s="3">
        <f>IF(W$2&gt;=Params!$B$7,INDEX($C$15:$BV$15,W$2-Params!$B$7+1),0)</f>
        <v/>
      </c>
      <c r="X17" s="3">
        <f>IF(X$2&gt;=Params!$B$7,INDEX($C$15:$BV$15,X$2-Params!$B$7+1),0)</f>
        <v/>
      </c>
      <c r="Y17" s="3">
        <f>IF(Y$2&gt;=Params!$B$7,INDEX($C$15:$BV$15,Y$2-Params!$B$7+1),0)</f>
        <v/>
      </c>
      <c r="Z17" s="3">
        <f>IF(Z$2&gt;=Params!$B$7,INDEX($C$15:$BV$15,Z$2-Params!$B$7+1),0)</f>
        <v/>
      </c>
      <c r="AA17" s="3">
        <f>IF(AA$2&gt;=Params!$B$7,INDEX($C$15:$BV$15,AA$2-Params!$B$7+1),0)</f>
        <v/>
      </c>
      <c r="AB17" s="3">
        <f>IF(AB$2&gt;=Params!$B$7,INDEX($C$15:$BV$15,AB$2-Params!$B$7+1),0)</f>
        <v/>
      </c>
      <c r="AC17" s="3">
        <f>IF(AC$2&gt;=Params!$B$7,INDEX($C$15:$BV$15,AC$2-Params!$B$7+1),0)</f>
        <v/>
      </c>
      <c r="AD17" s="3">
        <f>IF(AD$2&gt;=Params!$B$7,INDEX($C$15:$BV$15,AD$2-Params!$B$7+1),0)</f>
        <v/>
      </c>
      <c r="AE17" s="3">
        <f>IF(AE$2&gt;=Params!$B$7,INDEX($C$15:$BV$15,AE$2-Params!$B$7+1),0)</f>
        <v/>
      </c>
      <c r="AF17" s="3">
        <f>IF(AF$2&gt;=Params!$B$7,INDEX($C$15:$BV$15,AF$2-Params!$B$7+1),0)</f>
        <v/>
      </c>
      <c r="AG17" s="3">
        <f>IF(AG$2&gt;=Params!$B$7,INDEX($C$15:$BV$15,AG$2-Params!$B$7+1),0)</f>
        <v/>
      </c>
      <c r="AH17" s="3">
        <f>IF(AH$2&gt;=Params!$B$7,INDEX($C$15:$BV$15,AH$2-Params!$B$7+1),0)</f>
        <v/>
      </c>
      <c r="AI17" s="3">
        <f>IF(AI$2&gt;=Params!$B$7,INDEX($C$15:$BV$15,AI$2-Params!$B$7+1),0)</f>
        <v/>
      </c>
      <c r="AJ17" s="3">
        <f>IF(AJ$2&gt;=Params!$B$7,INDEX($C$15:$BV$15,AJ$2-Params!$B$7+1),0)</f>
        <v/>
      </c>
      <c r="AK17" s="3">
        <f>IF(AK$2&gt;=Params!$B$7,INDEX($C$15:$BV$15,AK$2-Params!$B$7+1),0)</f>
        <v/>
      </c>
      <c r="AL17" s="3">
        <f>IF(AL$2&gt;=Params!$B$7,INDEX($C$15:$BV$15,AL$2-Params!$B$7+1),0)</f>
        <v/>
      </c>
      <c r="AM17" s="3">
        <f>IF(AM$2&gt;=Params!$B$7,INDEX($C$15:$BV$15,AM$2-Params!$B$7+1),0)</f>
        <v/>
      </c>
      <c r="AN17" s="3">
        <f>IF(AN$2&gt;=Params!$B$7,INDEX($C$15:$BV$15,AN$2-Params!$B$7+1),0)</f>
        <v/>
      </c>
      <c r="AO17" s="3">
        <f>IF(AO$2&gt;=Params!$B$7,INDEX($C$15:$BV$15,AO$2-Params!$B$7+1),0)</f>
        <v/>
      </c>
      <c r="AP17" s="3">
        <f>IF(AP$2&gt;=Params!$B$7,INDEX($C$15:$BV$15,AP$2-Params!$B$7+1),0)</f>
        <v/>
      </c>
      <c r="AQ17" s="3">
        <f>IF(AQ$2&gt;=Params!$B$7,INDEX($C$15:$BV$15,AQ$2-Params!$B$7+1),0)</f>
        <v/>
      </c>
      <c r="AR17" s="3">
        <f>IF(AR$2&gt;=Params!$B$7,INDEX($C$15:$BV$15,AR$2-Params!$B$7+1),0)</f>
        <v/>
      </c>
      <c r="AS17" s="3">
        <f>IF(AS$2&gt;=Params!$B$7,INDEX($C$15:$BV$15,AS$2-Params!$B$7+1),0)</f>
        <v/>
      </c>
      <c r="AT17" s="3">
        <f>IF(AT$2&gt;=Params!$B$7,INDEX($C$15:$BV$15,AT$2-Params!$B$7+1),0)</f>
        <v/>
      </c>
      <c r="AU17" s="3">
        <f>IF(AU$2&gt;=Params!$B$7,INDEX($C$15:$BV$15,AU$2-Params!$B$7+1),0)</f>
        <v/>
      </c>
      <c r="AV17" s="3">
        <f>IF(AV$2&gt;=Params!$B$7,INDEX($C$15:$BV$15,AV$2-Params!$B$7+1),0)</f>
        <v/>
      </c>
      <c r="AW17" s="3">
        <f>IF(AW$2&gt;=Params!$B$7,INDEX($C$15:$BV$15,AW$2-Params!$B$7+1),0)</f>
        <v/>
      </c>
      <c r="AX17" s="3">
        <f>IF(AX$2&gt;=Params!$B$7,INDEX($C$15:$BV$15,AX$2-Params!$B$7+1),0)</f>
        <v/>
      </c>
      <c r="AY17" s="3">
        <f>IF(AY$2&gt;=Params!$B$7,INDEX($C$15:$BV$15,AY$2-Params!$B$7+1),0)</f>
        <v/>
      </c>
      <c r="AZ17" s="3">
        <f>IF(AZ$2&gt;=Params!$B$7,INDEX($C$15:$BV$15,AZ$2-Params!$B$7+1),0)</f>
        <v/>
      </c>
      <c r="BA17" s="3">
        <f>IF(BA$2&gt;=Params!$B$7,INDEX($C$15:$BV$15,BA$2-Params!$B$7+1),0)</f>
        <v/>
      </c>
      <c r="BB17" s="3">
        <f>IF(BB$2&gt;=Params!$B$7,INDEX($C$15:$BV$15,BB$2-Params!$B$7+1),0)</f>
        <v/>
      </c>
      <c r="BC17" s="3">
        <f>IF(BC$2&gt;=Params!$B$7,INDEX($C$15:$BV$15,BC$2-Params!$B$7+1),0)</f>
        <v/>
      </c>
      <c r="BD17" s="3">
        <f>IF(BD$2&gt;=Params!$B$7,INDEX($C$15:$BV$15,BD$2-Params!$B$7+1),0)</f>
        <v/>
      </c>
      <c r="BE17" s="3">
        <f>IF(BE$2&gt;=Params!$B$7,INDEX($C$15:$BV$15,BE$2-Params!$B$7+1),0)</f>
        <v/>
      </c>
      <c r="BF17" s="3">
        <f>IF(BF$2&gt;=Params!$B$7,INDEX($C$15:$BV$15,BF$2-Params!$B$7+1),0)</f>
        <v/>
      </c>
      <c r="BG17" s="3">
        <f>IF(BG$2&gt;=Params!$B$7,INDEX($C$15:$BV$15,BG$2-Params!$B$7+1),0)</f>
        <v/>
      </c>
      <c r="BH17" s="3">
        <f>IF(BH$2&gt;=Params!$B$7,INDEX($C$15:$BV$15,BH$2-Params!$B$7+1),0)</f>
        <v/>
      </c>
      <c r="BI17" s="3">
        <f>IF(BI$2&gt;=Params!$B$7,INDEX($C$15:$BV$15,BI$2-Params!$B$7+1),0)</f>
        <v/>
      </c>
      <c r="BJ17" s="3">
        <f>IF(BJ$2&gt;=Params!$B$7,INDEX($C$15:$BV$15,BJ$2-Params!$B$7+1),0)</f>
        <v/>
      </c>
      <c r="BK17" s="3">
        <f>IF(BK$2&gt;=Params!$B$7,INDEX($C$15:$BV$15,BK$2-Params!$B$7+1),0)</f>
        <v/>
      </c>
      <c r="BL17" s="3">
        <f>IF(BL$2&gt;=Params!$B$7,INDEX($C$15:$BV$15,BL$2-Params!$B$7+1),0)</f>
        <v/>
      </c>
      <c r="BM17" s="3">
        <f>IF(BM$2&gt;=Params!$B$7,INDEX($C$15:$BV$15,BM$2-Params!$B$7+1),0)</f>
        <v/>
      </c>
      <c r="BN17" s="3">
        <f>IF(BN$2&gt;=Params!$B$7,INDEX($C$15:$BV$15,BN$2-Params!$B$7+1),0)</f>
        <v/>
      </c>
      <c r="BO17" s="3">
        <f>IF(BO$2&gt;=Params!$B$7,INDEX($C$15:$BV$15,BO$2-Params!$B$7+1),0)</f>
        <v/>
      </c>
      <c r="BP17" s="3">
        <f>IF(BP$2&gt;=Params!$B$7,INDEX($C$15:$BV$15,BP$2-Params!$B$7+1),0)</f>
        <v/>
      </c>
      <c r="BQ17" s="3">
        <f>IF(BQ$2&gt;=Params!$B$7,INDEX($C$15:$BV$15,BQ$2-Params!$B$7+1),0)</f>
        <v/>
      </c>
      <c r="BR17" s="3">
        <f>IF(BR$2&gt;=Params!$B$7,INDEX($C$15:$BV$15,BR$2-Params!$B$7+1),0)</f>
        <v/>
      </c>
      <c r="BS17" s="3">
        <f>IF(BS$2&gt;=Params!$B$7,INDEX($C$15:$BV$15,BS$2-Params!$B$7+1),0)</f>
        <v/>
      </c>
      <c r="BT17" s="3">
        <f>IF(BT$2&gt;=Params!$B$7,INDEX($C$15:$BV$15,BT$2-Params!$B$7+1),0)</f>
        <v/>
      </c>
      <c r="BU17" s="3">
        <f>IF(BU$2&gt;=Params!$B$7,INDEX($C$15:$BV$15,BU$2-Params!$B$7+1),0)</f>
        <v/>
      </c>
      <c r="BV17" s="3">
        <f>IF(BV$2&gt;=Params!$B$7,INDEX($C$15:$BV$15,BV$2-Params!$B$7+1),0)</f>
        <v/>
      </c>
    </row>
    <row r="18">
      <c r="A18" t="inlineStr">
        <is>
          <t>trials converted</t>
        </is>
      </c>
      <c r="B18" t="inlineStr">
        <is>
          <t>US_CA|NITRO_A</t>
        </is>
      </c>
      <c r="C18" s="3">
        <f>C17*Params!$B$8</f>
        <v/>
      </c>
      <c r="D18" s="3">
        <f>D17*Params!$B$8</f>
        <v/>
      </c>
      <c r="E18" s="3">
        <f>E17*Params!$B$8</f>
        <v/>
      </c>
      <c r="F18" s="3">
        <f>F17*Params!$B$8</f>
        <v/>
      </c>
      <c r="G18" s="3">
        <f>G17*Params!$B$8</f>
        <v/>
      </c>
      <c r="H18" s="3">
        <f>H17*Params!$B$8</f>
        <v/>
      </c>
      <c r="I18" s="3">
        <f>I17*Params!$B$8</f>
        <v/>
      </c>
      <c r="J18" s="3">
        <f>J17*Params!$B$8</f>
        <v/>
      </c>
      <c r="K18" s="3">
        <f>K17*Params!$B$8</f>
        <v/>
      </c>
      <c r="L18" s="3">
        <f>L17*Params!$B$8</f>
        <v/>
      </c>
      <c r="M18" s="3">
        <f>M17*Params!$B$8</f>
        <v/>
      </c>
      <c r="N18" s="3">
        <f>N17*Params!$B$8</f>
        <v/>
      </c>
      <c r="O18" s="3">
        <f>O17*Params!$B$8</f>
        <v/>
      </c>
      <c r="P18" s="3">
        <f>P17*Params!$B$8</f>
        <v/>
      </c>
      <c r="Q18" s="3">
        <f>Q17*Params!$B$8</f>
        <v/>
      </c>
      <c r="R18" s="3">
        <f>R17*Params!$B$8</f>
        <v/>
      </c>
      <c r="S18" s="3">
        <f>S17*Params!$B$8</f>
        <v/>
      </c>
      <c r="T18" s="3">
        <f>T17*Params!$B$8</f>
        <v/>
      </c>
      <c r="U18" s="3">
        <f>U17*Params!$B$8</f>
        <v/>
      </c>
      <c r="V18" s="3">
        <f>V17*Params!$B$8</f>
        <v/>
      </c>
      <c r="W18" s="3">
        <f>W17*Params!$B$8</f>
        <v/>
      </c>
      <c r="X18" s="3">
        <f>X17*Params!$B$8</f>
        <v/>
      </c>
      <c r="Y18" s="3">
        <f>Y17*Params!$B$8</f>
        <v/>
      </c>
      <c r="Z18" s="3">
        <f>Z17*Params!$B$8</f>
        <v/>
      </c>
      <c r="AA18" s="3">
        <f>AA17*Params!$B$8</f>
        <v/>
      </c>
      <c r="AB18" s="3">
        <f>AB17*Params!$B$8</f>
        <v/>
      </c>
      <c r="AC18" s="3">
        <f>AC17*Params!$B$8</f>
        <v/>
      </c>
      <c r="AD18" s="3">
        <f>AD17*Params!$B$8</f>
        <v/>
      </c>
      <c r="AE18" s="3">
        <f>AE17*Params!$B$8</f>
        <v/>
      </c>
      <c r="AF18" s="3">
        <f>AF17*Params!$B$8</f>
        <v/>
      </c>
      <c r="AG18" s="3">
        <f>AG17*Params!$B$8</f>
        <v/>
      </c>
      <c r="AH18" s="3">
        <f>AH17*Params!$B$8</f>
        <v/>
      </c>
      <c r="AI18" s="3">
        <f>AI17*Params!$B$8</f>
        <v/>
      </c>
      <c r="AJ18" s="3">
        <f>AJ17*Params!$B$8</f>
        <v/>
      </c>
      <c r="AK18" s="3">
        <f>AK17*Params!$B$8</f>
        <v/>
      </c>
      <c r="AL18" s="3">
        <f>AL17*Params!$B$8</f>
        <v/>
      </c>
      <c r="AM18" s="3">
        <f>AM17*Params!$B$8</f>
        <v/>
      </c>
      <c r="AN18" s="3">
        <f>AN17*Params!$B$8</f>
        <v/>
      </c>
      <c r="AO18" s="3">
        <f>AO17*Params!$B$8</f>
        <v/>
      </c>
      <c r="AP18" s="3">
        <f>AP17*Params!$B$8</f>
        <v/>
      </c>
      <c r="AQ18" s="3">
        <f>AQ17*Params!$B$8</f>
        <v/>
      </c>
      <c r="AR18" s="3">
        <f>AR17*Params!$B$8</f>
        <v/>
      </c>
      <c r="AS18" s="3">
        <f>AS17*Params!$B$8</f>
        <v/>
      </c>
      <c r="AT18" s="3">
        <f>AT17*Params!$B$8</f>
        <v/>
      </c>
      <c r="AU18" s="3">
        <f>AU17*Params!$B$8</f>
        <v/>
      </c>
      <c r="AV18" s="3">
        <f>AV17*Params!$B$8</f>
        <v/>
      </c>
      <c r="AW18" s="3">
        <f>AW17*Params!$B$8</f>
        <v/>
      </c>
      <c r="AX18" s="3">
        <f>AX17*Params!$B$8</f>
        <v/>
      </c>
      <c r="AY18" s="3">
        <f>AY17*Params!$B$8</f>
        <v/>
      </c>
      <c r="AZ18" s="3">
        <f>AZ17*Params!$B$8</f>
        <v/>
      </c>
      <c r="BA18" s="3">
        <f>BA17*Params!$B$8</f>
        <v/>
      </c>
      <c r="BB18" s="3">
        <f>BB17*Params!$B$8</f>
        <v/>
      </c>
      <c r="BC18" s="3">
        <f>BC17*Params!$B$8</f>
        <v/>
      </c>
      <c r="BD18" s="3">
        <f>BD17*Params!$B$8</f>
        <v/>
      </c>
      <c r="BE18" s="3">
        <f>BE17*Params!$B$8</f>
        <v/>
      </c>
      <c r="BF18" s="3">
        <f>BF17*Params!$B$8</f>
        <v/>
      </c>
      <c r="BG18" s="3">
        <f>BG17*Params!$B$8</f>
        <v/>
      </c>
      <c r="BH18" s="3">
        <f>BH17*Params!$B$8</f>
        <v/>
      </c>
      <c r="BI18" s="3">
        <f>BI17*Params!$B$8</f>
        <v/>
      </c>
      <c r="BJ18" s="3">
        <f>BJ17*Params!$B$8</f>
        <v/>
      </c>
      <c r="BK18" s="3">
        <f>BK17*Params!$B$8</f>
        <v/>
      </c>
      <c r="BL18" s="3">
        <f>BL17*Params!$B$8</f>
        <v/>
      </c>
      <c r="BM18" s="3">
        <f>BM17*Params!$B$8</f>
        <v/>
      </c>
      <c r="BN18" s="3">
        <f>BN17*Params!$B$8</f>
        <v/>
      </c>
      <c r="BO18" s="3">
        <f>BO17*Params!$B$8</f>
        <v/>
      </c>
      <c r="BP18" s="3">
        <f>BP17*Params!$B$8</f>
        <v/>
      </c>
      <c r="BQ18" s="3">
        <f>BQ17*Params!$B$8</f>
        <v/>
      </c>
      <c r="BR18" s="3">
        <f>BR17*Params!$B$8</f>
        <v/>
      </c>
      <c r="BS18" s="3">
        <f>BS17*Params!$B$8</f>
        <v/>
      </c>
      <c r="BT18" s="3">
        <f>BT17*Params!$B$8</f>
        <v/>
      </c>
      <c r="BU18" s="3">
        <f>BU17*Params!$B$8</f>
        <v/>
      </c>
      <c r="BV18" s="3">
        <f>BV17*Params!$B$8</f>
        <v/>
      </c>
    </row>
    <row r="19">
      <c r="A19" t="inlineStr">
        <is>
          <t>trials lost</t>
        </is>
      </c>
      <c r="B19" t="inlineStr">
        <is>
          <t>US_CA|NITRO_A</t>
        </is>
      </c>
      <c r="C19" s="3">
        <f>C17-C18</f>
        <v/>
      </c>
      <c r="D19" s="3">
        <f>D17-D18</f>
        <v/>
      </c>
      <c r="E19" s="3">
        <f>E17-E18</f>
        <v/>
      </c>
      <c r="F19" s="3">
        <f>F17-F18</f>
        <v/>
      </c>
      <c r="G19" s="3">
        <f>G17-G18</f>
        <v/>
      </c>
      <c r="H19" s="3">
        <f>H17-H18</f>
        <v/>
      </c>
      <c r="I19" s="3">
        <f>I17-I18</f>
        <v/>
      </c>
      <c r="J19" s="3">
        <f>J17-J18</f>
        <v/>
      </c>
      <c r="K19" s="3">
        <f>K17-K18</f>
        <v/>
      </c>
      <c r="L19" s="3">
        <f>L17-L18</f>
        <v/>
      </c>
      <c r="M19" s="3">
        <f>M17-M18</f>
        <v/>
      </c>
      <c r="N19" s="3">
        <f>N17-N18</f>
        <v/>
      </c>
      <c r="O19" s="3">
        <f>O17-O18</f>
        <v/>
      </c>
      <c r="P19" s="3">
        <f>P17-P18</f>
        <v/>
      </c>
      <c r="Q19" s="3">
        <f>Q17-Q18</f>
        <v/>
      </c>
      <c r="R19" s="3">
        <f>R17-R18</f>
        <v/>
      </c>
      <c r="S19" s="3">
        <f>S17-S18</f>
        <v/>
      </c>
      <c r="T19" s="3">
        <f>T17-T18</f>
        <v/>
      </c>
      <c r="U19" s="3">
        <f>U17-U18</f>
        <v/>
      </c>
      <c r="V19" s="3">
        <f>V17-V18</f>
        <v/>
      </c>
      <c r="W19" s="3">
        <f>W17-W18</f>
        <v/>
      </c>
      <c r="X19" s="3">
        <f>X17-X18</f>
        <v/>
      </c>
      <c r="Y19" s="3">
        <f>Y17-Y18</f>
        <v/>
      </c>
      <c r="Z19" s="3">
        <f>Z17-Z18</f>
        <v/>
      </c>
      <c r="AA19" s="3">
        <f>AA17-AA18</f>
        <v/>
      </c>
      <c r="AB19" s="3">
        <f>AB17-AB18</f>
        <v/>
      </c>
      <c r="AC19" s="3">
        <f>AC17-AC18</f>
        <v/>
      </c>
      <c r="AD19" s="3">
        <f>AD17-AD18</f>
        <v/>
      </c>
      <c r="AE19" s="3">
        <f>AE17-AE18</f>
        <v/>
      </c>
      <c r="AF19" s="3">
        <f>AF17-AF18</f>
        <v/>
      </c>
      <c r="AG19" s="3">
        <f>AG17-AG18</f>
        <v/>
      </c>
      <c r="AH19" s="3">
        <f>AH17-AH18</f>
        <v/>
      </c>
      <c r="AI19" s="3">
        <f>AI17-AI18</f>
        <v/>
      </c>
      <c r="AJ19" s="3">
        <f>AJ17-AJ18</f>
        <v/>
      </c>
      <c r="AK19" s="3">
        <f>AK17-AK18</f>
        <v/>
      </c>
      <c r="AL19" s="3">
        <f>AL17-AL18</f>
        <v/>
      </c>
      <c r="AM19" s="3">
        <f>AM17-AM18</f>
        <v/>
      </c>
      <c r="AN19" s="3">
        <f>AN17-AN18</f>
        <v/>
      </c>
      <c r="AO19" s="3">
        <f>AO17-AO18</f>
        <v/>
      </c>
      <c r="AP19" s="3">
        <f>AP17-AP18</f>
        <v/>
      </c>
      <c r="AQ19" s="3">
        <f>AQ17-AQ18</f>
        <v/>
      </c>
      <c r="AR19" s="3">
        <f>AR17-AR18</f>
        <v/>
      </c>
      <c r="AS19" s="3">
        <f>AS17-AS18</f>
        <v/>
      </c>
      <c r="AT19" s="3">
        <f>AT17-AT18</f>
        <v/>
      </c>
      <c r="AU19" s="3">
        <f>AU17-AU18</f>
        <v/>
      </c>
      <c r="AV19" s="3">
        <f>AV17-AV18</f>
        <v/>
      </c>
      <c r="AW19" s="3">
        <f>AW17-AW18</f>
        <v/>
      </c>
      <c r="AX19" s="3">
        <f>AX17-AX18</f>
        <v/>
      </c>
      <c r="AY19" s="3">
        <f>AY17-AY18</f>
        <v/>
      </c>
      <c r="AZ19" s="3">
        <f>AZ17-AZ18</f>
        <v/>
      </c>
      <c r="BA19" s="3">
        <f>BA17-BA18</f>
        <v/>
      </c>
      <c r="BB19" s="3">
        <f>BB17-BB18</f>
        <v/>
      </c>
      <c r="BC19" s="3">
        <f>BC17-BC18</f>
        <v/>
      </c>
      <c r="BD19" s="3">
        <f>BD17-BD18</f>
        <v/>
      </c>
      <c r="BE19" s="3">
        <f>BE17-BE18</f>
        <v/>
      </c>
      <c r="BF19" s="3">
        <f>BF17-BF18</f>
        <v/>
      </c>
      <c r="BG19" s="3">
        <f>BG17-BG18</f>
        <v/>
      </c>
      <c r="BH19" s="3">
        <f>BH17-BH18</f>
        <v/>
      </c>
      <c r="BI19" s="3">
        <f>BI17-BI18</f>
        <v/>
      </c>
      <c r="BJ19" s="3">
        <f>BJ17-BJ18</f>
        <v/>
      </c>
      <c r="BK19" s="3">
        <f>BK17-BK18</f>
        <v/>
      </c>
      <c r="BL19" s="3">
        <f>BL17-BL18</f>
        <v/>
      </c>
      <c r="BM19" s="3">
        <f>BM17-BM18</f>
        <v/>
      </c>
      <c r="BN19" s="3">
        <f>BN17-BN18</f>
        <v/>
      </c>
      <c r="BO19" s="3">
        <f>BO17-BO18</f>
        <v/>
      </c>
      <c r="BP19" s="3">
        <f>BP17-BP18</f>
        <v/>
      </c>
      <c r="BQ19" s="3">
        <f>BQ17-BQ18</f>
        <v/>
      </c>
      <c r="BR19" s="3">
        <f>BR17-BR18</f>
        <v/>
      </c>
      <c r="BS19" s="3">
        <f>BS17-BS18</f>
        <v/>
      </c>
      <c r="BT19" s="3">
        <f>BT17-BT18</f>
        <v/>
      </c>
      <c r="BU19" s="3">
        <f>BU17-BU18</f>
        <v/>
      </c>
      <c r="BV19" s="3">
        <f>BV17-BV18</f>
        <v/>
      </c>
    </row>
    <row r="20">
      <c r="A20" t="inlineStr">
        <is>
          <t>cum trial starts</t>
        </is>
      </c>
      <c r="B20" t="inlineStr">
        <is>
          <t>US_CA|NITRO_A</t>
        </is>
      </c>
      <c r="C20" s="3">
        <f>SUM($C15:C15)</f>
        <v/>
      </c>
      <c r="D20" s="3">
        <f>SUM($C15:D15)</f>
        <v/>
      </c>
      <c r="E20" s="3">
        <f>SUM($C15:E15)</f>
        <v/>
      </c>
      <c r="F20" s="3">
        <f>SUM($C15:F15)</f>
        <v/>
      </c>
      <c r="G20" s="3">
        <f>SUM($C15:G15)</f>
        <v/>
      </c>
      <c r="H20" s="3">
        <f>SUM($C15:H15)</f>
        <v/>
      </c>
      <c r="I20" s="3">
        <f>SUM($C15:I15)</f>
        <v/>
      </c>
      <c r="J20" s="3">
        <f>SUM($C15:J15)</f>
        <v/>
      </c>
      <c r="K20" s="3">
        <f>SUM($C15:K15)</f>
        <v/>
      </c>
      <c r="L20" s="3">
        <f>SUM($C15:L15)</f>
        <v/>
      </c>
      <c r="M20" s="3">
        <f>SUM($C15:M15)</f>
        <v/>
      </c>
      <c r="N20" s="3">
        <f>SUM($C15:N15)</f>
        <v/>
      </c>
      <c r="O20" s="3">
        <f>SUM($C15:O15)</f>
        <v/>
      </c>
      <c r="P20" s="3">
        <f>SUM($C15:P15)</f>
        <v/>
      </c>
      <c r="Q20" s="3">
        <f>SUM($C15:Q15)</f>
        <v/>
      </c>
      <c r="R20" s="3">
        <f>SUM($C15:R15)</f>
        <v/>
      </c>
      <c r="S20" s="3">
        <f>SUM($C15:S15)</f>
        <v/>
      </c>
      <c r="T20" s="3">
        <f>SUM($C15:T15)</f>
        <v/>
      </c>
      <c r="U20" s="3">
        <f>SUM($C15:U15)</f>
        <v/>
      </c>
      <c r="V20" s="3">
        <f>SUM($C15:V15)</f>
        <v/>
      </c>
      <c r="W20" s="3">
        <f>SUM($C15:W15)</f>
        <v/>
      </c>
      <c r="X20" s="3">
        <f>SUM($C15:X15)</f>
        <v/>
      </c>
      <c r="Y20" s="3">
        <f>SUM($C15:Y15)</f>
        <v/>
      </c>
      <c r="Z20" s="3">
        <f>SUM($C15:Z15)</f>
        <v/>
      </c>
      <c r="AA20" s="3">
        <f>SUM($C15:AA15)</f>
        <v/>
      </c>
      <c r="AB20" s="3">
        <f>SUM($C15:AB15)</f>
        <v/>
      </c>
      <c r="AC20" s="3">
        <f>SUM($C15:AC15)</f>
        <v/>
      </c>
      <c r="AD20" s="3">
        <f>SUM($C15:AD15)</f>
        <v/>
      </c>
      <c r="AE20" s="3">
        <f>SUM($C15:AE15)</f>
        <v/>
      </c>
      <c r="AF20" s="3">
        <f>SUM($C15:AF15)</f>
        <v/>
      </c>
      <c r="AG20" s="3">
        <f>SUM($C15:AG15)</f>
        <v/>
      </c>
      <c r="AH20" s="3">
        <f>SUM($C15:AH15)</f>
        <v/>
      </c>
      <c r="AI20" s="3">
        <f>SUM($C15:AI15)</f>
        <v/>
      </c>
      <c r="AJ20" s="3">
        <f>SUM($C15:AJ15)</f>
        <v/>
      </c>
      <c r="AK20" s="3">
        <f>SUM($C15:AK15)</f>
        <v/>
      </c>
      <c r="AL20" s="3">
        <f>SUM($C15:AL15)</f>
        <v/>
      </c>
      <c r="AM20" s="3">
        <f>SUM($C15:AM15)</f>
        <v/>
      </c>
      <c r="AN20" s="3">
        <f>SUM($C15:AN15)</f>
        <v/>
      </c>
      <c r="AO20" s="3">
        <f>SUM($C15:AO15)</f>
        <v/>
      </c>
      <c r="AP20" s="3">
        <f>SUM($C15:AP15)</f>
        <v/>
      </c>
      <c r="AQ20" s="3">
        <f>SUM($C15:AQ15)</f>
        <v/>
      </c>
      <c r="AR20" s="3">
        <f>SUM($C15:AR15)</f>
        <v/>
      </c>
      <c r="AS20" s="3">
        <f>SUM($C15:AS15)</f>
        <v/>
      </c>
      <c r="AT20" s="3">
        <f>SUM($C15:AT15)</f>
        <v/>
      </c>
      <c r="AU20" s="3">
        <f>SUM($C15:AU15)</f>
        <v/>
      </c>
      <c r="AV20" s="3">
        <f>SUM($C15:AV15)</f>
        <v/>
      </c>
      <c r="AW20" s="3">
        <f>SUM($C15:AW15)</f>
        <v/>
      </c>
      <c r="AX20" s="3">
        <f>SUM($C15:AX15)</f>
        <v/>
      </c>
      <c r="AY20" s="3">
        <f>SUM($C15:AY15)</f>
        <v/>
      </c>
      <c r="AZ20" s="3">
        <f>SUM($C15:AZ15)</f>
        <v/>
      </c>
      <c r="BA20" s="3">
        <f>SUM($C15:BA15)</f>
        <v/>
      </c>
      <c r="BB20" s="3">
        <f>SUM($C15:BB15)</f>
        <v/>
      </c>
      <c r="BC20" s="3">
        <f>SUM($C15:BC15)</f>
        <v/>
      </c>
      <c r="BD20" s="3">
        <f>SUM($C15:BD15)</f>
        <v/>
      </c>
      <c r="BE20" s="3">
        <f>SUM($C15:BE15)</f>
        <v/>
      </c>
      <c r="BF20" s="3">
        <f>SUM($C15:BF15)</f>
        <v/>
      </c>
      <c r="BG20" s="3">
        <f>SUM($C15:BG15)</f>
        <v/>
      </c>
      <c r="BH20" s="3">
        <f>SUM($C15:BH15)</f>
        <v/>
      </c>
      <c r="BI20" s="3">
        <f>SUM($C15:BI15)</f>
        <v/>
      </c>
      <c r="BJ20" s="3">
        <f>SUM($C15:BJ15)</f>
        <v/>
      </c>
      <c r="BK20" s="3">
        <f>SUM($C15:BK15)</f>
        <v/>
      </c>
      <c r="BL20" s="3">
        <f>SUM($C15:BL15)</f>
        <v/>
      </c>
      <c r="BM20" s="3">
        <f>SUM($C15:BM15)</f>
        <v/>
      </c>
      <c r="BN20" s="3">
        <f>SUM($C15:BN15)</f>
        <v/>
      </c>
      <c r="BO20" s="3">
        <f>SUM($C15:BO15)</f>
        <v/>
      </c>
      <c r="BP20" s="3">
        <f>SUM($C15:BP15)</f>
        <v/>
      </c>
      <c r="BQ20" s="3">
        <f>SUM($C15:BQ15)</f>
        <v/>
      </c>
      <c r="BR20" s="3">
        <f>SUM($C15:BR15)</f>
        <v/>
      </c>
      <c r="BS20" s="3">
        <f>SUM($C15:BS15)</f>
        <v/>
      </c>
      <c r="BT20" s="3">
        <f>SUM($C15:BT15)</f>
        <v/>
      </c>
      <c r="BU20" s="3">
        <f>SUM($C15:BU15)</f>
        <v/>
      </c>
      <c r="BV20" s="3">
        <f>SUM($C15:BV15)</f>
        <v/>
      </c>
    </row>
    <row r="21">
      <c r="A21" t="inlineStr">
        <is>
          <t>cum trials ending</t>
        </is>
      </c>
      <c r="B21" t="inlineStr">
        <is>
          <t>US_CA|NITRO_A</t>
        </is>
      </c>
      <c r="C21" s="3">
        <f>SUM($C17:C17)</f>
        <v/>
      </c>
      <c r="D21" s="3">
        <f>SUM($C17:D17)</f>
        <v/>
      </c>
      <c r="E21" s="3">
        <f>SUM($C17:E17)</f>
        <v/>
      </c>
      <c r="F21" s="3">
        <f>SUM($C17:F17)</f>
        <v/>
      </c>
      <c r="G21" s="3">
        <f>SUM($C17:G17)</f>
        <v/>
      </c>
      <c r="H21" s="3">
        <f>SUM($C17:H17)</f>
        <v/>
      </c>
      <c r="I21" s="3">
        <f>SUM($C17:I17)</f>
        <v/>
      </c>
      <c r="J21" s="3">
        <f>SUM($C17:J17)</f>
        <v/>
      </c>
      <c r="K21" s="3">
        <f>SUM($C17:K17)</f>
        <v/>
      </c>
      <c r="L21" s="3">
        <f>SUM($C17:L17)</f>
        <v/>
      </c>
      <c r="M21" s="3">
        <f>SUM($C17:M17)</f>
        <v/>
      </c>
      <c r="N21" s="3">
        <f>SUM($C17:N17)</f>
        <v/>
      </c>
      <c r="O21" s="3">
        <f>SUM($C17:O17)</f>
        <v/>
      </c>
      <c r="P21" s="3">
        <f>SUM($C17:P17)</f>
        <v/>
      </c>
      <c r="Q21" s="3">
        <f>SUM($C17:Q17)</f>
        <v/>
      </c>
      <c r="R21" s="3">
        <f>SUM($C17:R17)</f>
        <v/>
      </c>
      <c r="S21" s="3">
        <f>SUM($C17:S17)</f>
        <v/>
      </c>
      <c r="T21" s="3">
        <f>SUM($C17:T17)</f>
        <v/>
      </c>
      <c r="U21" s="3">
        <f>SUM($C17:U17)</f>
        <v/>
      </c>
      <c r="V21" s="3">
        <f>SUM($C17:V17)</f>
        <v/>
      </c>
      <c r="W21" s="3">
        <f>SUM($C17:W17)</f>
        <v/>
      </c>
      <c r="X21" s="3">
        <f>SUM($C17:X17)</f>
        <v/>
      </c>
      <c r="Y21" s="3">
        <f>SUM($C17:Y17)</f>
        <v/>
      </c>
      <c r="Z21" s="3">
        <f>SUM($C17:Z17)</f>
        <v/>
      </c>
      <c r="AA21" s="3">
        <f>SUM($C17:AA17)</f>
        <v/>
      </c>
      <c r="AB21" s="3">
        <f>SUM($C17:AB17)</f>
        <v/>
      </c>
      <c r="AC21" s="3">
        <f>SUM($C17:AC17)</f>
        <v/>
      </c>
      <c r="AD21" s="3">
        <f>SUM($C17:AD17)</f>
        <v/>
      </c>
      <c r="AE21" s="3">
        <f>SUM($C17:AE17)</f>
        <v/>
      </c>
      <c r="AF21" s="3">
        <f>SUM($C17:AF17)</f>
        <v/>
      </c>
      <c r="AG21" s="3">
        <f>SUM($C17:AG17)</f>
        <v/>
      </c>
      <c r="AH21" s="3">
        <f>SUM($C17:AH17)</f>
        <v/>
      </c>
      <c r="AI21" s="3">
        <f>SUM($C17:AI17)</f>
        <v/>
      </c>
      <c r="AJ21" s="3">
        <f>SUM($C17:AJ17)</f>
        <v/>
      </c>
      <c r="AK21" s="3">
        <f>SUM($C17:AK17)</f>
        <v/>
      </c>
      <c r="AL21" s="3">
        <f>SUM($C17:AL17)</f>
        <v/>
      </c>
      <c r="AM21" s="3">
        <f>SUM($C17:AM17)</f>
        <v/>
      </c>
      <c r="AN21" s="3">
        <f>SUM($C17:AN17)</f>
        <v/>
      </c>
      <c r="AO21" s="3">
        <f>SUM($C17:AO17)</f>
        <v/>
      </c>
      <c r="AP21" s="3">
        <f>SUM($C17:AP17)</f>
        <v/>
      </c>
      <c r="AQ21" s="3">
        <f>SUM($C17:AQ17)</f>
        <v/>
      </c>
      <c r="AR21" s="3">
        <f>SUM($C17:AR17)</f>
        <v/>
      </c>
      <c r="AS21" s="3">
        <f>SUM($C17:AS17)</f>
        <v/>
      </c>
      <c r="AT21" s="3">
        <f>SUM($C17:AT17)</f>
        <v/>
      </c>
      <c r="AU21" s="3">
        <f>SUM($C17:AU17)</f>
        <v/>
      </c>
      <c r="AV21" s="3">
        <f>SUM($C17:AV17)</f>
        <v/>
      </c>
      <c r="AW21" s="3">
        <f>SUM($C17:AW17)</f>
        <v/>
      </c>
      <c r="AX21" s="3">
        <f>SUM($C17:AX17)</f>
        <v/>
      </c>
      <c r="AY21" s="3">
        <f>SUM($C17:AY17)</f>
        <v/>
      </c>
      <c r="AZ21" s="3">
        <f>SUM($C17:AZ17)</f>
        <v/>
      </c>
      <c r="BA21" s="3">
        <f>SUM($C17:BA17)</f>
        <v/>
      </c>
      <c r="BB21" s="3">
        <f>SUM($C17:BB17)</f>
        <v/>
      </c>
      <c r="BC21" s="3">
        <f>SUM($C17:BC17)</f>
        <v/>
      </c>
      <c r="BD21" s="3">
        <f>SUM($C17:BD17)</f>
        <v/>
      </c>
      <c r="BE21" s="3">
        <f>SUM($C17:BE17)</f>
        <v/>
      </c>
      <c r="BF21" s="3">
        <f>SUM($C17:BF17)</f>
        <v/>
      </c>
      <c r="BG21" s="3">
        <f>SUM($C17:BG17)</f>
        <v/>
      </c>
      <c r="BH21" s="3">
        <f>SUM($C17:BH17)</f>
        <v/>
      </c>
      <c r="BI21" s="3">
        <f>SUM($C17:BI17)</f>
        <v/>
      </c>
      <c r="BJ21" s="3">
        <f>SUM($C17:BJ17)</f>
        <v/>
      </c>
      <c r="BK21" s="3">
        <f>SUM($C17:BK17)</f>
        <v/>
      </c>
      <c r="BL21" s="3">
        <f>SUM($C17:BL17)</f>
        <v/>
      </c>
      <c r="BM21" s="3">
        <f>SUM($C17:BM17)</f>
        <v/>
      </c>
      <c r="BN21" s="3">
        <f>SUM($C17:BN17)</f>
        <v/>
      </c>
      <c r="BO21" s="3">
        <f>SUM($C17:BO17)</f>
        <v/>
      </c>
      <c r="BP21" s="3">
        <f>SUM($C17:BP17)</f>
        <v/>
      </c>
      <c r="BQ21" s="3">
        <f>SUM($C17:BQ17)</f>
        <v/>
      </c>
      <c r="BR21" s="3">
        <f>SUM($C17:BR17)</f>
        <v/>
      </c>
      <c r="BS21" s="3">
        <f>SUM($C17:BS17)</f>
        <v/>
      </c>
      <c r="BT21" s="3">
        <f>SUM($C17:BT17)</f>
        <v/>
      </c>
      <c r="BU21" s="3">
        <f>SUM($C17:BU17)</f>
        <v/>
      </c>
      <c r="BV21" s="3">
        <f>SUM($C17:BV17)</f>
        <v/>
      </c>
    </row>
    <row r="22">
      <c r="A22" t="inlineStr">
        <is>
          <t>trials active</t>
        </is>
      </c>
      <c r="B22" t="inlineStr">
        <is>
          <t>US_CA|NITRO_A</t>
        </is>
      </c>
      <c r="C22" s="3">
        <f>C20-C21</f>
        <v/>
      </c>
      <c r="D22" s="3">
        <f>D20-D21</f>
        <v/>
      </c>
      <c r="E22" s="3">
        <f>E20-E21</f>
        <v/>
      </c>
      <c r="F22" s="3">
        <f>F20-F21</f>
        <v/>
      </c>
      <c r="G22" s="3">
        <f>G20-G21</f>
        <v/>
      </c>
      <c r="H22" s="3">
        <f>H20-H21</f>
        <v/>
      </c>
      <c r="I22" s="3">
        <f>I20-I21</f>
        <v/>
      </c>
      <c r="J22" s="3">
        <f>J20-J21</f>
        <v/>
      </c>
      <c r="K22" s="3">
        <f>K20-K21</f>
        <v/>
      </c>
      <c r="L22" s="3">
        <f>L20-L21</f>
        <v/>
      </c>
      <c r="M22" s="3">
        <f>M20-M21</f>
        <v/>
      </c>
      <c r="N22" s="3">
        <f>N20-N21</f>
        <v/>
      </c>
      <c r="O22" s="3">
        <f>O20-O21</f>
        <v/>
      </c>
      <c r="P22" s="3">
        <f>P20-P21</f>
        <v/>
      </c>
      <c r="Q22" s="3">
        <f>Q20-Q21</f>
        <v/>
      </c>
      <c r="R22" s="3">
        <f>R20-R21</f>
        <v/>
      </c>
      <c r="S22" s="3">
        <f>S20-S21</f>
        <v/>
      </c>
      <c r="T22" s="3">
        <f>T20-T21</f>
        <v/>
      </c>
      <c r="U22" s="3">
        <f>U20-U21</f>
        <v/>
      </c>
      <c r="V22" s="3">
        <f>V20-V21</f>
        <v/>
      </c>
      <c r="W22" s="3">
        <f>W20-W21</f>
        <v/>
      </c>
      <c r="X22" s="3">
        <f>X20-X21</f>
        <v/>
      </c>
      <c r="Y22" s="3">
        <f>Y20-Y21</f>
        <v/>
      </c>
      <c r="Z22" s="3">
        <f>Z20-Z21</f>
        <v/>
      </c>
      <c r="AA22" s="3">
        <f>AA20-AA21</f>
        <v/>
      </c>
      <c r="AB22" s="3">
        <f>AB20-AB21</f>
        <v/>
      </c>
      <c r="AC22" s="3">
        <f>AC20-AC21</f>
        <v/>
      </c>
      <c r="AD22" s="3">
        <f>AD20-AD21</f>
        <v/>
      </c>
      <c r="AE22" s="3">
        <f>AE20-AE21</f>
        <v/>
      </c>
      <c r="AF22" s="3">
        <f>AF20-AF21</f>
        <v/>
      </c>
      <c r="AG22" s="3">
        <f>AG20-AG21</f>
        <v/>
      </c>
      <c r="AH22" s="3">
        <f>AH20-AH21</f>
        <v/>
      </c>
      <c r="AI22" s="3">
        <f>AI20-AI21</f>
        <v/>
      </c>
      <c r="AJ22" s="3">
        <f>AJ20-AJ21</f>
        <v/>
      </c>
      <c r="AK22" s="3">
        <f>AK20-AK21</f>
        <v/>
      </c>
      <c r="AL22" s="3">
        <f>AL20-AL21</f>
        <v/>
      </c>
      <c r="AM22" s="3">
        <f>AM20-AM21</f>
        <v/>
      </c>
      <c r="AN22" s="3">
        <f>AN20-AN21</f>
        <v/>
      </c>
      <c r="AO22" s="3">
        <f>AO20-AO21</f>
        <v/>
      </c>
      <c r="AP22" s="3">
        <f>AP20-AP21</f>
        <v/>
      </c>
      <c r="AQ22" s="3">
        <f>AQ20-AQ21</f>
        <v/>
      </c>
      <c r="AR22" s="3">
        <f>AR20-AR21</f>
        <v/>
      </c>
      <c r="AS22" s="3">
        <f>AS20-AS21</f>
        <v/>
      </c>
      <c r="AT22" s="3">
        <f>AT20-AT21</f>
        <v/>
      </c>
      <c r="AU22" s="3">
        <f>AU20-AU21</f>
        <v/>
      </c>
      <c r="AV22" s="3">
        <f>AV20-AV21</f>
        <v/>
      </c>
      <c r="AW22" s="3">
        <f>AW20-AW21</f>
        <v/>
      </c>
      <c r="AX22" s="3">
        <f>AX20-AX21</f>
        <v/>
      </c>
      <c r="AY22" s="3">
        <f>AY20-AY21</f>
        <v/>
      </c>
      <c r="AZ22" s="3">
        <f>AZ20-AZ21</f>
        <v/>
      </c>
      <c r="BA22" s="3">
        <f>BA20-BA21</f>
        <v/>
      </c>
      <c r="BB22" s="3">
        <f>BB20-BB21</f>
        <v/>
      </c>
      <c r="BC22" s="3">
        <f>BC20-BC21</f>
        <v/>
      </c>
      <c r="BD22" s="3">
        <f>BD20-BD21</f>
        <v/>
      </c>
      <c r="BE22" s="3">
        <f>BE20-BE21</f>
        <v/>
      </c>
      <c r="BF22" s="3">
        <f>BF20-BF21</f>
        <v/>
      </c>
      <c r="BG22" s="3">
        <f>BG20-BG21</f>
        <v/>
      </c>
      <c r="BH22" s="3">
        <f>BH20-BH21</f>
        <v/>
      </c>
      <c r="BI22" s="3">
        <f>BI20-BI21</f>
        <v/>
      </c>
      <c r="BJ22" s="3">
        <f>BJ20-BJ21</f>
        <v/>
      </c>
      <c r="BK22" s="3">
        <f>BK20-BK21</f>
        <v/>
      </c>
      <c r="BL22" s="3">
        <f>BL20-BL21</f>
        <v/>
      </c>
      <c r="BM22" s="3">
        <f>BM20-BM21</f>
        <v/>
      </c>
      <c r="BN22" s="3">
        <f>BN20-BN21</f>
        <v/>
      </c>
      <c r="BO22" s="3">
        <f>BO20-BO21</f>
        <v/>
      </c>
      <c r="BP22" s="3">
        <f>BP20-BP21</f>
        <v/>
      </c>
      <c r="BQ22" s="3">
        <f>BQ20-BQ21</f>
        <v/>
      </c>
      <c r="BR22" s="3">
        <f>BR20-BR21</f>
        <v/>
      </c>
      <c r="BS22" s="3">
        <f>BS20-BS21</f>
        <v/>
      </c>
      <c r="BT22" s="3">
        <f>BT20-BT21</f>
        <v/>
      </c>
      <c r="BU22" s="3">
        <f>BU20-BU21</f>
        <v/>
      </c>
      <c r="BV22" s="3">
        <f>BV20-BV21</f>
        <v/>
      </c>
    </row>
    <row r="23">
      <c r="A23" t="inlineStr">
        <is>
          <t>paid starts</t>
        </is>
      </c>
      <c r="B23" t="inlineStr">
        <is>
          <t>US_CA|NITRO_A</t>
        </is>
      </c>
      <c r="C23" s="3">
        <f>C16+C18</f>
        <v/>
      </c>
      <c r="D23" s="3">
        <f>D16+D18</f>
        <v/>
      </c>
      <c r="E23" s="3">
        <f>E16+E18</f>
        <v/>
      </c>
      <c r="F23" s="3">
        <f>F16+F18</f>
        <v/>
      </c>
      <c r="G23" s="3">
        <f>G16+G18</f>
        <v/>
      </c>
      <c r="H23" s="3">
        <f>H16+H18</f>
        <v/>
      </c>
      <c r="I23" s="3">
        <f>I16+I18</f>
        <v/>
      </c>
      <c r="J23" s="3">
        <f>J16+J18</f>
        <v/>
      </c>
      <c r="K23" s="3">
        <f>K16+K18</f>
        <v/>
      </c>
      <c r="L23" s="3">
        <f>L16+L18</f>
        <v/>
      </c>
      <c r="M23" s="3">
        <f>M16+M18</f>
        <v/>
      </c>
      <c r="N23" s="3">
        <f>N16+N18</f>
        <v/>
      </c>
      <c r="O23" s="3">
        <f>O16+O18</f>
        <v/>
      </c>
      <c r="P23" s="3">
        <f>P16+P18</f>
        <v/>
      </c>
      <c r="Q23" s="3">
        <f>Q16+Q18</f>
        <v/>
      </c>
      <c r="R23" s="3">
        <f>R16+R18</f>
        <v/>
      </c>
      <c r="S23" s="3">
        <f>S16+S18</f>
        <v/>
      </c>
      <c r="T23" s="3">
        <f>T16+T18</f>
        <v/>
      </c>
      <c r="U23" s="3">
        <f>U16+U18</f>
        <v/>
      </c>
      <c r="V23" s="3">
        <f>V16+V18</f>
        <v/>
      </c>
      <c r="W23" s="3">
        <f>W16+W18</f>
        <v/>
      </c>
      <c r="X23" s="3">
        <f>X16+X18</f>
        <v/>
      </c>
      <c r="Y23" s="3">
        <f>Y16+Y18</f>
        <v/>
      </c>
      <c r="Z23" s="3">
        <f>Z16+Z18</f>
        <v/>
      </c>
      <c r="AA23" s="3">
        <f>AA16+AA18</f>
        <v/>
      </c>
      <c r="AB23" s="3">
        <f>AB16+AB18</f>
        <v/>
      </c>
      <c r="AC23" s="3">
        <f>AC16+AC18</f>
        <v/>
      </c>
      <c r="AD23" s="3">
        <f>AD16+AD18</f>
        <v/>
      </c>
      <c r="AE23" s="3">
        <f>AE16+AE18</f>
        <v/>
      </c>
      <c r="AF23" s="3">
        <f>AF16+AF18</f>
        <v/>
      </c>
      <c r="AG23" s="3">
        <f>AG16+AG18</f>
        <v/>
      </c>
      <c r="AH23" s="3">
        <f>AH16+AH18</f>
        <v/>
      </c>
      <c r="AI23" s="3">
        <f>AI16+AI18</f>
        <v/>
      </c>
      <c r="AJ23" s="3">
        <f>AJ16+AJ18</f>
        <v/>
      </c>
      <c r="AK23" s="3">
        <f>AK16+AK18</f>
        <v/>
      </c>
      <c r="AL23" s="3">
        <f>AL16+AL18</f>
        <v/>
      </c>
      <c r="AM23" s="3">
        <f>AM16+AM18</f>
        <v/>
      </c>
      <c r="AN23" s="3">
        <f>AN16+AN18</f>
        <v/>
      </c>
      <c r="AO23" s="3">
        <f>AO16+AO18</f>
        <v/>
      </c>
      <c r="AP23" s="3">
        <f>AP16+AP18</f>
        <v/>
      </c>
      <c r="AQ23" s="3">
        <f>AQ16+AQ18</f>
        <v/>
      </c>
      <c r="AR23" s="3">
        <f>AR16+AR18</f>
        <v/>
      </c>
      <c r="AS23" s="3">
        <f>AS16+AS18</f>
        <v/>
      </c>
      <c r="AT23" s="3">
        <f>AT16+AT18</f>
        <v/>
      </c>
      <c r="AU23" s="3">
        <f>AU16+AU18</f>
        <v/>
      </c>
      <c r="AV23" s="3">
        <f>AV16+AV18</f>
        <v/>
      </c>
      <c r="AW23" s="3">
        <f>AW16+AW18</f>
        <v/>
      </c>
      <c r="AX23" s="3">
        <f>AX16+AX18</f>
        <v/>
      </c>
      <c r="AY23" s="3">
        <f>AY16+AY18</f>
        <v/>
      </c>
      <c r="AZ23" s="3">
        <f>AZ16+AZ18</f>
        <v/>
      </c>
      <c r="BA23" s="3">
        <f>BA16+BA18</f>
        <v/>
      </c>
      <c r="BB23" s="3">
        <f>BB16+BB18</f>
        <v/>
      </c>
      <c r="BC23" s="3">
        <f>BC16+BC18</f>
        <v/>
      </c>
      <c r="BD23" s="3">
        <f>BD16+BD18</f>
        <v/>
      </c>
      <c r="BE23" s="3">
        <f>BE16+BE18</f>
        <v/>
      </c>
      <c r="BF23" s="3">
        <f>BF16+BF18</f>
        <v/>
      </c>
      <c r="BG23" s="3">
        <f>BG16+BG18</f>
        <v/>
      </c>
      <c r="BH23" s="3">
        <f>BH16+BH18</f>
        <v/>
      </c>
      <c r="BI23" s="3">
        <f>BI16+BI18</f>
        <v/>
      </c>
      <c r="BJ23" s="3">
        <f>BJ16+BJ18</f>
        <v/>
      </c>
      <c r="BK23" s="3">
        <f>BK16+BK18</f>
        <v/>
      </c>
      <c r="BL23" s="3">
        <f>BL16+BL18</f>
        <v/>
      </c>
      <c r="BM23" s="3">
        <f>BM16+BM18</f>
        <v/>
      </c>
      <c r="BN23" s="3">
        <f>BN16+BN18</f>
        <v/>
      </c>
      <c r="BO23" s="3">
        <f>BO16+BO18</f>
        <v/>
      </c>
      <c r="BP23" s="3">
        <f>BP16+BP18</f>
        <v/>
      </c>
      <c r="BQ23" s="3">
        <f>BQ16+BQ18</f>
        <v/>
      </c>
      <c r="BR23" s="3">
        <f>BR16+BR18</f>
        <v/>
      </c>
      <c r="BS23" s="3">
        <f>BS16+BS18</f>
        <v/>
      </c>
      <c r="BT23" s="3">
        <f>BT16+BT18</f>
        <v/>
      </c>
      <c r="BU23" s="3">
        <f>BU16+BU18</f>
        <v/>
      </c>
      <c r="BV23" s="3">
        <f>BV16+BV18</f>
        <v/>
      </c>
    </row>
    <row r="25">
      <c r="A25" t="inlineStr">
        <is>
          <t>gross adds</t>
        </is>
      </c>
      <c r="B25" t="inlineStr">
        <is>
          <t>US_CA|BASIC_M</t>
        </is>
      </c>
      <c r="C25" s="3">
        <f>MAU!C4*Params!$B$36*Params!$B$5*Params!$B$87*Params!$B$73</f>
        <v/>
      </c>
      <c r="D25" s="3">
        <f>MAU!D4*Params!$B$36*Params!$B$5*Params!$B$87*Params!$B$73</f>
        <v/>
      </c>
      <c r="E25" s="3">
        <f>MAU!E4*Params!$B$36*Params!$B$5*Params!$B$87*Params!$B$73</f>
        <v/>
      </c>
      <c r="F25" s="3">
        <f>MAU!F4*Params!$B$36*Params!$B$5*Params!$B$87*Params!$B$73</f>
        <v/>
      </c>
      <c r="G25" s="3">
        <f>MAU!G4*Params!$B$36*Params!$B$5*Params!$B$87*Params!$B$73</f>
        <v/>
      </c>
      <c r="H25" s="3">
        <f>MAU!H4*Params!$B$36*Params!$B$5*Params!$B$87*Params!$B$73</f>
        <v/>
      </c>
      <c r="I25" s="3">
        <f>MAU!I4*Params!$B$36*Params!$B$5*Params!$B$87*Params!$B$73</f>
        <v/>
      </c>
      <c r="J25" s="3">
        <f>MAU!J4*Params!$B$36*Params!$B$5*Params!$B$87*Params!$B$73</f>
        <v/>
      </c>
      <c r="K25" s="3">
        <f>MAU!K4*Params!$B$36*Params!$B$5*Params!$B$87*Params!$B$73</f>
        <v/>
      </c>
      <c r="L25" s="3">
        <f>MAU!L4*Params!$B$36*Params!$B$5*Params!$B$87*Params!$B$73</f>
        <v/>
      </c>
      <c r="M25" s="3">
        <f>MAU!M4*Params!$B$36*Params!$B$5*Params!$B$87*Params!$B$73</f>
        <v/>
      </c>
      <c r="N25" s="3">
        <f>MAU!N4*Params!$B$36*Params!$B$5*Params!$B$87*Params!$B$73</f>
        <v/>
      </c>
      <c r="O25" s="3">
        <f>MAU!O4*Params!$B$36*Params!$B$5*Params!$B$87*Params!$B$73</f>
        <v/>
      </c>
      <c r="P25" s="3">
        <f>MAU!P4*Params!$B$36*Params!$B$5*Params!$B$87*Params!$B$73</f>
        <v/>
      </c>
      <c r="Q25" s="3">
        <f>MAU!Q4*Params!$B$36*Params!$B$5*Params!$B$87*Params!$B$73</f>
        <v/>
      </c>
      <c r="R25" s="3">
        <f>MAU!R4*Params!$B$36*Params!$B$5*Params!$B$87*Params!$B$73</f>
        <v/>
      </c>
      <c r="S25" s="3">
        <f>MAU!S4*Params!$B$36*Params!$B$5*Params!$B$87*Params!$B$73</f>
        <v/>
      </c>
      <c r="T25" s="3">
        <f>MAU!T4*Params!$B$36*Params!$B$5*Params!$B$87*Params!$B$73</f>
        <v/>
      </c>
      <c r="U25" s="3">
        <f>MAU!U4*Params!$B$36*Params!$B$5*Params!$B$87*Params!$B$73</f>
        <v/>
      </c>
      <c r="V25" s="3">
        <f>MAU!V4*Params!$B$36*Params!$B$5*Params!$B$87*Params!$B$73</f>
        <v/>
      </c>
      <c r="W25" s="3">
        <f>MAU!W4*Params!$B$36*Params!$B$5*Params!$B$87*Params!$B$73</f>
        <v/>
      </c>
      <c r="X25" s="3">
        <f>MAU!X4*Params!$B$36*Params!$B$5*Params!$B$87*Params!$B$73</f>
        <v/>
      </c>
      <c r="Y25" s="3">
        <f>MAU!Y4*Params!$B$36*Params!$B$5*Params!$B$87*Params!$B$73</f>
        <v/>
      </c>
      <c r="Z25" s="3">
        <f>MAU!Z4*Params!$B$36*Params!$B$5*Params!$B$87*Params!$B$73</f>
        <v/>
      </c>
      <c r="AA25" s="3">
        <f>MAU!AA4*Params!$B$36*Params!$B$5*Params!$B$87*Params!$B$73</f>
        <v/>
      </c>
      <c r="AB25" s="3">
        <f>MAU!AB4*Params!$B$36*Params!$B$5*Params!$B$87*Params!$B$73</f>
        <v/>
      </c>
      <c r="AC25" s="3">
        <f>MAU!AC4*Params!$B$36*Params!$B$5*Params!$B$87*Params!$B$73</f>
        <v/>
      </c>
      <c r="AD25" s="3">
        <f>MAU!AD4*Params!$B$36*Params!$B$5*Params!$B$87*Params!$B$73</f>
        <v/>
      </c>
      <c r="AE25" s="3">
        <f>MAU!AE4*Params!$B$36*Params!$B$5*Params!$B$87*Params!$B$73</f>
        <v/>
      </c>
      <c r="AF25" s="3">
        <f>MAU!AF4*Params!$B$36*Params!$B$5*Params!$B$87*Params!$B$73</f>
        <v/>
      </c>
      <c r="AG25" s="3">
        <f>MAU!AG4*Params!$B$36*Params!$B$5*Params!$B$87*Params!$B$73</f>
        <v/>
      </c>
      <c r="AH25" s="3">
        <f>MAU!AH4*Params!$B$36*Params!$B$5*Params!$B$87*Params!$B$73</f>
        <v/>
      </c>
      <c r="AI25" s="3">
        <f>MAU!AI4*Params!$B$36*Params!$B$5*Params!$B$87*Params!$B$73</f>
        <v/>
      </c>
      <c r="AJ25" s="3">
        <f>MAU!AJ4*Params!$B$36*Params!$B$5*Params!$B$87*Params!$B$73</f>
        <v/>
      </c>
      <c r="AK25" s="3">
        <f>MAU!AK4*Params!$B$36*Params!$B$5*Params!$B$87*Params!$B$73</f>
        <v/>
      </c>
      <c r="AL25" s="3">
        <f>MAU!AL4*Params!$B$36*Params!$B$5*Params!$B$87*Params!$B$73</f>
        <v/>
      </c>
      <c r="AM25" s="3">
        <f>MAU!AM4*Params!$B$36*Params!$B$5*Params!$B$87*Params!$B$73</f>
        <v/>
      </c>
      <c r="AN25" s="3">
        <f>MAU!AN4*Params!$B$36*Params!$B$5*Params!$B$87*Params!$B$73</f>
        <v/>
      </c>
      <c r="AO25" s="3">
        <f>MAU!AO4*Params!$B$36*Params!$B$5*Params!$B$87*Params!$B$73</f>
        <v/>
      </c>
      <c r="AP25" s="3">
        <f>MAU!AP4*Params!$B$36*Params!$B$5*Params!$B$87*Params!$B$73</f>
        <v/>
      </c>
      <c r="AQ25" s="3">
        <f>MAU!AQ4*Params!$B$36*Params!$B$5*Params!$B$87*Params!$B$73</f>
        <v/>
      </c>
      <c r="AR25" s="3">
        <f>MAU!AR4*Params!$B$36*Params!$B$5*Params!$B$87*Params!$B$73</f>
        <v/>
      </c>
      <c r="AS25" s="3">
        <f>MAU!AS4*Params!$B$36*Params!$B$5*Params!$B$87*Params!$B$73</f>
        <v/>
      </c>
      <c r="AT25" s="3">
        <f>MAU!AT4*Params!$B$36*Params!$B$5*Params!$B$87*Params!$B$73</f>
        <v/>
      </c>
      <c r="AU25" s="3">
        <f>MAU!AU4*Params!$B$36*Params!$B$5*Params!$B$87*Params!$B$73</f>
        <v/>
      </c>
      <c r="AV25" s="3">
        <f>MAU!AV4*Params!$B$36*Params!$B$5*Params!$B$87*Params!$B$73</f>
        <v/>
      </c>
      <c r="AW25" s="3">
        <f>MAU!AW4*Params!$B$36*Params!$B$5*Params!$B$87*Params!$B$73</f>
        <v/>
      </c>
      <c r="AX25" s="3">
        <f>MAU!AX4*Params!$B$36*Params!$B$5*Params!$B$87*Params!$B$73</f>
        <v/>
      </c>
      <c r="AY25" s="3">
        <f>MAU!AY4*Params!$B$36*Params!$B$5*Params!$B$87*Params!$B$73</f>
        <v/>
      </c>
      <c r="AZ25" s="3">
        <f>MAU!AZ4*Params!$B$36*Params!$B$5*Params!$B$87*Params!$B$73</f>
        <v/>
      </c>
      <c r="BA25" s="3">
        <f>MAU!BA4*Params!$B$36*Params!$B$5*Params!$B$87*Params!$B$73</f>
        <v/>
      </c>
      <c r="BB25" s="3">
        <f>MAU!BB4*Params!$B$36*Params!$B$5*Params!$B$87*Params!$B$73</f>
        <v/>
      </c>
      <c r="BC25" s="3">
        <f>MAU!BC4*Params!$B$36*Params!$B$5*Params!$B$87*Params!$B$73</f>
        <v/>
      </c>
      <c r="BD25" s="3">
        <f>MAU!BD4*Params!$B$36*Params!$B$5*Params!$B$87*Params!$B$73</f>
        <v/>
      </c>
      <c r="BE25" s="3">
        <f>MAU!BE4*Params!$B$36*Params!$B$5*Params!$B$87*Params!$B$73</f>
        <v/>
      </c>
      <c r="BF25" s="3">
        <f>MAU!BF4*Params!$B$36*Params!$B$5*Params!$B$87*Params!$B$73</f>
        <v/>
      </c>
      <c r="BG25" s="3">
        <f>MAU!BG4*Params!$B$36*Params!$B$5*Params!$B$87*Params!$B$73</f>
        <v/>
      </c>
      <c r="BH25" s="3">
        <f>MAU!BH4*Params!$B$36*Params!$B$5*Params!$B$87*Params!$B$73</f>
        <v/>
      </c>
      <c r="BI25" s="3">
        <f>MAU!BI4*Params!$B$36*Params!$B$5*Params!$B$87*Params!$B$73</f>
        <v/>
      </c>
      <c r="BJ25" s="3">
        <f>MAU!BJ4*Params!$B$36*Params!$B$5*Params!$B$87*Params!$B$73</f>
        <v/>
      </c>
      <c r="BK25" s="3">
        <f>MAU!BK4*Params!$B$36*Params!$B$5*Params!$B$87*Params!$B$73</f>
        <v/>
      </c>
      <c r="BL25" s="3">
        <f>MAU!BL4*Params!$B$36*Params!$B$5*Params!$B$87*Params!$B$73</f>
        <v/>
      </c>
      <c r="BM25" s="3">
        <f>MAU!BM4*Params!$B$36*Params!$B$5*Params!$B$87*Params!$B$73</f>
        <v/>
      </c>
      <c r="BN25" s="3">
        <f>MAU!BN4*Params!$B$36*Params!$B$5*Params!$B$87*Params!$B$73</f>
        <v/>
      </c>
      <c r="BO25" s="3">
        <f>MAU!BO4*Params!$B$36*Params!$B$5*Params!$B$87*Params!$B$73</f>
        <v/>
      </c>
      <c r="BP25" s="3">
        <f>MAU!BP4*Params!$B$36*Params!$B$5*Params!$B$87*Params!$B$73</f>
        <v/>
      </c>
      <c r="BQ25" s="3">
        <f>MAU!BQ4*Params!$B$36*Params!$B$5*Params!$B$87*Params!$B$73</f>
        <v/>
      </c>
      <c r="BR25" s="3">
        <f>MAU!BR4*Params!$B$36*Params!$B$5*Params!$B$87*Params!$B$73</f>
        <v/>
      </c>
      <c r="BS25" s="3">
        <f>MAU!BS4*Params!$B$36*Params!$B$5*Params!$B$87*Params!$B$73</f>
        <v/>
      </c>
      <c r="BT25" s="3">
        <f>MAU!BT4*Params!$B$36*Params!$B$5*Params!$B$87*Params!$B$73</f>
        <v/>
      </c>
      <c r="BU25" s="3">
        <f>MAU!BU4*Params!$B$36*Params!$B$5*Params!$B$87*Params!$B$73</f>
        <v/>
      </c>
      <c r="BV25" s="3">
        <f>MAU!BV4*Params!$B$36*Params!$B$5*Params!$B$87*Params!$B$73</f>
        <v/>
      </c>
    </row>
    <row r="26">
      <c r="A26" t="inlineStr">
        <is>
          <t>trial starts</t>
        </is>
      </c>
      <c r="B26" t="inlineStr">
        <is>
          <t>US_CA|BASIC_M</t>
        </is>
      </c>
      <c r="C26" s="3">
        <f>C25*Params!$B$6</f>
        <v/>
      </c>
      <c r="D26" s="3">
        <f>D25*Params!$B$6</f>
        <v/>
      </c>
      <c r="E26" s="3">
        <f>E25*Params!$B$6</f>
        <v/>
      </c>
      <c r="F26" s="3">
        <f>F25*Params!$B$6</f>
        <v/>
      </c>
      <c r="G26" s="3">
        <f>G25*Params!$B$6</f>
        <v/>
      </c>
      <c r="H26" s="3">
        <f>H25*Params!$B$6</f>
        <v/>
      </c>
      <c r="I26" s="3">
        <f>I25*Params!$B$6</f>
        <v/>
      </c>
      <c r="J26" s="3">
        <f>J25*Params!$B$6</f>
        <v/>
      </c>
      <c r="K26" s="3">
        <f>K25*Params!$B$6</f>
        <v/>
      </c>
      <c r="L26" s="3">
        <f>L25*Params!$B$6</f>
        <v/>
      </c>
      <c r="M26" s="3">
        <f>M25*Params!$B$6</f>
        <v/>
      </c>
      <c r="N26" s="3">
        <f>N25*Params!$B$6</f>
        <v/>
      </c>
      <c r="O26" s="3">
        <f>O25*Params!$B$6</f>
        <v/>
      </c>
      <c r="P26" s="3">
        <f>P25*Params!$B$6</f>
        <v/>
      </c>
      <c r="Q26" s="3">
        <f>Q25*Params!$B$6</f>
        <v/>
      </c>
      <c r="R26" s="3">
        <f>R25*Params!$B$6</f>
        <v/>
      </c>
      <c r="S26" s="3">
        <f>S25*Params!$B$6</f>
        <v/>
      </c>
      <c r="T26" s="3">
        <f>T25*Params!$B$6</f>
        <v/>
      </c>
      <c r="U26" s="3">
        <f>U25*Params!$B$6</f>
        <v/>
      </c>
      <c r="V26" s="3">
        <f>V25*Params!$B$6</f>
        <v/>
      </c>
      <c r="W26" s="3">
        <f>W25*Params!$B$6</f>
        <v/>
      </c>
      <c r="X26" s="3">
        <f>X25*Params!$B$6</f>
        <v/>
      </c>
      <c r="Y26" s="3">
        <f>Y25*Params!$B$6</f>
        <v/>
      </c>
      <c r="Z26" s="3">
        <f>Z25*Params!$B$6</f>
        <v/>
      </c>
      <c r="AA26" s="3">
        <f>AA25*Params!$B$6</f>
        <v/>
      </c>
      <c r="AB26" s="3">
        <f>AB25*Params!$B$6</f>
        <v/>
      </c>
      <c r="AC26" s="3">
        <f>AC25*Params!$B$6</f>
        <v/>
      </c>
      <c r="AD26" s="3">
        <f>AD25*Params!$B$6</f>
        <v/>
      </c>
      <c r="AE26" s="3">
        <f>AE25*Params!$B$6</f>
        <v/>
      </c>
      <c r="AF26" s="3">
        <f>AF25*Params!$B$6</f>
        <v/>
      </c>
      <c r="AG26" s="3">
        <f>AG25*Params!$B$6</f>
        <v/>
      </c>
      <c r="AH26" s="3">
        <f>AH25*Params!$B$6</f>
        <v/>
      </c>
      <c r="AI26" s="3">
        <f>AI25*Params!$B$6</f>
        <v/>
      </c>
      <c r="AJ26" s="3">
        <f>AJ25*Params!$B$6</f>
        <v/>
      </c>
      <c r="AK26" s="3">
        <f>AK25*Params!$B$6</f>
        <v/>
      </c>
      <c r="AL26" s="3">
        <f>AL25*Params!$B$6</f>
        <v/>
      </c>
      <c r="AM26" s="3">
        <f>AM25*Params!$B$6</f>
        <v/>
      </c>
      <c r="AN26" s="3">
        <f>AN25*Params!$B$6</f>
        <v/>
      </c>
      <c r="AO26" s="3">
        <f>AO25*Params!$B$6</f>
        <v/>
      </c>
      <c r="AP26" s="3">
        <f>AP25*Params!$B$6</f>
        <v/>
      </c>
      <c r="AQ26" s="3">
        <f>AQ25*Params!$B$6</f>
        <v/>
      </c>
      <c r="AR26" s="3">
        <f>AR25*Params!$B$6</f>
        <v/>
      </c>
      <c r="AS26" s="3">
        <f>AS25*Params!$B$6</f>
        <v/>
      </c>
      <c r="AT26" s="3">
        <f>AT25*Params!$B$6</f>
        <v/>
      </c>
      <c r="AU26" s="3">
        <f>AU25*Params!$B$6</f>
        <v/>
      </c>
      <c r="AV26" s="3">
        <f>AV25*Params!$B$6</f>
        <v/>
      </c>
      <c r="AW26" s="3">
        <f>AW25*Params!$B$6</f>
        <v/>
      </c>
      <c r="AX26" s="3">
        <f>AX25*Params!$B$6</f>
        <v/>
      </c>
      <c r="AY26" s="3">
        <f>AY25*Params!$B$6</f>
        <v/>
      </c>
      <c r="AZ26" s="3">
        <f>AZ25*Params!$B$6</f>
        <v/>
      </c>
      <c r="BA26" s="3">
        <f>BA25*Params!$B$6</f>
        <v/>
      </c>
      <c r="BB26" s="3">
        <f>BB25*Params!$B$6</f>
        <v/>
      </c>
      <c r="BC26" s="3">
        <f>BC25*Params!$B$6</f>
        <v/>
      </c>
      <c r="BD26" s="3">
        <f>BD25*Params!$B$6</f>
        <v/>
      </c>
      <c r="BE26" s="3">
        <f>BE25*Params!$B$6</f>
        <v/>
      </c>
      <c r="BF26" s="3">
        <f>BF25*Params!$B$6</f>
        <v/>
      </c>
      <c r="BG26" s="3">
        <f>BG25*Params!$B$6</f>
        <v/>
      </c>
      <c r="BH26" s="3">
        <f>BH25*Params!$B$6</f>
        <v/>
      </c>
      <c r="BI26" s="3">
        <f>BI25*Params!$B$6</f>
        <v/>
      </c>
      <c r="BJ26" s="3">
        <f>BJ25*Params!$B$6</f>
        <v/>
      </c>
      <c r="BK26" s="3">
        <f>BK25*Params!$B$6</f>
        <v/>
      </c>
      <c r="BL26" s="3">
        <f>BL25*Params!$B$6</f>
        <v/>
      </c>
      <c r="BM26" s="3">
        <f>BM25*Params!$B$6</f>
        <v/>
      </c>
      <c r="BN26" s="3">
        <f>BN25*Params!$B$6</f>
        <v/>
      </c>
      <c r="BO26" s="3">
        <f>BO25*Params!$B$6</f>
        <v/>
      </c>
      <c r="BP26" s="3">
        <f>BP25*Params!$B$6</f>
        <v/>
      </c>
      <c r="BQ26" s="3">
        <f>BQ25*Params!$B$6</f>
        <v/>
      </c>
      <c r="BR26" s="3">
        <f>BR25*Params!$B$6</f>
        <v/>
      </c>
      <c r="BS26" s="3">
        <f>BS25*Params!$B$6</f>
        <v/>
      </c>
      <c r="BT26" s="3">
        <f>BT25*Params!$B$6</f>
        <v/>
      </c>
      <c r="BU26" s="3">
        <f>BU25*Params!$B$6</f>
        <v/>
      </c>
      <c r="BV26" s="3">
        <f>BV25*Params!$B$6</f>
        <v/>
      </c>
    </row>
    <row r="27">
      <c r="A27" t="inlineStr">
        <is>
          <t>direct paid starts</t>
        </is>
      </c>
      <c r="B27" t="inlineStr">
        <is>
          <t>US_CA|BASIC_M</t>
        </is>
      </c>
      <c r="C27" s="3">
        <f>C25-C26</f>
        <v/>
      </c>
      <c r="D27" s="3">
        <f>D25-D26</f>
        <v/>
      </c>
      <c r="E27" s="3">
        <f>E25-E26</f>
        <v/>
      </c>
      <c r="F27" s="3">
        <f>F25-F26</f>
        <v/>
      </c>
      <c r="G27" s="3">
        <f>G25-G26</f>
        <v/>
      </c>
      <c r="H27" s="3">
        <f>H25-H26</f>
        <v/>
      </c>
      <c r="I27" s="3">
        <f>I25-I26</f>
        <v/>
      </c>
      <c r="J27" s="3">
        <f>J25-J26</f>
        <v/>
      </c>
      <c r="K27" s="3">
        <f>K25-K26</f>
        <v/>
      </c>
      <c r="L27" s="3">
        <f>L25-L26</f>
        <v/>
      </c>
      <c r="M27" s="3">
        <f>M25-M26</f>
        <v/>
      </c>
      <c r="N27" s="3">
        <f>N25-N26</f>
        <v/>
      </c>
      <c r="O27" s="3">
        <f>O25-O26</f>
        <v/>
      </c>
      <c r="P27" s="3">
        <f>P25-P26</f>
        <v/>
      </c>
      <c r="Q27" s="3">
        <f>Q25-Q26</f>
        <v/>
      </c>
      <c r="R27" s="3">
        <f>R25-R26</f>
        <v/>
      </c>
      <c r="S27" s="3">
        <f>S25-S26</f>
        <v/>
      </c>
      <c r="T27" s="3">
        <f>T25-T26</f>
        <v/>
      </c>
      <c r="U27" s="3">
        <f>U25-U26</f>
        <v/>
      </c>
      <c r="V27" s="3">
        <f>V25-V26</f>
        <v/>
      </c>
      <c r="W27" s="3">
        <f>W25-W26</f>
        <v/>
      </c>
      <c r="X27" s="3">
        <f>X25-X26</f>
        <v/>
      </c>
      <c r="Y27" s="3">
        <f>Y25-Y26</f>
        <v/>
      </c>
      <c r="Z27" s="3">
        <f>Z25-Z26</f>
        <v/>
      </c>
      <c r="AA27" s="3">
        <f>AA25-AA26</f>
        <v/>
      </c>
      <c r="AB27" s="3">
        <f>AB25-AB26</f>
        <v/>
      </c>
      <c r="AC27" s="3">
        <f>AC25-AC26</f>
        <v/>
      </c>
      <c r="AD27" s="3">
        <f>AD25-AD26</f>
        <v/>
      </c>
      <c r="AE27" s="3">
        <f>AE25-AE26</f>
        <v/>
      </c>
      <c r="AF27" s="3">
        <f>AF25-AF26</f>
        <v/>
      </c>
      <c r="AG27" s="3">
        <f>AG25-AG26</f>
        <v/>
      </c>
      <c r="AH27" s="3">
        <f>AH25-AH26</f>
        <v/>
      </c>
      <c r="AI27" s="3">
        <f>AI25-AI26</f>
        <v/>
      </c>
      <c r="AJ27" s="3">
        <f>AJ25-AJ26</f>
        <v/>
      </c>
      <c r="AK27" s="3">
        <f>AK25-AK26</f>
        <v/>
      </c>
      <c r="AL27" s="3">
        <f>AL25-AL26</f>
        <v/>
      </c>
      <c r="AM27" s="3">
        <f>AM25-AM26</f>
        <v/>
      </c>
      <c r="AN27" s="3">
        <f>AN25-AN26</f>
        <v/>
      </c>
      <c r="AO27" s="3">
        <f>AO25-AO26</f>
        <v/>
      </c>
      <c r="AP27" s="3">
        <f>AP25-AP26</f>
        <v/>
      </c>
      <c r="AQ27" s="3">
        <f>AQ25-AQ26</f>
        <v/>
      </c>
      <c r="AR27" s="3">
        <f>AR25-AR26</f>
        <v/>
      </c>
      <c r="AS27" s="3">
        <f>AS25-AS26</f>
        <v/>
      </c>
      <c r="AT27" s="3">
        <f>AT25-AT26</f>
        <v/>
      </c>
      <c r="AU27" s="3">
        <f>AU25-AU26</f>
        <v/>
      </c>
      <c r="AV27" s="3">
        <f>AV25-AV26</f>
        <v/>
      </c>
      <c r="AW27" s="3">
        <f>AW25-AW26</f>
        <v/>
      </c>
      <c r="AX27" s="3">
        <f>AX25-AX26</f>
        <v/>
      </c>
      <c r="AY27" s="3">
        <f>AY25-AY26</f>
        <v/>
      </c>
      <c r="AZ27" s="3">
        <f>AZ25-AZ26</f>
        <v/>
      </c>
      <c r="BA27" s="3">
        <f>BA25-BA26</f>
        <v/>
      </c>
      <c r="BB27" s="3">
        <f>BB25-BB26</f>
        <v/>
      </c>
      <c r="BC27" s="3">
        <f>BC25-BC26</f>
        <v/>
      </c>
      <c r="BD27" s="3">
        <f>BD25-BD26</f>
        <v/>
      </c>
      <c r="BE27" s="3">
        <f>BE25-BE26</f>
        <v/>
      </c>
      <c r="BF27" s="3">
        <f>BF25-BF26</f>
        <v/>
      </c>
      <c r="BG27" s="3">
        <f>BG25-BG26</f>
        <v/>
      </c>
      <c r="BH27" s="3">
        <f>BH25-BH26</f>
        <v/>
      </c>
      <c r="BI27" s="3">
        <f>BI25-BI26</f>
        <v/>
      </c>
      <c r="BJ27" s="3">
        <f>BJ25-BJ26</f>
        <v/>
      </c>
      <c r="BK27" s="3">
        <f>BK25-BK26</f>
        <v/>
      </c>
      <c r="BL27" s="3">
        <f>BL25-BL26</f>
        <v/>
      </c>
      <c r="BM27" s="3">
        <f>BM25-BM26</f>
        <v/>
      </c>
      <c r="BN27" s="3">
        <f>BN25-BN26</f>
        <v/>
      </c>
      <c r="BO27" s="3">
        <f>BO25-BO26</f>
        <v/>
      </c>
      <c r="BP27" s="3">
        <f>BP25-BP26</f>
        <v/>
      </c>
      <c r="BQ27" s="3">
        <f>BQ25-BQ26</f>
        <v/>
      </c>
      <c r="BR27" s="3">
        <f>BR25-BR26</f>
        <v/>
      </c>
      <c r="BS27" s="3">
        <f>BS25-BS26</f>
        <v/>
      </c>
      <c r="BT27" s="3">
        <f>BT25-BT26</f>
        <v/>
      </c>
      <c r="BU27" s="3">
        <f>BU25-BU26</f>
        <v/>
      </c>
      <c r="BV27" s="3">
        <f>BV25-BV26</f>
        <v/>
      </c>
    </row>
    <row r="28">
      <c r="A28" t="inlineStr">
        <is>
          <t>trials ending</t>
        </is>
      </c>
      <c r="B28" t="inlineStr">
        <is>
          <t>US_CA|BASIC_M</t>
        </is>
      </c>
      <c r="C28" s="3">
        <f>IF(C$2&gt;=Params!$B$7,INDEX($C$26:$BV$26,C$2-Params!$B$7+1),0)</f>
        <v/>
      </c>
      <c r="D28" s="3">
        <f>IF(D$2&gt;=Params!$B$7,INDEX($C$26:$BV$26,D$2-Params!$B$7+1),0)</f>
        <v/>
      </c>
      <c r="E28" s="3">
        <f>IF(E$2&gt;=Params!$B$7,INDEX($C$26:$BV$26,E$2-Params!$B$7+1),0)</f>
        <v/>
      </c>
      <c r="F28" s="3">
        <f>IF(F$2&gt;=Params!$B$7,INDEX($C$26:$BV$26,F$2-Params!$B$7+1),0)</f>
        <v/>
      </c>
      <c r="G28" s="3">
        <f>IF(G$2&gt;=Params!$B$7,INDEX($C$26:$BV$26,G$2-Params!$B$7+1),0)</f>
        <v/>
      </c>
      <c r="H28" s="3">
        <f>IF(H$2&gt;=Params!$B$7,INDEX($C$26:$BV$26,H$2-Params!$B$7+1),0)</f>
        <v/>
      </c>
      <c r="I28" s="3">
        <f>IF(I$2&gt;=Params!$B$7,INDEX($C$26:$BV$26,I$2-Params!$B$7+1),0)</f>
        <v/>
      </c>
      <c r="J28" s="3">
        <f>IF(J$2&gt;=Params!$B$7,INDEX($C$26:$BV$26,J$2-Params!$B$7+1),0)</f>
        <v/>
      </c>
      <c r="K28" s="3">
        <f>IF(K$2&gt;=Params!$B$7,INDEX($C$26:$BV$26,K$2-Params!$B$7+1),0)</f>
        <v/>
      </c>
      <c r="L28" s="3">
        <f>IF(L$2&gt;=Params!$B$7,INDEX($C$26:$BV$26,L$2-Params!$B$7+1),0)</f>
        <v/>
      </c>
      <c r="M28" s="3">
        <f>IF(M$2&gt;=Params!$B$7,INDEX($C$26:$BV$26,M$2-Params!$B$7+1),0)</f>
        <v/>
      </c>
      <c r="N28" s="3">
        <f>IF(N$2&gt;=Params!$B$7,INDEX($C$26:$BV$26,N$2-Params!$B$7+1),0)</f>
        <v/>
      </c>
      <c r="O28" s="3">
        <f>IF(O$2&gt;=Params!$B$7,INDEX($C$26:$BV$26,O$2-Params!$B$7+1),0)</f>
        <v/>
      </c>
      <c r="P28" s="3">
        <f>IF(P$2&gt;=Params!$B$7,INDEX($C$26:$BV$26,P$2-Params!$B$7+1),0)</f>
        <v/>
      </c>
      <c r="Q28" s="3">
        <f>IF(Q$2&gt;=Params!$B$7,INDEX($C$26:$BV$26,Q$2-Params!$B$7+1),0)</f>
        <v/>
      </c>
      <c r="R28" s="3">
        <f>IF(R$2&gt;=Params!$B$7,INDEX($C$26:$BV$26,R$2-Params!$B$7+1),0)</f>
        <v/>
      </c>
      <c r="S28" s="3">
        <f>IF(S$2&gt;=Params!$B$7,INDEX($C$26:$BV$26,S$2-Params!$B$7+1),0)</f>
        <v/>
      </c>
      <c r="T28" s="3">
        <f>IF(T$2&gt;=Params!$B$7,INDEX($C$26:$BV$26,T$2-Params!$B$7+1),0)</f>
        <v/>
      </c>
      <c r="U28" s="3">
        <f>IF(U$2&gt;=Params!$B$7,INDEX($C$26:$BV$26,U$2-Params!$B$7+1),0)</f>
        <v/>
      </c>
      <c r="V28" s="3">
        <f>IF(V$2&gt;=Params!$B$7,INDEX($C$26:$BV$26,V$2-Params!$B$7+1),0)</f>
        <v/>
      </c>
      <c r="W28" s="3">
        <f>IF(W$2&gt;=Params!$B$7,INDEX($C$26:$BV$26,W$2-Params!$B$7+1),0)</f>
        <v/>
      </c>
      <c r="X28" s="3">
        <f>IF(X$2&gt;=Params!$B$7,INDEX($C$26:$BV$26,X$2-Params!$B$7+1),0)</f>
        <v/>
      </c>
      <c r="Y28" s="3">
        <f>IF(Y$2&gt;=Params!$B$7,INDEX($C$26:$BV$26,Y$2-Params!$B$7+1),0)</f>
        <v/>
      </c>
      <c r="Z28" s="3">
        <f>IF(Z$2&gt;=Params!$B$7,INDEX($C$26:$BV$26,Z$2-Params!$B$7+1),0)</f>
        <v/>
      </c>
      <c r="AA28" s="3">
        <f>IF(AA$2&gt;=Params!$B$7,INDEX($C$26:$BV$26,AA$2-Params!$B$7+1),0)</f>
        <v/>
      </c>
      <c r="AB28" s="3">
        <f>IF(AB$2&gt;=Params!$B$7,INDEX($C$26:$BV$26,AB$2-Params!$B$7+1),0)</f>
        <v/>
      </c>
      <c r="AC28" s="3">
        <f>IF(AC$2&gt;=Params!$B$7,INDEX($C$26:$BV$26,AC$2-Params!$B$7+1),0)</f>
        <v/>
      </c>
      <c r="AD28" s="3">
        <f>IF(AD$2&gt;=Params!$B$7,INDEX($C$26:$BV$26,AD$2-Params!$B$7+1),0)</f>
        <v/>
      </c>
      <c r="AE28" s="3">
        <f>IF(AE$2&gt;=Params!$B$7,INDEX($C$26:$BV$26,AE$2-Params!$B$7+1),0)</f>
        <v/>
      </c>
      <c r="AF28" s="3">
        <f>IF(AF$2&gt;=Params!$B$7,INDEX($C$26:$BV$26,AF$2-Params!$B$7+1),0)</f>
        <v/>
      </c>
      <c r="AG28" s="3">
        <f>IF(AG$2&gt;=Params!$B$7,INDEX($C$26:$BV$26,AG$2-Params!$B$7+1),0)</f>
        <v/>
      </c>
      <c r="AH28" s="3">
        <f>IF(AH$2&gt;=Params!$B$7,INDEX($C$26:$BV$26,AH$2-Params!$B$7+1),0)</f>
        <v/>
      </c>
      <c r="AI28" s="3">
        <f>IF(AI$2&gt;=Params!$B$7,INDEX($C$26:$BV$26,AI$2-Params!$B$7+1),0)</f>
        <v/>
      </c>
      <c r="AJ28" s="3">
        <f>IF(AJ$2&gt;=Params!$B$7,INDEX($C$26:$BV$26,AJ$2-Params!$B$7+1),0)</f>
        <v/>
      </c>
      <c r="AK28" s="3">
        <f>IF(AK$2&gt;=Params!$B$7,INDEX($C$26:$BV$26,AK$2-Params!$B$7+1),0)</f>
        <v/>
      </c>
      <c r="AL28" s="3">
        <f>IF(AL$2&gt;=Params!$B$7,INDEX($C$26:$BV$26,AL$2-Params!$B$7+1),0)</f>
        <v/>
      </c>
      <c r="AM28" s="3">
        <f>IF(AM$2&gt;=Params!$B$7,INDEX($C$26:$BV$26,AM$2-Params!$B$7+1),0)</f>
        <v/>
      </c>
      <c r="AN28" s="3">
        <f>IF(AN$2&gt;=Params!$B$7,INDEX($C$26:$BV$26,AN$2-Params!$B$7+1),0)</f>
        <v/>
      </c>
      <c r="AO28" s="3">
        <f>IF(AO$2&gt;=Params!$B$7,INDEX($C$26:$BV$26,AO$2-Params!$B$7+1),0)</f>
        <v/>
      </c>
      <c r="AP28" s="3">
        <f>IF(AP$2&gt;=Params!$B$7,INDEX($C$26:$BV$26,AP$2-Params!$B$7+1),0)</f>
        <v/>
      </c>
      <c r="AQ28" s="3">
        <f>IF(AQ$2&gt;=Params!$B$7,INDEX($C$26:$BV$26,AQ$2-Params!$B$7+1),0)</f>
        <v/>
      </c>
      <c r="AR28" s="3">
        <f>IF(AR$2&gt;=Params!$B$7,INDEX($C$26:$BV$26,AR$2-Params!$B$7+1),0)</f>
        <v/>
      </c>
      <c r="AS28" s="3">
        <f>IF(AS$2&gt;=Params!$B$7,INDEX($C$26:$BV$26,AS$2-Params!$B$7+1),0)</f>
        <v/>
      </c>
      <c r="AT28" s="3">
        <f>IF(AT$2&gt;=Params!$B$7,INDEX($C$26:$BV$26,AT$2-Params!$B$7+1),0)</f>
        <v/>
      </c>
      <c r="AU28" s="3">
        <f>IF(AU$2&gt;=Params!$B$7,INDEX($C$26:$BV$26,AU$2-Params!$B$7+1),0)</f>
        <v/>
      </c>
      <c r="AV28" s="3">
        <f>IF(AV$2&gt;=Params!$B$7,INDEX($C$26:$BV$26,AV$2-Params!$B$7+1),0)</f>
        <v/>
      </c>
      <c r="AW28" s="3">
        <f>IF(AW$2&gt;=Params!$B$7,INDEX($C$26:$BV$26,AW$2-Params!$B$7+1),0)</f>
        <v/>
      </c>
      <c r="AX28" s="3">
        <f>IF(AX$2&gt;=Params!$B$7,INDEX($C$26:$BV$26,AX$2-Params!$B$7+1),0)</f>
        <v/>
      </c>
      <c r="AY28" s="3">
        <f>IF(AY$2&gt;=Params!$B$7,INDEX($C$26:$BV$26,AY$2-Params!$B$7+1),0)</f>
        <v/>
      </c>
      <c r="AZ28" s="3">
        <f>IF(AZ$2&gt;=Params!$B$7,INDEX($C$26:$BV$26,AZ$2-Params!$B$7+1),0)</f>
        <v/>
      </c>
      <c r="BA28" s="3">
        <f>IF(BA$2&gt;=Params!$B$7,INDEX($C$26:$BV$26,BA$2-Params!$B$7+1),0)</f>
        <v/>
      </c>
      <c r="BB28" s="3">
        <f>IF(BB$2&gt;=Params!$B$7,INDEX($C$26:$BV$26,BB$2-Params!$B$7+1),0)</f>
        <v/>
      </c>
      <c r="BC28" s="3">
        <f>IF(BC$2&gt;=Params!$B$7,INDEX($C$26:$BV$26,BC$2-Params!$B$7+1),0)</f>
        <v/>
      </c>
      <c r="BD28" s="3">
        <f>IF(BD$2&gt;=Params!$B$7,INDEX($C$26:$BV$26,BD$2-Params!$B$7+1),0)</f>
        <v/>
      </c>
      <c r="BE28" s="3">
        <f>IF(BE$2&gt;=Params!$B$7,INDEX($C$26:$BV$26,BE$2-Params!$B$7+1),0)</f>
        <v/>
      </c>
      <c r="BF28" s="3">
        <f>IF(BF$2&gt;=Params!$B$7,INDEX($C$26:$BV$26,BF$2-Params!$B$7+1),0)</f>
        <v/>
      </c>
      <c r="BG28" s="3">
        <f>IF(BG$2&gt;=Params!$B$7,INDEX($C$26:$BV$26,BG$2-Params!$B$7+1),0)</f>
        <v/>
      </c>
      <c r="BH28" s="3">
        <f>IF(BH$2&gt;=Params!$B$7,INDEX($C$26:$BV$26,BH$2-Params!$B$7+1),0)</f>
        <v/>
      </c>
      <c r="BI28" s="3">
        <f>IF(BI$2&gt;=Params!$B$7,INDEX($C$26:$BV$26,BI$2-Params!$B$7+1),0)</f>
        <v/>
      </c>
      <c r="BJ28" s="3">
        <f>IF(BJ$2&gt;=Params!$B$7,INDEX($C$26:$BV$26,BJ$2-Params!$B$7+1),0)</f>
        <v/>
      </c>
      <c r="BK28" s="3">
        <f>IF(BK$2&gt;=Params!$B$7,INDEX($C$26:$BV$26,BK$2-Params!$B$7+1),0)</f>
        <v/>
      </c>
      <c r="BL28" s="3">
        <f>IF(BL$2&gt;=Params!$B$7,INDEX($C$26:$BV$26,BL$2-Params!$B$7+1),0)</f>
        <v/>
      </c>
      <c r="BM28" s="3">
        <f>IF(BM$2&gt;=Params!$B$7,INDEX($C$26:$BV$26,BM$2-Params!$B$7+1),0)</f>
        <v/>
      </c>
      <c r="BN28" s="3">
        <f>IF(BN$2&gt;=Params!$B$7,INDEX($C$26:$BV$26,BN$2-Params!$B$7+1),0)</f>
        <v/>
      </c>
      <c r="BO28" s="3">
        <f>IF(BO$2&gt;=Params!$B$7,INDEX($C$26:$BV$26,BO$2-Params!$B$7+1),0)</f>
        <v/>
      </c>
      <c r="BP28" s="3">
        <f>IF(BP$2&gt;=Params!$B$7,INDEX($C$26:$BV$26,BP$2-Params!$B$7+1),0)</f>
        <v/>
      </c>
      <c r="BQ28" s="3">
        <f>IF(BQ$2&gt;=Params!$B$7,INDEX($C$26:$BV$26,BQ$2-Params!$B$7+1),0)</f>
        <v/>
      </c>
      <c r="BR28" s="3">
        <f>IF(BR$2&gt;=Params!$B$7,INDEX($C$26:$BV$26,BR$2-Params!$B$7+1),0)</f>
        <v/>
      </c>
      <c r="BS28" s="3">
        <f>IF(BS$2&gt;=Params!$B$7,INDEX($C$26:$BV$26,BS$2-Params!$B$7+1),0)</f>
        <v/>
      </c>
      <c r="BT28" s="3">
        <f>IF(BT$2&gt;=Params!$B$7,INDEX($C$26:$BV$26,BT$2-Params!$B$7+1),0)</f>
        <v/>
      </c>
      <c r="BU28" s="3">
        <f>IF(BU$2&gt;=Params!$B$7,INDEX($C$26:$BV$26,BU$2-Params!$B$7+1),0)</f>
        <v/>
      </c>
      <c r="BV28" s="3">
        <f>IF(BV$2&gt;=Params!$B$7,INDEX($C$26:$BV$26,BV$2-Params!$B$7+1),0)</f>
        <v/>
      </c>
    </row>
    <row r="29">
      <c r="A29" t="inlineStr">
        <is>
          <t>trials converted</t>
        </is>
      </c>
      <c r="B29" t="inlineStr">
        <is>
          <t>US_CA|BASIC_M</t>
        </is>
      </c>
      <c r="C29" s="3">
        <f>C28*Params!$B$8</f>
        <v/>
      </c>
      <c r="D29" s="3">
        <f>D28*Params!$B$8</f>
        <v/>
      </c>
      <c r="E29" s="3">
        <f>E28*Params!$B$8</f>
        <v/>
      </c>
      <c r="F29" s="3">
        <f>F28*Params!$B$8</f>
        <v/>
      </c>
      <c r="G29" s="3">
        <f>G28*Params!$B$8</f>
        <v/>
      </c>
      <c r="H29" s="3">
        <f>H28*Params!$B$8</f>
        <v/>
      </c>
      <c r="I29" s="3">
        <f>I28*Params!$B$8</f>
        <v/>
      </c>
      <c r="J29" s="3">
        <f>J28*Params!$B$8</f>
        <v/>
      </c>
      <c r="K29" s="3">
        <f>K28*Params!$B$8</f>
        <v/>
      </c>
      <c r="L29" s="3">
        <f>L28*Params!$B$8</f>
        <v/>
      </c>
      <c r="M29" s="3">
        <f>M28*Params!$B$8</f>
        <v/>
      </c>
      <c r="N29" s="3">
        <f>N28*Params!$B$8</f>
        <v/>
      </c>
      <c r="O29" s="3">
        <f>O28*Params!$B$8</f>
        <v/>
      </c>
      <c r="P29" s="3">
        <f>P28*Params!$B$8</f>
        <v/>
      </c>
      <c r="Q29" s="3">
        <f>Q28*Params!$B$8</f>
        <v/>
      </c>
      <c r="R29" s="3">
        <f>R28*Params!$B$8</f>
        <v/>
      </c>
      <c r="S29" s="3">
        <f>S28*Params!$B$8</f>
        <v/>
      </c>
      <c r="T29" s="3">
        <f>T28*Params!$B$8</f>
        <v/>
      </c>
      <c r="U29" s="3">
        <f>U28*Params!$B$8</f>
        <v/>
      </c>
      <c r="V29" s="3">
        <f>V28*Params!$B$8</f>
        <v/>
      </c>
      <c r="W29" s="3">
        <f>W28*Params!$B$8</f>
        <v/>
      </c>
      <c r="X29" s="3">
        <f>X28*Params!$B$8</f>
        <v/>
      </c>
      <c r="Y29" s="3">
        <f>Y28*Params!$B$8</f>
        <v/>
      </c>
      <c r="Z29" s="3">
        <f>Z28*Params!$B$8</f>
        <v/>
      </c>
      <c r="AA29" s="3">
        <f>AA28*Params!$B$8</f>
        <v/>
      </c>
      <c r="AB29" s="3">
        <f>AB28*Params!$B$8</f>
        <v/>
      </c>
      <c r="AC29" s="3">
        <f>AC28*Params!$B$8</f>
        <v/>
      </c>
      <c r="AD29" s="3">
        <f>AD28*Params!$B$8</f>
        <v/>
      </c>
      <c r="AE29" s="3">
        <f>AE28*Params!$B$8</f>
        <v/>
      </c>
      <c r="AF29" s="3">
        <f>AF28*Params!$B$8</f>
        <v/>
      </c>
      <c r="AG29" s="3">
        <f>AG28*Params!$B$8</f>
        <v/>
      </c>
      <c r="AH29" s="3">
        <f>AH28*Params!$B$8</f>
        <v/>
      </c>
      <c r="AI29" s="3">
        <f>AI28*Params!$B$8</f>
        <v/>
      </c>
      <c r="AJ29" s="3">
        <f>AJ28*Params!$B$8</f>
        <v/>
      </c>
      <c r="AK29" s="3">
        <f>AK28*Params!$B$8</f>
        <v/>
      </c>
      <c r="AL29" s="3">
        <f>AL28*Params!$B$8</f>
        <v/>
      </c>
      <c r="AM29" s="3">
        <f>AM28*Params!$B$8</f>
        <v/>
      </c>
      <c r="AN29" s="3">
        <f>AN28*Params!$B$8</f>
        <v/>
      </c>
      <c r="AO29" s="3">
        <f>AO28*Params!$B$8</f>
        <v/>
      </c>
      <c r="AP29" s="3">
        <f>AP28*Params!$B$8</f>
        <v/>
      </c>
      <c r="AQ29" s="3">
        <f>AQ28*Params!$B$8</f>
        <v/>
      </c>
      <c r="AR29" s="3">
        <f>AR28*Params!$B$8</f>
        <v/>
      </c>
      <c r="AS29" s="3">
        <f>AS28*Params!$B$8</f>
        <v/>
      </c>
      <c r="AT29" s="3">
        <f>AT28*Params!$B$8</f>
        <v/>
      </c>
      <c r="AU29" s="3">
        <f>AU28*Params!$B$8</f>
        <v/>
      </c>
      <c r="AV29" s="3">
        <f>AV28*Params!$B$8</f>
        <v/>
      </c>
      <c r="AW29" s="3">
        <f>AW28*Params!$B$8</f>
        <v/>
      </c>
      <c r="AX29" s="3">
        <f>AX28*Params!$B$8</f>
        <v/>
      </c>
      <c r="AY29" s="3">
        <f>AY28*Params!$B$8</f>
        <v/>
      </c>
      <c r="AZ29" s="3">
        <f>AZ28*Params!$B$8</f>
        <v/>
      </c>
      <c r="BA29" s="3">
        <f>BA28*Params!$B$8</f>
        <v/>
      </c>
      <c r="BB29" s="3">
        <f>BB28*Params!$B$8</f>
        <v/>
      </c>
      <c r="BC29" s="3">
        <f>BC28*Params!$B$8</f>
        <v/>
      </c>
      <c r="BD29" s="3">
        <f>BD28*Params!$B$8</f>
        <v/>
      </c>
      <c r="BE29" s="3">
        <f>BE28*Params!$B$8</f>
        <v/>
      </c>
      <c r="BF29" s="3">
        <f>BF28*Params!$B$8</f>
        <v/>
      </c>
      <c r="BG29" s="3">
        <f>BG28*Params!$B$8</f>
        <v/>
      </c>
      <c r="BH29" s="3">
        <f>BH28*Params!$B$8</f>
        <v/>
      </c>
      <c r="BI29" s="3">
        <f>BI28*Params!$B$8</f>
        <v/>
      </c>
      <c r="BJ29" s="3">
        <f>BJ28*Params!$B$8</f>
        <v/>
      </c>
      <c r="BK29" s="3">
        <f>BK28*Params!$B$8</f>
        <v/>
      </c>
      <c r="BL29" s="3">
        <f>BL28*Params!$B$8</f>
        <v/>
      </c>
      <c r="BM29" s="3">
        <f>BM28*Params!$B$8</f>
        <v/>
      </c>
      <c r="BN29" s="3">
        <f>BN28*Params!$B$8</f>
        <v/>
      </c>
      <c r="BO29" s="3">
        <f>BO28*Params!$B$8</f>
        <v/>
      </c>
      <c r="BP29" s="3">
        <f>BP28*Params!$B$8</f>
        <v/>
      </c>
      <c r="BQ29" s="3">
        <f>BQ28*Params!$B$8</f>
        <v/>
      </c>
      <c r="BR29" s="3">
        <f>BR28*Params!$B$8</f>
        <v/>
      </c>
      <c r="BS29" s="3">
        <f>BS28*Params!$B$8</f>
        <v/>
      </c>
      <c r="BT29" s="3">
        <f>BT28*Params!$B$8</f>
        <v/>
      </c>
      <c r="BU29" s="3">
        <f>BU28*Params!$B$8</f>
        <v/>
      </c>
      <c r="BV29" s="3">
        <f>BV28*Params!$B$8</f>
        <v/>
      </c>
    </row>
    <row r="30">
      <c r="A30" t="inlineStr">
        <is>
          <t>trials lost</t>
        </is>
      </c>
      <c r="B30" t="inlineStr">
        <is>
          <t>US_CA|BASIC_M</t>
        </is>
      </c>
      <c r="C30" s="3">
        <f>C28-C29</f>
        <v/>
      </c>
      <c r="D30" s="3">
        <f>D28-D29</f>
        <v/>
      </c>
      <c r="E30" s="3">
        <f>E28-E29</f>
        <v/>
      </c>
      <c r="F30" s="3">
        <f>F28-F29</f>
        <v/>
      </c>
      <c r="G30" s="3">
        <f>G28-G29</f>
        <v/>
      </c>
      <c r="H30" s="3">
        <f>H28-H29</f>
        <v/>
      </c>
      <c r="I30" s="3">
        <f>I28-I29</f>
        <v/>
      </c>
      <c r="J30" s="3">
        <f>J28-J29</f>
        <v/>
      </c>
      <c r="K30" s="3">
        <f>K28-K29</f>
        <v/>
      </c>
      <c r="L30" s="3">
        <f>L28-L29</f>
        <v/>
      </c>
      <c r="M30" s="3">
        <f>M28-M29</f>
        <v/>
      </c>
      <c r="N30" s="3">
        <f>N28-N29</f>
        <v/>
      </c>
      <c r="O30" s="3">
        <f>O28-O29</f>
        <v/>
      </c>
      <c r="P30" s="3">
        <f>P28-P29</f>
        <v/>
      </c>
      <c r="Q30" s="3">
        <f>Q28-Q29</f>
        <v/>
      </c>
      <c r="R30" s="3">
        <f>R28-R29</f>
        <v/>
      </c>
      <c r="S30" s="3">
        <f>S28-S29</f>
        <v/>
      </c>
      <c r="T30" s="3">
        <f>T28-T29</f>
        <v/>
      </c>
      <c r="U30" s="3">
        <f>U28-U29</f>
        <v/>
      </c>
      <c r="V30" s="3">
        <f>V28-V29</f>
        <v/>
      </c>
      <c r="W30" s="3">
        <f>W28-W29</f>
        <v/>
      </c>
      <c r="X30" s="3">
        <f>X28-X29</f>
        <v/>
      </c>
      <c r="Y30" s="3">
        <f>Y28-Y29</f>
        <v/>
      </c>
      <c r="Z30" s="3">
        <f>Z28-Z29</f>
        <v/>
      </c>
      <c r="AA30" s="3">
        <f>AA28-AA29</f>
        <v/>
      </c>
      <c r="AB30" s="3">
        <f>AB28-AB29</f>
        <v/>
      </c>
      <c r="AC30" s="3">
        <f>AC28-AC29</f>
        <v/>
      </c>
      <c r="AD30" s="3">
        <f>AD28-AD29</f>
        <v/>
      </c>
      <c r="AE30" s="3">
        <f>AE28-AE29</f>
        <v/>
      </c>
      <c r="AF30" s="3">
        <f>AF28-AF29</f>
        <v/>
      </c>
      <c r="AG30" s="3">
        <f>AG28-AG29</f>
        <v/>
      </c>
      <c r="AH30" s="3">
        <f>AH28-AH29</f>
        <v/>
      </c>
      <c r="AI30" s="3">
        <f>AI28-AI29</f>
        <v/>
      </c>
      <c r="AJ30" s="3">
        <f>AJ28-AJ29</f>
        <v/>
      </c>
      <c r="AK30" s="3">
        <f>AK28-AK29</f>
        <v/>
      </c>
      <c r="AL30" s="3">
        <f>AL28-AL29</f>
        <v/>
      </c>
      <c r="AM30" s="3">
        <f>AM28-AM29</f>
        <v/>
      </c>
      <c r="AN30" s="3">
        <f>AN28-AN29</f>
        <v/>
      </c>
      <c r="AO30" s="3">
        <f>AO28-AO29</f>
        <v/>
      </c>
      <c r="AP30" s="3">
        <f>AP28-AP29</f>
        <v/>
      </c>
      <c r="AQ30" s="3">
        <f>AQ28-AQ29</f>
        <v/>
      </c>
      <c r="AR30" s="3">
        <f>AR28-AR29</f>
        <v/>
      </c>
      <c r="AS30" s="3">
        <f>AS28-AS29</f>
        <v/>
      </c>
      <c r="AT30" s="3">
        <f>AT28-AT29</f>
        <v/>
      </c>
      <c r="AU30" s="3">
        <f>AU28-AU29</f>
        <v/>
      </c>
      <c r="AV30" s="3">
        <f>AV28-AV29</f>
        <v/>
      </c>
      <c r="AW30" s="3">
        <f>AW28-AW29</f>
        <v/>
      </c>
      <c r="AX30" s="3">
        <f>AX28-AX29</f>
        <v/>
      </c>
      <c r="AY30" s="3">
        <f>AY28-AY29</f>
        <v/>
      </c>
      <c r="AZ30" s="3">
        <f>AZ28-AZ29</f>
        <v/>
      </c>
      <c r="BA30" s="3">
        <f>BA28-BA29</f>
        <v/>
      </c>
      <c r="BB30" s="3">
        <f>BB28-BB29</f>
        <v/>
      </c>
      <c r="BC30" s="3">
        <f>BC28-BC29</f>
        <v/>
      </c>
      <c r="BD30" s="3">
        <f>BD28-BD29</f>
        <v/>
      </c>
      <c r="BE30" s="3">
        <f>BE28-BE29</f>
        <v/>
      </c>
      <c r="BF30" s="3">
        <f>BF28-BF29</f>
        <v/>
      </c>
      <c r="BG30" s="3">
        <f>BG28-BG29</f>
        <v/>
      </c>
      <c r="BH30" s="3">
        <f>BH28-BH29</f>
        <v/>
      </c>
      <c r="BI30" s="3">
        <f>BI28-BI29</f>
        <v/>
      </c>
      <c r="BJ30" s="3">
        <f>BJ28-BJ29</f>
        <v/>
      </c>
      <c r="BK30" s="3">
        <f>BK28-BK29</f>
        <v/>
      </c>
      <c r="BL30" s="3">
        <f>BL28-BL29</f>
        <v/>
      </c>
      <c r="BM30" s="3">
        <f>BM28-BM29</f>
        <v/>
      </c>
      <c r="BN30" s="3">
        <f>BN28-BN29</f>
        <v/>
      </c>
      <c r="BO30" s="3">
        <f>BO28-BO29</f>
        <v/>
      </c>
      <c r="BP30" s="3">
        <f>BP28-BP29</f>
        <v/>
      </c>
      <c r="BQ30" s="3">
        <f>BQ28-BQ29</f>
        <v/>
      </c>
      <c r="BR30" s="3">
        <f>BR28-BR29</f>
        <v/>
      </c>
      <c r="BS30" s="3">
        <f>BS28-BS29</f>
        <v/>
      </c>
      <c r="BT30" s="3">
        <f>BT28-BT29</f>
        <v/>
      </c>
      <c r="BU30" s="3">
        <f>BU28-BU29</f>
        <v/>
      </c>
      <c r="BV30" s="3">
        <f>BV28-BV29</f>
        <v/>
      </c>
    </row>
    <row r="31">
      <c r="A31" t="inlineStr">
        <is>
          <t>cum trial starts</t>
        </is>
      </c>
      <c r="B31" t="inlineStr">
        <is>
          <t>US_CA|BASIC_M</t>
        </is>
      </c>
      <c r="C31" s="3">
        <f>SUM($C26:C26)</f>
        <v/>
      </c>
      <c r="D31" s="3">
        <f>SUM($C26:D26)</f>
        <v/>
      </c>
      <c r="E31" s="3">
        <f>SUM($C26:E26)</f>
        <v/>
      </c>
      <c r="F31" s="3">
        <f>SUM($C26:F26)</f>
        <v/>
      </c>
      <c r="G31" s="3">
        <f>SUM($C26:G26)</f>
        <v/>
      </c>
      <c r="H31" s="3">
        <f>SUM($C26:H26)</f>
        <v/>
      </c>
      <c r="I31" s="3">
        <f>SUM($C26:I26)</f>
        <v/>
      </c>
      <c r="J31" s="3">
        <f>SUM($C26:J26)</f>
        <v/>
      </c>
      <c r="K31" s="3">
        <f>SUM($C26:K26)</f>
        <v/>
      </c>
      <c r="L31" s="3">
        <f>SUM($C26:L26)</f>
        <v/>
      </c>
      <c r="M31" s="3">
        <f>SUM($C26:M26)</f>
        <v/>
      </c>
      <c r="N31" s="3">
        <f>SUM($C26:N26)</f>
        <v/>
      </c>
      <c r="O31" s="3">
        <f>SUM($C26:O26)</f>
        <v/>
      </c>
      <c r="P31" s="3">
        <f>SUM($C26:P26)</f>
        <v/>
      </c>
      <c r="Q31" s="3">
        <f>SUM($C26:Q26)</f>
        <v/>
      </c>
      <c r="R31" s="3">
        <f>SUM($C26:R26)</f>
        <v/>
      </c>
      <c r="S31" s="3">
        <f>SUM($C26:S26)</f>
        <v/>
      </c>
      <c r="T31" s="3">
        <f>SUM($C26:T26)</f>
        <v/>
      </c>
      <c r="U31" s="3">
        <f>SUM($C26:U26)</f>
        <v/>
      </c>
      <c r="V31" s="3">
        <f>SUM($C26:V26)</f>
        <v/>
      </c>
      <c r="W31" s="3">
        <f>SUM($C26:W26)</f>
        <v/>
      </c>
      <c r="X31" s="3">
        <f>SUM($C26:X26)</f>
        <v/>
      </c>
      <c r="Y31" s="3">
        <f>SUM($C26:Y26)</f>
        <v/>
      </c>
      <c r="Z31" s="3">
        <f>SUM($C26:Z26)</f>
        <v/>
      </c>
      <c r="AA31" s="3">
        <f>SUM($C26:AA26)</f>
        <v/>
      </c>
      <c r="AB31" s="3">
        <f>SUM($C26:AB26)</f>
        <v/>
      </c>
      <c r="AC31" s="3">
        <f>SUM($C26:AC26)</f>
        <v/>
      </c>
      <c r="AD31" s="3">
        <f>SUM($C26:AD26)</f>
        <v/>
      </c>
      <c r="AE31" s="3">
        <f>SUM($C26:AE26)</f>
        <v/>
      </c>
      <c r="AF31" s="3">
        <f>SUM($C26:AF26)</f>
        <v/>
      </c>
      <c r="AG31" s="3">
        <f>SUM($C26:AG26)</f>
        <v/>
      </c>
      <c r="AH31" s="3">
        <f>SUM($C26:AH26)</f>
        <v/>
      </c>
      <c r="AI31" s="3">
        <f>SUM($C26:AI26)</f>
        <v/>
      </c>
      <c r="AJ31" s="3">
        <f>SUM($C26:AJ26)</f>
        <v/>
      </c>
      <c r="AK31" s="3">
        <f>SUM($C26:AK26)</f>
        <v/>
      </c>
      <c r="AL31" s="3">
        <f>SUM($C26:AL26)</f>
        <v/>
      </c>
      <c r="AM31" s="3">
        <f>SUM($C26:AM26)</f>
        <v/>
      </c>
      <c r="AN31" s="3">
        <f>SUM($C26:AN26)</f>
        <v/>
      </c>
      <c r="AO31" s="3">
        <f>SUM($C26:AO26)</f>
        <v/>
      </c>
      <c r="AP31" s="3">
        <f>SUM($C26:AP26)</f>
        <v/>
      </c>
      <c r="AQ31" s="3">
        <f>SUM($C26:AQ26)</f>
        <v/>
      </c>
      <c r="AR31" s="3">
        <f>SUM($C26:AR26)</f>
        <v/>
      </c>
      <c r="AS31" s="3">
        <f>SUM($C26:AS26)</f>
        <v/>
      </c>
      <c r="AT31" s="3">
        <f>SUM($C26:AT26)</f>
        <v/>
      </c>
      <c r="AU31" s="3">
        <f>SUM($C26:AU26)</f>
        <v/>
      </c>
      <c r="AV31" s="3">
        <f>SUM($C26:AV26)</f>
        <v/>
      </c>
      <c r="AW31" s="3">
        <f>SUM($C26:AW26)</f>
        <v/>
      </c>
      <c r="AX31" s="3">
        <f>SUM($C26:AX26)</f>
        <v/>
      </c>
      <c r="AY31" s="3">
        <f>SUM($C26:AY26)</f>
        <v/>
      </c>
      <c r="AZ31" s="3">
        <f>SUM($C26:AZ26)</f>
        <v/>
      </c>
      <c r="BA31" s="3">
        <f>SUM($C26:BA26)</f>
        <v/>
      </c>
      <c r="BB31" s="3">
        <f>SUM($C26:BB26)</f>
        <v/>
      </c>
      <c r="BC31" s="3">
        <f>SUM($C26:BC26)</f>
        <v/>
      </c>
      <c r="BD31" s="3">
        <f>SUM($C26:BD26)</f>
        <v/>
      </c>
      <c r="BE31" s="3">
        <f>SUM($C26:BE26)</f>
        <v/>
      </c>
      <c r="BF31" s="3">
        <f>SUM($C26:BF26)</f>
        <v/>
      </c>
      <c r="BG31" s="3">
        <f>SUM($C26:BG26)</f>
        <v/>
      </c>
      <c r="BH31" s="3">
        <f>SUM($C26:BH26)</f>
        <v/>
      </c>
      <c r="BI31" s="3">
        <f>SUM($C26:BI26)</f>
        <v/>
      </c>
      <c r="BJ31" s="3">
        <f>SUM($C26:BJ26)</f>
        <v/>
      </c>
      <c r="BK31" s="3">
        <f>SUM($C26:BK26)</f>
        <v/>
      </c>
      <c r="BL31" s="3">
        <f>SUM($C26:BL26)</f>
        <v/>
      </c>
      <c r="BM31" s="3">
        <f>SUM($C26:BM26)</f>
        <v/>
      </c>
      <c r="BN31" s="3">
        <f>SUM($C26:BN26)</f>
        <v/>
      </c>
      <c r="BO31" s="3">
        <f>SUM($C26:BO26)</f>
        <v/>
      </c>
      <c r="BP31" s="3">
        <f>SUM($C26:BP26)</f>
        <v/>
      </c>
      <c r="BQ31" s="3">
        <f>SUM($C26:BQ26)</f>
        <v/>
      </c>
      <c r="BR31" s="3">
        <f>SUM($C26:BR26)</f>
        <v/>
      </c>
      <c r="BS31" s="3">
        <f>SUM($C26:BS26)</f>
        <v/>
      </c>
      <c r="BT31" s="3">
        <f>SUM($C26:BT26)</f>
        <v/>
      </c>
      <c r="BU31" s="3">
        <f>SUM($C26:BU26)</f>
        <v/>
      </c>
      <c r="BV31" s="3">
        <f>SUM($C26:BV26)</f>
        <v/>
      </c>
    </row>
    <row r="32">
      <c r="A32" t="inlineStr">
        <is>
          <t>cum trials ending</t>
        </is>
      </c>
      <c r="B32" t="inlineStr">
        <is>
          <t>US_CA|BASIC_M</t>
        </is>
      </c>
      <c r="C32" s="3">
        <f>SUM($C28:C28)</f>
        <v/>
      </c>
      <c r="D32" s="3">
        <f>SUM($C28:D28)</f>
        <v/>
      </c>
      <c r="E32" s="3">
        <f>SUM($C28:E28)</f>
        <v/>
      </c>
      <c r="F32" s="3">
        <f>SUM($C28:F28)</f>
        <v/>
      </c>
      <c r="G32" s="3">
        <f>SUM($C28:G28)</f>
        <v/>
      </c>
      <c r="H32" s="3">
        <f>SUM($C28:H28)</f>
        <v/>
      </c>
      <c r="I32" s="3">
        <f>SUM($C28:I28)</f>
        <v/>
      </c>
      <c r="J32" s="3">
        <f>SUM($C28:J28)</f>
        <v/>
      </c>
      <c r="K32" s="3">
        <f>SUM($C28:K28)</f>
        <v/>
      </c>
      <c r="L32" s="3">
        <f>SUM($C28:L28)</f>
        <v/>
      </c>
      <c r="M32" s="3">
        <f>SUM($C28:M28)</f>
        <v/>
      </c>
      <c r="N32" s="3">
        <f>SUM($C28:N28)</f>
        <v/>
      </c>
      <c r="O32" s="3">
        <f>SUM($C28:O28)</f>
        <v/>
      </c>
      <c r="P32" s="3">
        <f>SUM($C28:P28)</f>
        <v/>
      </c>
      <c r="Q32" s="3">
        <f>SUM($C28:Q28)</f>
        <v/>
      </c>
      <c r="R32" s="3">
        <f>SUM($C28:R28)</f>
        <v/>
      </c>
      <c r="S32" s="3">
        <f>SUM($C28:S28)</f>
        <v/>
      </c>
      <c r="T32" s="3">
        <f>SUM($C28:T28)</f>
        <v/>
      </c>
      <c r="U32" s="3">
        <f>SUM($C28:U28)</f>
        <v/>
      </c>
      <c r="V32" s="3">
        <f>SUM($C28:V28)</f>
        <v/>
      </c>
      <c r="W32" s="3">
        <f>SUM($C28:W28)</f>
        <v/>
      </c>
      <c r="X32" s="3">
        <f>SUM($C28:X28)</f>
        <v/>
      </c>
      <c r="Y32" s="3">
        <f>SUM($C28:Y28)</f>
        <v/>
      </c>
      <c r="Z32" s="3">
        <f>SUM($C28:Z28)</f>
        <v/>
      </c>
      <c r="AA32" s="3">
        <f>SUM($C28:AA28)</f>
        <v/>
      </c>
      <c r="AB32" s="3">
        <f>SUM($C28:AB28)</f>
        <v/>
      </c>
      <c r="AC32" s="3">
        <f>SUM($C28:AC28)</f>
        <v/>
      </c>
      <c r="AD32" s="3">
        <f>SUM($C28:AD28)</f>
        <v/>
      </c>
      <c r="AE32" s="3">
        <f>SUM($C28:AE28)</f>
        <v/>
      </c>
      <c r="AF32" s="3">
        <f>SUM($C28:AF28)</f>
        <v/>
      </c>
      <c r="AG32" s="3">
        <f>SUM($C28:AG28)</f>
        <v/>
      </c>
      <c r="AH32" s="3">
        <f>SUM($C28:AH28)</f>
        <v/>
      </c>
      <c r="AI32" s="3">
        <f>SUM($C28:AI28)</f>
        <v/>
      </c>
      <c r="AJ32" s="3">
        <f>SUM($C28:AJ28)</f>
        <v/>
      </c>
      <c r="AK32" s="3">
        <f>SUM($C28:AK28)</f>
        <v/>
      </c>
      <c r="AL32" s="3">
        <f>SUM($C28:AL28)</f>
        <v/>
      </c>
      <c r="AM32" s="3">
        <f>SUM($C28:AM28)</f>
        <v/>
      </c>
      <c r="AN32" s="3">
        <f>SUM($C28:AN28)</f>
        <v/>
      </c>
      <c r="AO32" s="3">
        <f>SUM($C28:AO28)</f>
        <v/>
      </c>
      <c r="AP32" s="3">
        <f>SUM($C28:AP28)</f>
        <v/>
      </c>
      <c r="AQ32" s="3">
        <f>SUM($C28:AQ28)</f>
        <v/>
      </c>
      <c r="AR32" s="3">
        <f>SUM($C28:AR28)</f>
        <v/>
      </c>
      <c r="AS32" s="3">
        <f>SUM($C28:AS28)</f>
        <v/>
      </c>
      <c r="AT32" s="3">
        <f>SUM($C28:AT28)</f>
        <v/>
      </c>
      <c r="AU32" s="3">
        <f>SUM($C28:AU28)</f>
        <v/>
      </c>
      <c r="AV32" s="3">
        <f>SUM($C28:AV28)</f>
        <v/>
      </c>
      <c r="AW32" s="3">
        <f>SUM($C28:AW28)</f>
        <v/>
      </c>
      <c r="AX32" s="3">
        <f>SUM($C28:AX28)</f>
        <v/>
      </c>
      <c r="AY32" s="3">
        <f>SUM($C28:AY28)</f>
        <v/>
      </c>
      <c r="AZ32" s="3">
        <f>SUM($C28:AZ28)</f>
        <v/>
      </c>
      <c r="BA32" s="3">
        <f>SUM($C28:BA28)</f>
        <v/>
      </c>
      <c r="BB32" s="3">
        <f>SUM($C28:BB28)</f>
        <v/>
      </c>
      <c r="BC32" s="3">
        <f>SUM($C28:BC28)</f>
        <v/>
      </c>
      <c r="BD32" s="3">
        <f>SUM($C28:BD28)</f>
        <v/>
      </c>
      <c r="BE32" s="3">
        <f>SUM($C28:BE28)</f>
        <v/>
      </c>
      <c r="BF32" s="3">
        <f>SUM($C28:BF28)</f>
        <v/>
      </c>
      <c r="BG32" s="3">
        <f>SUM($C28:BG28)</f>
        <v/>
      </c>
      <c r="BH32" s="3">
        <f>SUM($C28:BH28)</f>
        <v/>
      </c>
      <c r="BI32" s="3">
        <f>SUM($C28:BI28)</f>
        <v/>
      </c>
      <c r="BJ32" s="3">
        <f>SUM($C28:BJ28)</f>
        <v/>
      </c>
      <c r="BK32" s="3">
        <f>SUM($C28:BK28)</f>
        <v/>
      </c>
      <c r="BL32" s="3">
        <f>SUM($C28:BL28)</f>
        <v/>
      </c>
      <c r="BM32" s="3">
        <f>SUM($C28:BM28)</f>
        <v/>
      </c>
      <c r="BN32" s="3">
        <f>SUM($C28:BN28)</f>
        <v/>
      </c>
      <c r="BO32" s="3">
        <f>SUM($C28:BO28)</f>
        <v/>
      </c>
      <c r="BP32" s="3">
        <f>SUM($C28:BP28)</f>
        <v/>
      </c>
      <c r="BQ32" s="3">
        <f>SUM($C28:BQ28)</f>
        <v/>
      </c>
      <c r="BR32" s="3">
        <f>SUM($C28:BR28)</f>
        <v/>
      </c>
      <c r="BS32" s="3">
        <f>SUM($C28:BS28)</f>
        <v/>
      </c>
      <c r="BT32" s="3">
        <f>SUM($C28:BT28)</f>
        <v/>
      </c>
      <c r="BU32" s="3">
        <f>SUM($C28:BU28)</f>
        <v/>
      </c>
      <c r="BV32" s="3">
        <f>SUM($C28:BV28)</f>
        <v/>
      </c>
    </row>
    <row r="33">
      <c r="A33" t="inlineStr">
        <is>
          <t>trials active</t>
        </is>
      </c>
      <c r="B33" t="inlineStr">
        <is>
          <t>US_CA|BASIC_M</t>
        </is>
      </c>
      <c r="C33" s="3">
        <f>C31-C32</f>
        <v/>
      </c>
      <c r="D33" s="3">
        <f>D31-D32</f>
        <v/>
      </c>
      <c r="E33" s="3">
        <f>E31-E32</f>
        <v/>
      </c>
      <c r="F33" s="3">
        <f>F31-F32</f>
        <v/>
      </c>
      <c r="G33" s="3">
        <f>G31-G32</f>
        <v/>
      </c>
      <c r="H33" s="3">
        <f>H31-H32</f>
        <v/>
      </c>
      <c r="I33" s="3">
        <f>I31-I32</f>
        <v/>
      </c>
      <c r="J33" s="3">
        <f>J31-J32</f>
        <v/>
      </c>
      <c r="K33" s="3">
        <f>K31-K32</f>
        <v/>
      </c>
      <c r="L33" s="3">
        <f>L31-L32</f>
        <v/>
      </c>
      <c r="M33" s="3">
        <f>M31-M32</f>
        <v/>
      </c>
      <c r="N33" s="3">
        <f>N31-N32</f>
        <v/>
      </c>
      <c r="O33" s="3">
        <f>O31-O32</f>
        <v/>
      </c>
      <c r="P33" s="3">
        <f>P31-P32</f>
        <v/>
      </c>
      <c r="Q33" s="3">
        <f>Q31-Q32</f>
        <v/>
      </c>
      <c r="R33" s="3">
        <f>R31-R32</f>
        <v/>
      </c>
      <c r="S33" s="3">
        <f>S31-S32</f>
        <v/>
      </c>
      <c r="T33" s="3">
        <f>T31-T32</f>
        <v/>
      </c>
      <c r="U33" s="3">
        <f>U31-U32</f>
        <v/>
      </c>
      <c r="V33" s="3">
        <f>V31-V32</f>
        <v/>
      </c>
      <c r="W33" s="3">
        <f>W31-W32</f>
        <v/>
      </c>
      <c r="X33" s="3">
        <f>X31-X32</f>
        <v/>
      </c>
      <c r="Y33" s="3">
        <f>Y31-Y32</f>
        <v/>
      </c>
      <c r="Z33" s="3">
        <f>Z31-Z32</f>
        <v/>
      </c>
      <c r="AA33" s="3">
        <f>AA31-AA32</f>
        <v/>
      </c>
      <c r="AB33" s="3">
        <f>AB31-AB32</f>
        <v/>
      </c>
      <c r="AC33" s="3">
        <f>AC31-AC32</f>
        <v/>
      </c>
      <c r="AD33" s="3">
        <f>AD31-AD32</f>
        <v/>
      </c>
      <c r="AE33" s="3">
        <f>AE31-AE32</f>
        <v/>
      </c>
      <c r="AF33" s="3">
        <f>AF31-AF32</f>
        <v/>
      </c>
      <c r="AG33" s="3">
        <f>AG31-AG32</f>
        <v/>
      </c>
      <c r="AH33" s="3">
        <f>AH31-AH32</f>
        <v/>
      </c>
      <c r="AI33" s="3">
        <f>AI31-AI32</f>
        <v/>
      </c>
      <c r="AJ33" s="3">
        <f>AJ31-AJ32</f>
        <v/>
      </c>
      <c r="AK33" s="3">
        <f>AK31-AK32</f>
        <v/>
      </c>
      <c r="AL33" s="3">
        <f>AL31-AL32</f>
        <v/>
      </c>
      <c r="AM33" s="3">
        <f>AM31-AM32</f>
        <v/>
      </c>
      <c r="AN33" s="3">
        <f>AN31-AN32</f>
        <v/>
      </c>
      <c r="AO33" s="3">
        <f>AO31-AO32</f>
        <v/>
      </c>
      <c r="AP33" s="3">
        <f>AP31-AP32</f>
        <v/>
      </c>
      <c r="AQ33" s="3">
        <f>AQ31-AQ32</f>
        <v/>
      </c>
      <c r="AR33" s="3">
        <f>AR31-AR32</f>
        <v/>
      </c>
      <c r="AS33" s="3">
        <f>AS31-AS32</f>
        <v/>
      </c>
      <c r="AT33" s="3">
        <f>AT31-AT32</f>
        <v/>
      </c>
      <c r="AU33" s="3">
        <f>AU31-AU32</f>
        <v/>
      </c>
      <c r="AV33" s="3">
        <f>AV31-AV32</f>
        <v/>
      </c>
      <c r="AW33" s="3">
        <f>AW31-AW32</f>
        <v/>
      </c>
      <c r="AX33" s="3">
        <f>AX31-AX32</f>
        <v/>
      </c>
      <c r="AY33" s="3">
        <f>AY31-AY32</f>
        <v/>
      </c>
      <c r="AZ33" s="3">
        <f>AZ31-AZ32</f>
        <v/>
      </c>
      <c r="BA33" s="3">
        <f>BA31-BA32</f>
        <v/>
      </c>
      <c r="BB33" s="3">
        <f>BB31-BB32</f>
        <v/>
      </c>
      <c r="BC33" s="3">
        <f>BC31-BC32</f>
        <v/>
      </c>
      <c r="BD33" s="3">
        <f>BD31-BD32</f>
        <v/>
      </c>
      <c r="BE33" s="3">
        <f>BE31-BE32</f>
        <v/>
      </c>
      <c r="BF33" s="3">
        <f>BF31-BF32</f>
        <v/>
      </c>
      <c r="BG33" s="3">
        <f>BG31-BG32</f>
        <v/>
      </c>
      <c r="BH33" s="3">
        <f>BH31-BH32</f>
        <v/>
      </c>
      <c r="BI33" s="3">
        <f>BI31-BI32</f>
        <v/>
      </c>
      <c r="BJ33" s="3">
        <f>BJ31-BJ32</f>
        <v/>
      </c>
      <c r="BK33" s="3">
        <f>BK31-BK32</f>
        <v/>
      </c>
      <c r="BL33" s="3">
        <f>BL31-BL32</f>
        <v/>
      </c>
      <c r="BM33" s="3">
        <f>BM31-BM32</f>
        <v/>
      </c>
      <c r="BN33" s="3">
        <f>BN31-BN32</f>
        <v/>
      </c>
      <c r="BO33" s="3">
        <f>BO31-BO32</f>
        <v/>
      </c>
      <c r="BP33" s="3">
        <f>BP31-BP32</f>
        <v/>
      </c>
      <c r="BQ33" s="3">
        <f>BQ31-BQ32</f>
        <v/>
      </c>
      <c r="BR33" s="3">
        <f>BR31-BR32</f>
        <v/>
      </c>
      <c r="BS33" s="3">
        <f>BS31-BS32</f>
        <v/>
      </c>
      <c r="BT33" s="3">
        <f>BT31-BT32</f>
        <v/>
      </c>
      <c r="BU33" s="3">
        <f>BU31-BU32</f>
        <v/>
      </c>
      <c r="BV33" s="3">
        <f>BV31-BV32</f>
        <v/>
      </c>
    </row>
    <row r="34">
      <c r="A34" t="inlineStr">
        <is>
          <t>paid starts</t>
        </is>
      </c>
      <c r="B34" t="inlineStr">
        <is>
          <t>US_CA|BASIC_M</t>
        </is>
      </c>
      <c r="C34" s="3">
        <f>C27+C29</f>
        <v/>
      </c>
      <c r="D34" s="3">
        <f>D27+D29</f>
        <v/>
      </c>
      <c r="E34" s="3">
        <f>E27+E29</f>
        <v/>
      </c>
      <c r="F34" s="3">
        <f>F27+F29</f>
        <v/>
      </c>
      <c r="G34" s="3">
        <f>G27+G29</f>
        <v/>
      </c>
      <c r="H34" s="3">
        <f>H27+H29</f>
        <v/>
      </c>
      <c r="I34" s="3">
        <f>I27+I29</f>
        <v/>
      </c>
      <c r="J34" s="3">
        <f>J27+J29</f>
        <v/>
      </c>
      <c r="K34" s="3">
        <f>K27+K29</f>
        <v/>
      </c>
      <c r="L34" s="3">
        <f>L27+L29</f>
        <v/>
      </c>
      <c r="M34" s="3">
        <f>M27+M29</f>
        <v/>
      </c>
      <c r="N34" s="3">
        <f>N27+N29</f>
        <v/>
      </c>
      <c r="O34" s="3">
        <f>O27+O29</f>
        <v/>
      </c>
      <c r="P34" s="3">
        <f>P27+P29</f>
        <v/>
      </c>
      <c r="Q34" s="3">
        <f>Q27+Q29</f>
        <v/>
      </c>
      <c r="R34" s="3">
        <f>R27+R29</f>
        <v/>
      </c>
      <c r="S34" s="3">
        <f>S27+S29</f>
        <v/>
      </c>
      <c r="T34" s="3">
        <f>T27+T29</f>
        <v/>
      </c>
      <c r="U34" s="3">
        <f>U27+U29</f>
        <v/>
      </c>
      <c r="V34" s="3">
        <f>V27+V29</f>
        <v/>
      </c>
      <c r="W34" s="3">
        <f>W27+W29</f>
        <v/>
      </c>
      <c r="X34" s="3">
        <f>X27+X29</f>
        <v/>
      </c>
      <c r="Y34" s="3">
        <f>Y27+Y29</f>
        <v/>
      </c>
      <c r="Z34" s="3">
        <f>Z27+Z29</f>
        <v/>
      </c>
      <c r="AA34" s="3">
        <f>AA27+AA29</f>
        <v/>
      </c>
      <c r="AB34" s="3">
        <f>AB27+AB29</f>
        <v/>
      </c>
      <c r="AC34" s="3">
        <f>AC27+AC29</f>
        <v/>
      </c>
      <c r="AD34" s="3">
        <f>AD27+AD29</f>
        <v/>
      </c>
      <c r="AE34" s="3">
        <f>AE27+AE29</f>
        <v/>
      </c>
      <c r="AF34" s="3">
        <f>AF27+AF29</f>
        <v/>
      </c>
      <c r="AG34" s="3">
        <f>AG27+AG29</f>
        <v/>
      </c>
      <c r="AH34" s="3">
        <f>AH27+AH29</f>
        <v/>
      </c>
      <c r="AI34" s="3">
        <f>AI27+AI29</f>
        <v/>
      </c>
      <c r="AJ34" s="3">
        <f>AJ27+AJ29</f>
        <v/>
      </c>
      <c r="AK34" s="3">
        <f>AK27+AK29</f>
        <v/>
      </c>
      <c r="AL34" s="3">
        <f>AL27+AL29</f>
        <v/>
      </c>
      <c r="AM34" s="3">
        <f>AM27+AM29</f>
        <v/>
      </c>
      <c r="AN34" s="3">
        <f>AN27+AN29</f>
        <v/>
      </c>
      <c r="AO34" s="3">
        <f>AO27+AO29</f>
        <v/>
      </c>
      <c r="AP34" s="3">
        <f>AP27+AP29</f>
        <v/>
      </c>
      <c r="AQ34" s="3">
        <f>AQ27+AQ29</f>
        <v/>
      </c>
      <c r="AR34" s="3">
        <f>AR27+AR29</f>
        <v/>
      </c>
      <c r="AS34" s="3">
        <f>AS27+AS29</f>
        <v/>
      </c>
      <c r="AT34" s="3">
        <f>AT27+AT29</f>
        <v/>
      </c>
      <c r="AU34" s="3">
        <f>AU27+AU29</f>
        <v/>
      </c>
      <c r="AV34" s="3">
        <f>AV27+AV29</f>
        <v/>
      </c>
      <c r="AW34" s="3">
        <f>AW27+AW29</f>
        <v/>
      </c>
      <c r="AX34" s="3">
        <f>AX27+AX29</f>
        <v/>
      </c>
      <c r="AY34" s="3">
        <f>AY27+AY29</f>
        <v/>
      </c>
      <c r="AZ34" s="3">
        <f>AZ27+AZ29</f>
        <v/>
      </c>
      <c r="BA34" s="3">
        <f>BA27+BA29</f>
        <v/>
      </c>
      <c r="BB34" s="3">
        <f>BB27+BB29</f>
        <v/>
      </c>
      <c r="BC34" s="3">
        <f>BC27+BC29</f>
        <v/>
      </c>
      <c r="BD34" s="3">
        <f>BD27+BD29</f>
        <v/>
      </c>
      <c r="BE34" s="3">
        <f>BE27+BE29</f>
        <v/>
      </c>
      <c r="BF34" s="3">
        <f>BF27+BF29</f>
        <v/>
      </c>
      <c r="BG34" s="3">
        <f>BG27+BG29</f>
        <v/>
      </c>
      <c r="BH34" s="3">
        <f>BH27+BH29</f>
        <v/>
      </c>
      <c r="BI34" s="3">
        <f>BI27+BI29</f>
        <v/>
      </c>
      <c r="BJ34" s="3">
        <f>BJ27+BJ29</f>
        <v/>
      </c>
      <c r="BK34" s="3">
        <f>BK27+BK29</f>
        <v/>
      </c>
      <c r="BL34" s="3">
        <f>BL27+BL29</f>
        <v/>
      </c>
      <c r="BM34" s="3">
        <f>BM27+BM29</f>
        <v/>
      </c>
      <c r="BN34" s="3">
        <f>BN27+BN29</f>
        <v/>
      </c>
      <c r="BO34" s="3">
        <f>BO27+BO29</f>
        <v/>
      </c>
      <c r="BP34" s="3">
        <f>BP27+BP29</f>
        <v/>
      </c>
      <c r="BQ34" s="3">
        <f>BQ27+BQ29</f>
        <v/>
      </c>
      <c r="BR34" s="3">
        <f>BR27+BR29</f>
        <v/>
      </c>
      <c r="BS34" s="3">
        <f>BS27+BS29</f>
        <v/>
      </c>
      <c r="BT34" s="3">
        <f>BT27+BT29</f>
        <v/>
      </c>
      <c r="BU34" s="3">
        <f>BU27+BU29</f>
        <v/>
      </c>
      <c r="BV34" s="3">
        <f>BV27+BV29</f>
        <v/>
      </c>
    </row>
    <row r="36">
      <c r="A36" t="inlineStr">
        <is>
          <t>gross adds</t>
        </is>
      </c>
      <c r="B36" t="inlineStr">
        <is>
          <t>US_CA|BASIC_A</t>
        </is>
      </c>
      <c r="C36" s="3">
        <f>MAU!C4*Params!$B$36*Params!$B$5*Params!$B$87*Params!$B$74</f>
        <v/>
      </c>
      <c r="D36" s="3">
        <f>MAU!D4*Params!$B$36*Params!$B$5*Params!$B$87*Params!$B$74</f>
        <v/>
      </c>
      <c r="E36" s="3">
        <f>MAU!E4*Params!$B$36*Params!$B$5*Params!$B$87*Params!$B$74</f>
        <v/>
      </c>
      <c r="F36" s="3">
        <f>MAU!F4*Params!$B$36*Params!$B$5*Params!$B$87*Params!$B$74</f>
        <v/>
      </c>
      <c r="G36" s="3">
        <f>MAU!G4*Params!$B$36*Params!$B$5*Params!$B$87*Params!$B$74</f>
        <v/>
      </c>
      <c r="H36" s="3">
        <f>MAU!H4*Params!$B$36*Params!$B$5*Params!$B$87*Params!$B$74</f>
        <v/>
      </c>
      <c r="I36" s="3">
        <f>MAU!I4*Params!$B$36*Params!$B$5*Params!$B$87*Params!$B$74</f>
        <v/>
      </c>
      <c r="J36" s="3">
        <f>MAU!J4*Params!$B$36*Params!$B$5*Params!$B$87*Params!$B$74</f>
        <v/>
      </c>
      <c r="K36" s="3">
        <f>MAU!K4*Params!$B$36*Params!$B$5*Params!$B$87*Params!$B$74</f>
        <v/>
      </c>
      <c r="L36" s="3">
        <f>MAU!L4*Params!$B$36*Params!$B$5*Params!$B$87*Params!$B$74</f>
        <v/>
      </c>
      <c r="M36" s="3">
        <f>MAU!M4*Params!$B$36*Params!$B$5*Params!$B$87*Params!$B$74</f>
        <v/>
      </c>
      <c r="N36" s="3">
        <f>MAU!N4*Params!$B$36*Params!$B$5*Params!$B$87*Params!$B$74</f>
        <v/>
      </c>
      <c r="O36" s="3">
        <f>MAU!O4*Params!$B$36*Params!$B$5*Params!$B$87*Params!$B$74</f>
        <v/>
      </c>
      <c r="P36" s="3">
        <f>MAU!P4*Params!$B$36*Params!$B$5*Params!$B$87*Params!$B$74</f>
        <v/>
      </c>
      <c r="Q36" s="3">
        <f>MAU!Q4*Params!$B$36*Params!$B$5*Params!$B$87*Params!$B$74</f>
        <v/>
      </c>
      <c r="R36" s="3">
        <f>MAU!R4*Params!$B$36*Params!$B$5*Params!$B$87*Params!$B$74</f>
        <v/>
      </c>
      <c r="S36" s="3">
        <f>MAU!S4*Params!$B$36*Params!$B$5*Params!$B$87*Params!$B$74</f>
        <v/>
      </c>
      <c r="T36" s="3">
        <f>MAU!T4*Params!$B$36*Params!$B$5*Params!$B$87*Params!$B$74</f>
        <v/>
      </c>
      <c r="U36" s="3">
        <f>MAU!U4*Params!$B$36*Params!$B$5*Params!$B$87*Params!$B$74</f>
        <v/>
      </c>
      <c r="V36" s="3">
        <f>MAU!V4*Params!$B$36*Params!$B$5*Params!$B$87*Params!$B$74</f>
        <v/>
      </c>
      <c r="W36" s="3">
        <f>MAU!W4*Params!$B$36*Params!$B$5*Params!$B$87*Params!$B$74</f>
        <v/>
      </c>
      <c r="X36" s="3">
        <f>MAU!X4*Params!$B$36*Params!$B$5*Params!$B$87*Params!$B$74</f>
        <v/>
      </c>
      <c r="Y36" s="3">
        <f>MAU!Y4*Params!$B$36*Params!$B$5*Params!$B$87*Params!$B$74</f>
        <v/>
      </c>
      <c r="Z36" s="3">
        <f>MAU!Z4*Params!$B$36*Params!$B$5*Params!$B$87*Params!$B$74</f>
        <v/>
      </c>
      <c r="AA36" s="3">
        <f>MAU!AA4*Params!$B$36*Params!$B$5*Params!$B$87*Params!$B$74</f>
        <v/>
      </c>
      <c r="AB36" s="3">
        <f>MAU!AB4*Params!$B$36*Params!$B$5*Params!$B$87*Params!$B$74</f>
        <v/>
      </c>
      <c r="AC36" s="3">
        <f>MAU!AC4*Params!$B$36*Params!$B$5*Params!$B$87*Params!$B$74</f>
        <v/>
      </c>
      <c r="AD36" s="3">
        <f>MAU!AD4*Params!$B$36*Params!$B$5*Params!$B$87*Params!$B$74</f>
        <v/>
      </c>
      <c r="AE36" s="3">
        <f>MAU!AE4*Params!$B$36*Params!$B$5*Params!$B$87*Params!$B$74</f>
        <v/>
      </c>
      <c r="AF36" s="3">
        <f>MAU!AF4*Params!$B$36*Params!$B$5*Params!$B$87*Params!$B$74</f>
        <v/>
      </c>
      <c r="AG36" s="3">
        <f>MAU!AG4*Params!$B$36*Params!$B$5*Params!$B$87*Params!$B$74</f>
        <v/>
      </c>
      <c r="AH36" s="3">
        <f>MAU!AH4*Params!$B$36*Params!$B$5*Params!$B$87*Params!$B$74</f>
        <v/>
      </c>
      <c r="AI36" s="3">
        <f>MAU!AI4*Params!$B$36*Params!$B$5*Params!$B$87*Params!$B$74</f>
        <v/>
      </c>
      <c r="AJ36" s="3">
        <f>MAU!AJ4*Params!$B$36*Params!$B$5*Params!$B$87*Params!$B$74</f>
        <v/>
      </c>
      <c r="AK36" s="3">
        <f>MAU!AK4*Params!$B$36*Params!$B$5*Params!$B$87*Params!$B$74</f>
        <v/>
      </c>
      <c r="AL36" s="3">
        <f>MAU!AL4*Params!$B$36*Params!$B$5*Params!$B$87*Params!$B$74</f>
        <v/>
      </c>
      <c r="AM36" s="3">
        <f>MAU!AM4*Params!$B$36*Params!$B$5*Params!$B$87*Params!$B$74</f>
        <v/>
      </c>
      <c r="AN36" s="3">
        <f>MAU!AN4*Params!$B$36*Params!$B$5*Params!$B$87*Params!$B$74</f>
        <v/>
      </c>
      <c r="AO36" s="3">
        <f>MAU!AO4*Params!$B$36*Params!$B$5*Params!$B$87*Params!$B$74</f>
        <v/>
      </c>
      <c r="AP36" s="3">
        <f>MAU!AP4*Params!$B$36*Params!$B$5*Params!$B$87*Params!$B$74</f>
        <v/>
      </c>
      <c r="AQ36" s="3">
        <f>MAU!AQ4*Params!$B$36*Params!$B$5*Params!$B$87*Params!$B$74</f>
        <v/>
      </c>
      <c r="AR36" s="3">
        <f>MAU!AR4*Params!$B$36*Params!$B$5*Params!$B$87*Params!$B$74</f>
        <v/>
      </c>
      <c r="AS36" s="3">
        <f>MAU!AS4*Params!$B$36*Params!$B$5*Params!$B$87*Params!$B$74</f>
        <v/>
      </c>
      <c r="AT36" s="3">
        <f>MAU!AT4*Params!$B$36*Params!$B$5*Params!$B$87*Params!$B$74</f>
        <v/>
      </c>
      <c r="AU36" s="3">
        <f>MAU!AU4*Params!$B$36*Params!$B$5*Params!$B$87*Params!$B$74</f>
        <v/>
      </c>
      <c r="AV36" s="3">
        <f>MAU!AV4*Params!$B$36*Params!$B$5*Params!$B$87*Params!$B$74</f>
        <v/>
      </c>
      <c r="AW36" s="3">
        <f>MAU!AW4*Params!$B$36*Params!$B$5*Params!$B$87*Params!$B$74</f>
        <v/>
      </c>
      <c r="AX36" s="3">
        <f>MAU!AX4*Params!$B$36*Params!$B$5*Params!$B$87*Params!$B$74</f>
        <v/>
      </c>
      <c r="AY36" s="3">
        <f>MAU!AY4*Params!$B$36*Params!$B$5*Params!$B$87*Params!$B$74</f>
        <v/>
      </c>
      <c r="AZ36" s="3">
        <f>MAU!AZ4*Params!$B$36*Params!$B$5*Params!$B$87*Params!$B$74</f>
        <v/>
      </c>
      <c r="BA36" s="3">
        <f>MAU!BA4*Params!$B$36*Params!$B$5*Params!$B$87*Params!$B$74</f>
        <v/>
      </c>
      <c r="BB36" s="3">
        <f>MAU!BB4*Params!$B$36*Params!$B$5*Params!$B$87*Params!$B$74</f>
        <v/>
      </c>
      <c r="BC36" s="3">
        <f>MAU!BC4*Params!$B$36*Params!$B$5*Params!$B$87*Params!$B$74</f>
        <v/>
      </c>
      <c r="BD36" s="3">
        <f>MAU!BD4*Params!$B$36*Params!$B$5*Params!$B$87*Params!$B$74</f>
        <v/>
      </c>
      <c r="BE36" s="3">
        <f>MAU!BE4*Params!$B$36*Params!$B$5*Params!$B$87*Params!$B$74</f>
        <v/>
      </c>
      <c r="BF36" s="3">
        <f>MAU!BF4*Params!$B$36*Params!$B$5*Params!$B$87*Params!$B$74</f>
        <v/>
      </c>
      <c r="BG36" s="3">
        <f>MAU!BG4*Params!$B$36*Params!$B$5*Params!$B$87*Params!$B$74</f>
        <v/>
      </c>
      <c r="BH36" s="3">
        <f>MAU!BH4*Params!$B$36*Params!$B$5*Params!$B$87*Params!$B$74</f>
        <v/>
      </c>
      <c r="BI36" s="3">
        <f>MAU!BI4*Params!$B$36*Params!$B$5*Params!$B$87*Params!$B$74</f>
        <v/>
      </c>
      <c r="BJ36" s="3">
        <f>MAU!BJ4*Params!$B$36*Params!$B$5*Params!$B$87*Params!$B$74</f>
        <v/>
      </c>
      <c r="BK36" s="3">
        <f>MAU!BK4*Params!$B$36*Params!$B$5*Params!$B$87*Params!$B$74</f>
        <v/>
      </c>
      <c r="BL36" s="3">
        <f>MAU!BL4*Params!$B$36*Params!$B$5*Params!$B$87*Params!$B$74</f>
        <v/>
      </c>
      <c r="BM36" s="3">
        <f>MAU!BM4*Params!$B$36*Params!$B$5*Params!$B$87*Params!$B$74</f>
        <v/>
      </c>
      <c r="BN36" s="3">
        <f>MAU!BN4*Params!$B$36*Params!$B$5*Params!$B$87*Params!$B$74</f>
        <v/>
      </c>
      <c r="BO36" s="3">
        <f>MAU!BO4*Params!$B$36*Params!$B$5*Params!$B$87*Params!$B$74</f>
        <v/>
      </c>
      <c r="BP36" s="3">
        <f>MAU!BP4*Params!$B$36*Params!$B$5*Params!$B$87*Params!$B$74</f>
        <v/>
      </c>
      <c r="BQ36" s="3">
        <f>MAU!BQ4*Params!$B$36*Params!$B$5*Params!$B$87*Params!$B$74</f>
        <v/>
      </c>
      <c r="BR36" s="3">
        <f>MAU!BR4*Params!$B$36*Params!$B$5*Params!$B$87*Params!$B$74</f>
        <v/>
      </c>
      <c r="BS36" s="3">
        <f>MAU!BS4*Params!$B$36*Params!$B$5*Params!$B$87*Params!$B$74</f>
        <v/>
      </c>
      <c r="BT36" s="3">
        <f>MAU!BT4*Params!$B$36*Params!$B$5*Params!$B$87*Params!$B$74</f>
        <v/>
      </c>
      <c r="BU36" s="3">
        <f>MAU!BU4*Params!$B$36*Params!$B$5*Params!$B$87*Params!$B$74</f>
        <v/>
      </c>
      <c r="BV36" s="3">
        <f>MAU!BV4*Params!$B$36*Params!$B$5*Params!$B$87*Params!$B$74</f>
        <v/>
      </c>
    </row>
    <row r="37">
      <c r="A37" t="inlineStr">
        <is>
          <t>trial starts</t>
        </is>
      </c>
      <c r="B37" t="inlineStr">
        <is>
          <t>US_CA|BASIC_A</t>
        </is>
      </c>
      <c r="C37" s="3">
        <f>C36*Params!$B$6</f>
        <v/>
      </c>
      <c r="D37" s="3">
        <f>D36*Params!$B$6</f>
        <v/>
      </c>
      <c r="E37" s="3">
        <f>E36*Params!$B$6</f>
        <v/>
      </c>
      <c r="F37" s="3">
        <f>F36*Params!$B$6</f>
        <v/>
      </c>
      <c r="G37" s="3">
        <f>G36*Params!$B$6</f>
        <v/>
      </c>
      <c r="H37" s="3">
        <f>H36*Params!$B$6</f>
        <v/>
      </c>
      <c r="I37" s="3">
        <f>I36*Params!$B$6</f>
        <v/>
      </c>
      <c r="J37" s="3">
        <f>J36*Params!$B$6</f>
        <v/>
      </c>
      <c r="K37" s="3">
        <f>K36*Params!$B$6</f>
        <v/>
      </c>
      <c r="L37" s="3">
        <f>L36*Params!$B$6</f>
        <v/>
      </c>
      <c r="M37" s="3">
        <f>M36*Params!$B$6</f>
        <v/>
      </c>
      <c r="N37" s="3">
        <f>N36*Params!$B$6</f>
        <v/>
      </c>
      <c r="O37" s="3">
        <f>O36*Params!$B$6</f>
        <v/>
      </c>
      <c r="P37" s="3">
        <f>P36*Params!$B$6</f>
        <v/>
      </c>
      <c r="Q37" s="3">
        <f>Q36*Params!$B$6</f>
        <v/>
      </c>
      <c r="R37" s="3">
        <f>R36*Params!$B$6</f>
        <v/>
      </c>
      <c r="S37" s="3">
        <f>S36*Params!$B$6</f>
        <v/>
      </c>
      <c r="T37" s="3">
        <f>T36*Params!$B$6</f>
        <v/>
      </c>
      <c r="U37" s="3">
        <f>U36*Params!$B$6</f>
        <v/>
      </c>
      <c r="V37" s="3">
        <f>V36*Params!$B$6</f>
        <v/>
      </c>
      <c r="W37" s="3">
        <f>W36*Params!$B$6</f>
        <v/>
      </c>
      <c r="X37" s="3">
        <f>X36*Params!$B$6</f>
        <v/>
      </c>
      <c r="Y37" s="3">
        <f>Y36*Params!$B$6</f>
        <v/>
      </c>
      <c r="Z37" s="3">
        <f>Z36*Params!$B$6</f>
        <v/>
      </c>
      <c r="AA37" s="3">
        <f>AA36*Params!$B$6</f>
        <v/>
      </c>
      <c r="AB37" s="3">
        <f>AB36*Params!$B$6</f>
        <v/>
      </c>
      <c r="AC37" s="3">
        <f>AC36*Params!$B$6</f>
        <v/>
      </c>
      <c r="AD37" s="3">
        <f>AD36*Params!$B$6</f>
        <v/>
      </c>
      <c r="AE37" s="3">
        <f>AE36*Params!$B$6</f>
        <v/>
      </c>
      <c r="AF37" s="3">
        <f>AF36*Params!$B$6</f>
        <v/>
      </c>
      <c r="AG37" s="3">
        <f>AG36*Params!$B$6</f>
        <v/>
      </c>
      <c r="AH37" s="3">
        <f>AH36*Params!$B$6</f>
        <v/>
      </c>
      <c r="AI37" s="3">
        <f>AI36*Params!$B$6</f>
        <v/>
      </c>
      <c r="AJ37" s="3">
        <f>AJ36*Params!$B$6</f>
        <v/>
      </c>
      <c r="AK37" s="3">
        <f>AK36*Params!$B$6</f>
        <v/>
      </c>
      <c r="AL37" s="3">
        <f>AL36*Params!$B$6</f>
        <v/>
      </c>
      <c r="AM37" s="3">
        <f>AM36*Params!$B$6</f>
        <v/>
      </c>
      <c r="AN37" s="3">
        <f>AN36*Params!$B$6</f>
        <v/>
      </c>
      <c r="AO37" s="3">
        <f>AO36*Params!$B$6</f>
        <v/>
      </c>
      <c r="AP37" s="3">
        <f>AP36*Params!$B$6</f>
        <v/>
      </c>
      <c r="AQ37" s="3">
        <f>AQ36*Params!$B$6</f>
        <v/>
      </c>
      <c r="AR37" s="3">
        <f>AR36*Params!$B$6</f>
        <v/>
      </c>
      <c r="AS37" s="3">
        <f>AS36*Params!$B$6</f>
        <v/>
      </c>
      <c r="AT37" s="3">
        <f>AT36*Params!$B$6</f>
        <v/>
      </c>
      <c r="AU37" s="3">
        <f>AU36*Params!$B$6</f>
        <v/>
      </c>
      <c r="AV37" s="3">
        <f>AV36*Params!$B$6</f>
        <v/>
      </c>
      <c r="AW37" s="3">
        <f>AW36*Params!$B$6</f>
        <v/>
      </c>
      <c r="AX37" s="3">
        <f>AX36*Params!$B$6</f>
        <v/>
      </c>
      <c r="AY37" s="3">
        <f>AY36*Params!$B$6</f>
        <v/>
      </c>
      <c r="AZ37" s="3">
        <f>AZ36*Params!$B$6</f>
        <v/>
      </c>
      <c r="BA37" s="3">
        <f>BA36*Params!$B$6</f>
        <v/>
      </c>
      <c r="BB37" s="3">
        <f>BB36*Params!$B$6</f>
        <v/>
      </c>
      <c r="BC37" s="3">
        <f>BC36*Params!$B$6</f>
        <v/>
      </c>
      <c r="BD37" s="3">
        <f>BD36*Params!$B$6</f>
        <v/>
      </c>
      <c r="BE37" s="3">
        <f>BE36*Params!$B$6</f>
        <v/>
      </c>
      <c r="BF37" s="3">
        <f>BF36*Params!$B$6</f>
        <v/>
      </c>
      <c r="BG37" s="3">
        <f>BG36*Params!$B$6</f>
        <v/>
      </c>
      <c r="BH37" s="3">
        <f>BH36*Params!$B$6</f>
        <v/>
      </c>
      <c r="BI37" s="3">
        <f>BI36*Params!$B$6</f>
        <v/>
      </c>
      <c r="BJ37" s="3">
        <f>BJ36*Params!$B$6</f>
        <v/>
      </c>
      <c r="BK37" s="3">
        <f>BK36*Params!$B$6</f>
        <v/>
      </c>
      <c r="BL37" s="3">
        <f>BL36*Params!$B$6</f>
        <v/>
      </c>
      <c r="BM37" s="3">
        <f>BM36*Params!$B$6</f>
        <v/>
      </c>
      <c r="BN37" s="3">
        <f>BN36*Params!$B$6</f>
        <v/>
      </c>
      <c r="BO37" s="3">
        <f>BO36*Params!$B$6</f>
        <v/>
      </c>
      <c r="BP37" s="3">
        <f>BP36*Params!$B$6</f>
        <v/>
      </c>
      <c r="BQ37" s="3">
        <f>BQ36*Params!$B$6</f>
        <v/>
      </c>
      <c r="BR37" s="3">
        <f>BR36*Params!$B$6</f>
        <v/>
      </c>
      <c r="BS37" s="3">
        <f>BS36*Params!$B$6</f>
        <v/>
      </c>
      <c r="BT37" s="3">
        <f>BT36*Params!$B$6</f>
        <v/>
      </c>
      <c r="BU37" s="3">
        <f>BU36*Params!$B$6</f>
        <v/>
      </c>
      <c r="BV37" s="3">
        <f>BV36*Params!$B$6</f>
        <v/>
      </c>
    </row>
    <row r="38">
      <c r="A38" t="inlineStr">
        <is>
          <t>direct paid starts</t>
        </is>
      </c>
      <c r="B38" t="inlineStr">
        <is>
          <t>US_CA|BASIC_A</t>
        </is>
      </c>
      <c r="C38" s="3">
        <f>C36-C37</f>
        <v/>
      </c>
      <c r="D38" s="3">
        <f>D36-D37</f>
        <v/>
      </c>
      <c r="E38" s="3">
        <f>E36-E37</f>
        <v/>
      </c>
      <c r="F38" s="3">
        <f>F36-F37</f>
        <v/>
      </c>
      <c r="G38" s="3">
        <f>G36-G37</f>
        <v/>
      </c>
      <c r="H38" s="3">
        <f>H36-H37</f>
        <v/>
      </c>
      <c r="I38" s="3">
        <f>I36-I37</f>
        <v/>
      </c>
      <c r="J38" s="3">
        <f>J36-J37</f>
        <v/>
      </c>
      <c r="K38" s="3">
        <f>K36-K37</f>
        <v/>
      </c>
      <c r="L38" s="3">
        <f>L36-L37</f>
        <v/>
      </c>
      <c r="M38" s="3">
        <f>M36-M37</f>
        <v/>
      </c>
      <c r="N38" s="3">
        <f>N36-N37</f>
        <v/>
      </c>
      <c r="O38" s="3">
        <f>O36-O37</f>
        <v/>
      </c>
      <c r="P38" s="3">
        <f>P36-P37</f>
        <v/>
      </c>
      <c r="Q38" s="3">
        <f>Q36-Q37</f>
        <v/>
      </c>
      <c r="R38" s="3">
        <f>R36-R37</f>
        <v/>
      </c>
      <c r="S38" s="3">
        <f>S36-S37</f>
        <v/>
      </c>
      <c r="T38" s="3">
        <f>T36-T37</f>
        <v/>
      </c>
      <c r="U38" s="3">
        <f>U36-U37</f>
        <v/>
      </c>
      <c r="V38" s="3">
        <f>V36-V37</f>
        <v/>
      </c>
      <c r="W38" s="3">
        <f>W36-W37</f>
        <v/>
      </c>
      <c r="X38" s="3">
        <f>X36-X37</f>
        <v/>
      </c>
      <c r="Y38" s="3">
        <f>Y36-Y37</f>
        <v/>
      </c>
      <c r="Z38" s="3">
        <f>Z36-Z37</f>
        <v/>
      </c>
      <c r="AA38" s="3">
        <f>AA36-AA37</f>
        <v/>
      </c>
      <c r="AB38" s="3">
        <f>AB36-AB37</f>
        <v/>
      </c>
      <c r="AC38" s="3">
        <f>AC36-AC37</f>
        <v/>
      </c>
      <c r="AD38" s="3">
        <f>AD36-AD37</f>
        <v/>
      </c>
      <c r="AE38" s="3">
        <f>AE36-AE37</f>
        <v/>
      </c>
      <c r="AF38" s="3">
        <f>AF36-AF37</f>
        <v/>
      </c>
      <c r="AG38" s="3">
        <f>AG36-AG37</f>
        <v/>
      </c>
      <c r="AH38" s="3">
        <f>AH36-AH37</f>
        <v/>
      </c>
      <c r="AI38" s="3">
        <f>AI36-AI37</f>
        <v/>
      </c>
      <c r="AJ38" s="3">
        <f>AJ36-AJ37</f>
        <v/>
      </c>
      <c r="AK38" s="3">
        <f>AK36-AK37</f>
        <v/>
      </c>
      <c r="AL38" s="3">
        <f>AL36-AL37</f>
        <v/>
      </c>
      <c r="AM38" s="3">
        <f>AM36-AM37</f>
        <v/>
      </c>
      <c r="AN38" s="3">
        <f>AN36-AN37</f>
        <v/>
      </c>
      <c r="AO38" s="3">
        <f>AO36-AO37</f>
        <v/>
      </c>
      <c r="AP38" s="3">
        <f>AP36-AP37</f>
        <v/>
      </c>
      <c r="AQ38" s="3">
        <f>AQ36-AQ37</f>
        <v/>
      </c>
      <c r="AR38" s="3">
        <f>AR36-AR37</f>
        <v/>
      </c>
      <c r="AS38" s="3">
        <f>AS36-AS37</f>
        <v/>
      </c>
      <c r="AT38" s="3">
        <f>AT36-AT37</f>
        <v/>
      </c>
      <c r="AU38" s="3">
        <f>AU36-AU37</f>
        <v/>
      </c>
      <c r="AV38" s="3">
        <f>AV36-AV37</f>
        <v/>
      </c>
      <c r="AW38" s="3">
        <f>AW36-AW37</f>
        <v/>
      </c>
      <c r="AX38" s="3">
        <f>AX36-AX37</f>
        <v/>
      </c>
      <c r="AY38" s="3">
        <f>AY36-AY37</f>
        <v/>
      </c>
      <c r="AZ38" s="3">
        <f>AZ36-AZ37</f>
        <v/>
      </c>
      <c r="BA38" s="3">
        <f>BA36-BA37</f>
        <v/>
      </c>
      <c r="BB38" s="3">
        <f>BB36-BB37</f>
        <v/>
      </c>
      <c r="BC38" s="3">
        <f>BC36-BC37</f>
        <v/>
      </c>
      <c r="BD38" s="3">
        <f>BD36-BD37</f>
        <v/>
      </c>
      <c r="BE38" s="3">
        <f>BE36-BE37</f>
        <v/>
      </c>
      <c r="BF38" s="3">
        <f>BF36-BF37</f>
        <v/>
      </c>
      <c r="BG38" s="3">
        <f>BG36-BG37</f>
        <v/>
      </c>
      <c r="BH38" s="3">
        <f>BH36-BH37</f>
        <v/>
      </c>
      <c r="BI38" s="3">
        <f>BI36-BI37</f>
        <v/>
      </c>
      <c r="BJ38" s="3">
        <f>BJ36-BJ37</f>
        <v/>
      </c>
      <c r="BK38" s="3">
        <f>BK36-BK37</f>
        <v/>
      </c>
      <c r="BL38" s="3">
        <f>BL36-BL37</f>
        <v/>
      </c>
      <c r="BM38" s="3">
        <f>BM36-BM37</f>
        <v/>
      </c>
      <c r="BN38" s="3">
        <f>BN36-BN37</f>
        <v/>
      </c>
      <c r="BO38" s="3">
        <f>BO36-BO37</f>
        <v/>
      </c>
      <c r="BP38" s="3">
        <f>BP36-BP37</f>
        <v/>
      </c>
      <c r="BQ38" s="3">
        <f>BQ36-BQ37</f>
        <v/>
      </c>
      <c r="BR38" s="3">
        <f>BR36-BR37</f>
        <v/>
      </c>
      <c r="BS38" s="3">
        <f>BS36-BS37</f>
        <v/>
      </c>
      <c r="BT38" s="3">
        <f>BT36-BT37</f>
        <v/>
      </c>
      <c r="BU38" s="3">
        <f>BU36-BU37</f>
        <v/>
      </c>
      <c r="BV38" s="3">
        <f>BV36-BV37</f>
        <v/>
      </c>
    </row>
    <row r="39">
      <c r="A39" t="inlineStr">
        <is>
          <t>trials ending</t>
        </is>
      </c>
      <c r="B39" t="inlineStr">
        <is>
          <t>US_CA|BASIC_A</t>
        </is>
      </c>
      <c r="C39" s="3">
        <f>IF(C$2&gt;=Params!$B$7,INDEX($C$37:$BV$37,C$2-Params!$B$7+1),0)</f>
        <v/>
      </c>
      <c r="D39" s="3">
        <f>IF(D$2&gt;=Params!$B$7,INDEX($C$37:$BV$37,D$2-Params!$B$7+1),0)</f>
        <v/>
      </c>
      <c r="E39" s="3">
        <f>IF(E$2&gt;=Params!$B$7,INDEX($C$37:$BV$37,E$2-Params!$B$7+1),0)</f>
        <v/>
      </c>
      <c r="F39" s="3">
        <f>IF(F$2&gt;=Params!$B$7,INDEX($C$37:$BV$37,F$2-Params!$B$7+1),0)</f>
        <v/>
      </c>
      <c r="G39" s="3">
        <f>IF(G$2&gt;=Params!$B$7,INDEX($C$37:$BV$37,G$2-Params!$B$7+1),0)</f>
        <v/>
      </c>
      <c r="H39" s="3">
        <f>IF(H$2&gt;=Params!$B$7,INDEX($C$37:$BV$37,H$2-Params!$B$7+1),0)</f>
        <v/>
      </c>
      <c r="I39" s="3">
        <f>IF(I$2&gt;=Params!$B$7,INDEX($C$37:$BV$37,I$2-Params!$B$7+1),0)</f>
        <v/>
      </c>
      <c r="J39" s="3">
        <f>IF(J$2&gt;=Params!$B$7,INDEX($C$37:$BV$37,J$2-Params!$B$7+1),0)</f>
        <v/>
      </c>
      <c r="K39" s="3">
        <f>IF(K$2&gt;=Params!$B$7,INDEX($C$37:$BV$37,K$2-Params!$B$7+1),0)</f>
        <v/>
      </c>
      <c r="L39" s="3">
        <f>IF(L$2&gt;=Params!$B$7,INDEX($C$37:$BV$37,L$2-Params!$B$7+1),0)</f>
        <v/>
      </c>
      <c r="M39" s="3">
        <f>IF(M$2&gt;=Params!$B$7,INDEX($C$37:$BV$37,M$2-Params!$B$7+1),0)</f>
        <v/>
      </c>
      <c r="N39" s="3">
        <f>IF(N$2&gt;=Params!$B$7,INDEX($C$37:$BV$37,N$2-Params!$B$7+1),0)</f>
        <v/>
      </c>
      <c r="O39" s="3">
        <f>IF(O$2&gt;=Params!$B$7,INDEX($C$37:$BV$37,O$2-Params!$B$7+1),0)</f>
        <v/>
      </c>
      <c r="P39" s="3">
        <f>IF(P$2&gt;=Params!$B$7,INDEX($C$37:$BV$37,P$2-Params!$B$7+1),0)</f>
        <v/>
      </c>
      <c r="Q39" s="3">
        <f>IF(Q$2&gt;=Params!$B$7,INDEX($C$37:$BV$37,Q$2-Params!$B$7+1),0)</f>
        <v/>
      </c>
      <c r="R39" s="3">
        <f>IF(R$2&gt;=Params!$B$7,INDEX($C$37:$BV$37,R$2-Params!$B$7+1),0)</f>
        <v/>
      </c>
      <c r="S39" s="3">
        <f>IF(S$2&gt;=Params!$B$7,INDEX($C$37:$BV$37,S$2-Params!$B$7+1),0)</f>
        <v/>
      </c>
      <c r="T39" s="3">
        <f>IF(T$2&gt;=Params!$B$7,INDEX($C$37:$BV$37,T$2-Params!$B$7+1),0)</f>
        <v/>
      </c>
      <c r="U39" s="3">
        <f>IF(U$2&gt;=Params!$B$7,INDEX($C$37:$BV$37,U$2-Params!$B$7+1),0)</f>
        <v/>
      </c>
      <c r="V39" s="3">
        <f>IF(V$2&gt;=Params!$B$7,INDEX($C$37:$BV$37,V$2-Params!$B$7+1),0)</f>
        <v/>
      </c>
      <c r="W39" s="3">
        <f>IF(W$2&gt;=Params!$B$7,INDEX($C$37:$BV$37,W$2-Params!$B$7+1),0)</f>
        <v/>
      </c>
      <c r="X39" s="3">
        <f>IF(X$2&gt;=Params!$B$7,INDEX($C$37:$BV$37,X$2-Params!$B$7+1),0)</f>
        <v/>
      </c>
      <c r="Y39" s="3">
        <f>IF(Y$2&gt;=Params!$B$7,INDEX($C$37:$BV$37,Y$2-Params!$B$7+1),0)</f>
        <v/>
      </c>
      <c r="Z39" s="3">
        <f>IF(Z$2&gt;=Params!$B$7,INDEX($C$37:$BV$37,Z$2-Params!$B$7+1),0)</f>
        <v/>
      </c>
      <c r="AA39" s="3">
        <f>IF(AA$2&gt;=Params!$B$7,INDEX($C$37:$BV$37,AA$2-Params!$B$7+1),0)</f>
        <v/>
      </c>
      <c r="AB39" s="3">
        <f>IF(AB$2&gt;=Params!$B$7,INDEX($C$37:$BV$37,AB$2-Params!$B$7+1),0)</f>
        <v/>
      </c>
      <c r="AC39" s="3">
        <f>IF(AC$2&gt;=Params!$B$7,INDEX($C$37:$BV$37,AC$2-Params!$B$7+1),0)</f>
        <v/>
      </c>
      <c r="AD39" s="3">
        <f>IF(AD$2&gt;=Params!$B$7,INDEX($C$37:$BV$37,AD$2-Params!$B$7+1),0)</f>
        <v/>
      </c>
      <c r="AE39" s="3">
        <f>IF(AE$2&gt;=Params!$B$7,INDEX($C$37:$BV$37,AE$2-Params!$B$7+1),0)</f>
        <v/>
      </c>
      <c r="AF39" s="3">
        <f>IF(AF$2&gt;=Params!$B$7,INDEX($C$37:$BV$37,AF$2-Params!$B$7+1),0)</f>
        <v/>
      </c>
      <c r="AG39" s="3">
        <f>IF(AG$2&gt;=Params!$B$7,INDEX($C$37:$BV$37,AG$2-Params!$B$7+1),0)</f>
        <v/>
      </c>
      <c r="AH39" s="3">
        <f>IF(AH$2&gt;=Params!$B$7,INDEX($C$37:$BV$37,AH$2-Params!$B$7+1),0)</f>
        <v/>
      </c>
      <c r="AI39" s="3">
        <f>IF(AI$2&gt;=Params!$B$7,INDEX($C$37:$BV$37,AI$2-Params!$B$7+1),0)</f>
        <v/>
      </c>
      <c r="AJ39" s="3">
        <f>IF(AJ$2&gt;=Params!$B$7,INDEX($C$37:$BV$37,AJ$2-Params!$B$7+1),0)</f>
        <v/>
      </c>
      <c r="AK39" s="3">
        <f>IF(AK$2&gt;=Params!$B$7,INDEX($C$37:$BV$37,AK$2-Params!$B$7+1),0)</f>
        <v/>
      </c>
      <c r="AL39" s="3">
        <f>IF(AL$2&gt;=Params!$B$7,INDEX($C$37:$BV$37,AL$2-Params!$B$7+1),0)</f>
        <v/>
      </c>
      <c r="AM39" s="3">
        <f>IF(AM$2&gt;=Params!$B$7,INDEX($C$37:$BV$37,AM$2-Params!$B$7+1),0)</f>
        <v/>
      </c>
      <c r="AN39" s="3">
        <f>IF(AN$2&gt;=Params!$B$7,INDEX($C$37:$BV$37,AN$2-Params!$B$7+1),0)</f>
        <v/>
      </c>
      <c r="AO39" s="3">
        <f>IF(AO$2&gt;=Params!$B$7,INDEX($C$37:$BV$37,AO$2-Params!$B$7+1),0)</f>
        <v/>
      </c>
      <c r="AP39" s="3">
        <f>IF(AP$2&gt;=Params!$B$7,INDEX($C$37:$BV$37,AP$2-Params!$B$7+1),0)</f>
        <v/>
      </c>
      <c r="AQ39" s="3">
        <f>IF(AQ$2&gt;=Params!$B$7,INDEX($C$37:$BV$37,AQ$2-Params!$B$7+1),0)</f>
        <v/>
      </c>
      <c r="AR39" s="3">
        <f>IF(AR$2&gt;=Params!$B$7,INDEX($C$37:$BV$37,AR$2-Params!$B$7+1),0)</f>
        <v/>
      </c>
      <c r="AS39" s="3">
        <f>IF(AS$2&gt;=Params!$B$7,INDEX($C$37:$BV$37,AS$2-Params!$B$7+1),0)</f>
        <v/>
      </c>
      <c r="AT39" s="3">
        <f>IF(AT$2&gt;=Params!$B$7,INDEX($C$37:$BV$37,AT$2-Params!$B$7+1),0)</f>
        <v/>
      </c>
      <c r="AU39" s="3">
        <f>IF(AU$2&gt;=Params!$B$7,INDEX($C$37:$BV$37,AU$2-Params!$B$7+1),0)</f>
        <v/>
      </c>
      <c r="AV39" s="3">
        <f>IF(AV$2&gt;=Params!$B$7,INDEX($C$37:$BV$37,AV$2-Params!$B$7+1),0)</f>
        <v/>
      </c>
      <c r="AW39" s="3">
        <f>IF(AW$2&gt;=Params!$B$7,INDEX($C$37:$BV$37,AW$2-Params!$B$7+1),0)</f>
        <v/>
      </c>
      <c r="AX39" s="3">
        <f>IF(AX$2&gt;=Params!$B$7,INDEX($C$37:$BV$37,AX$2-Params!$B$7+1),0)</f>
        <v/>
      </c>
      <c r="AY39" s="3">
        <f>IF(AY$2&gt;=Params!$B$7,INDEX($C$37:$BV$37,AY$2-Params!$B$7+1),0)</f>
        <v/>
      </c>
      <c r="AZ39" s="3">
        <f>IF(AZ$2&gt;=Params!$B$7,INDEX($C$37:$BV$37,AZ$2-Params!$B$7+1),0)</f>
        <v/>
      </c>
      <c r="BA39" s="3">
        <f>IF(BA$2&gt;=Params!$B$7,INDEX($C$37:$BV$37,BA$2-Params!$B$7+1),0)</f>
        <v/>
      </c>
      <c r="BB39" s="3">
        <f>IF(BB$2&gt;=Params!$B$7,INDEX($C$37:$BV$37,BB$2-Params!$B$7+1),0)</f>
        <v/>
      </c>
      <c r="BC39" s="3">
        <f>IF(BC$2&gt;=Params!$B$7,INDEX($C$37:$BV$37,BC$2-Params!$B$7+1),0)</f>
        <v/>
      </c>
      <c r="BD39" s="3">
        <f>IF(BD$2&gt;=Params!$B$7,INDEX($C$37:$BV$37,BD$2-Params!$B$7+1),0)</f>
        <v/>
      </c>
      <c r="BE39" s="3">
        <f>IF(BE$2&gt;=Params!$B$7,INDEX($C$37:$BV$37,BE$2-Params!$B$7+1),0)</f>
        <v/>
      </c>
      <c r="BF39" s="3">
        <f>IF(BF$2&gt;=Params!$B$7,INDEX($C$37:$BV$37,BF$2-Params!$B$7+1),0)</f>
        <v/>
      </c>
      <c r="BG39" s="3">
        <f>IF(BG$2&gt;=Params!$B$7,INDEX($C$37:$BV$37,BG$2-Params!$B$7+1),0)</f>
        <v/>
      </c>
      <c r="BH39" s="3">
        <f>IF(BH$2&gt;=Params!$B$7,INDEX($C$37:$BV$37,BH$2-Params!$B$7+1),0)</f>
        <v/>
      </c>
      <c r="BI39" s="3">
        <f>IF(BI$2&gt;=Params!$B$7,INDEX($C$37:$BV$37,BI$2-Params!$B$7+1),0)</f>
        <v/>
      </c>
      <c r="BJ39" s="3">
        <f>IF(BJ$2&gt;=Params!$B$7,INDEX($C$37:$BV$37,BJ$2-Params!$B$7+1),0)</f>
        <v/>
      </c>
      <c r="BK39" s="3">
        <f>IF(BK$2&gt;=Params!$B$7,INDEX($C$37:$BV$37,BK$2-Params!$B$7+1),0)</f>
        <v/>
      </c>
      <c r="BL39" s="3">
        <f>IF(BL$2&gt;=Params!$B$7,INDEX($C$37:$BV$37,BL$2-Params!$B$7+1),0)</f>
        <v/>
      </c>
      <c r="BM39" s="3">
        <f>IF(BM$2&gt;=Params!$B$7,INDEX($C$37:$BV$37,BM$2-Params!$B$7+1),0)</f>
        <v/>
      </c>
      <c r="BN39" s="3">
        <f>IF(BN$2&gt;=Params!$B$7,INDEX($C$37:$BV$37,BN$2-Params!$B$7+1),0)</f>
        <v/>
      </c>
      <c r="BO39" s="3">
        <f>IF(BO$2&gt;=Params!$B$7,INDEX($C$37:$BV$37,BO$2-Params!$B$7+1),0)</f>
        <v/>
      </c>
      <c r="BP39" s="3">
        <f>IF(BP$2&gt;=Params!$B$7,INDEX($C$37:$BV$37,BP$2-Params!$B$7+1),0)</f>
        <v/>
      </c>
      <c r="BQ39" s="3">
        <f>IF(BQ$2&gt;=Params!$B$7,INDEX($C$37:$BV$37,BQ$2-Params!$B$7+1),0)</f>
        <v/>
      </c>
      <c r="BR39" s="3">
        <f>IF(BR$2&gt;=Params!$B$7,INDEX($C$37:$BV$37,BR$2-Params!$B$7+1),0)</f>
        <v/>
      </c>
      <c r="BS39" s="3">
        <f>IF(BS$2&gt;=Params!$B$7,INDEX($C$37:$BV$37,BS$2-Params!$B$7+1),0)</f>
        <v/>
      </c>
      <c r="BT39" s="3">
        <f>IF(BT$2&gt;=Params!$B$7,INDEX($C$37:$BV$37,BT$2-Params!$B$7+1),0)</f>
        <v/>
      </c>
      <c r="BU39" s="3">
        <f>IF(BU$2&gt;=Params!$B$7,INDEX($C$37:$BV$37,BU$2-Params!$B$7+1),0)</f>
        <v/>
      </c>
      <c r="BV39" s="3">
        <f>IF(BV$2&gt;=Params!$B$7,INDEX($C$37:$BV$37,BV$2-Params!$B$7+1),0)</f>
        <v/>
      </c>
    </row>
    <row r="40">
      <c r="A40" t="inlineStr">
        <is>
          <t>trials converted</t>
        </is>
      </c>
      <c r="B40" t="inlineStr">
        <is>
          <t>US_CA|BASIC_A</t>
        </is>
      </c>
      <c r="C40" s="3">
        <f>C39*Params!$B$8</f>
        <v/>
      </c>
      <c r="D40" s="3">
        <f>D39*Params!$B$8</f>
        <v/>
      </c>
      <c r="E40" s="3">
        <f>E39*Params!$B$8</f>
        <v/>
      </c>
      <c r="F40" s="3">
        <f>F39*Params!$B$8</f>
        <v/>
      </c>
      <c r="G40" s="3">
        <f>G39*Params!$B$8</f>
        <v/>
      </c>
      <c r="H40" s="3">
        <f>H39*Params!$B$8</f>
        <v/>
      </c>
      <c r="I40" s="3">
        <f>I39*Params!$B$8</f>
        <v/>
      </c>
      <c r="J40" s="3">
        <f>J39*Params!$B$8</f>
        <v/>
      </c>
      <c r="K40" s="3">
        <f>K39*Params!$B$8</f>
        <v/>
      </c>
      <c r="L40" s="3">
        <f>L39*Params!$B$8</f>
        <v/>
      </c>
      <c r="M40" s="3">
        <f>M39*Params!$B$8</f>
        <v/>
      </c>
      <c r="N40" s="3">
        <f>N39*Params!$B$8</f>
        <v/>
      </c>
      <c r="O40" s="3">
        <f>O39*Params!$B$8</f>
        <v/>
      </c>
      <c r="P40" s="3">
        <f>P39*Params!$B$8</f>
        <v/>
      </c>
      <c r="Q40" s="3">
        <f>Q39*Params!$B$8</f>
        <v/>
      </c>
      <c r="R40" s="3">
        <f>R39*Params!$B$8</f>
        <v/>
      </c>
      <c r="S40" s="3">
        <f>S39*Params!$B$8</f>
        <v/>
      </c>
      <c r="T40" s="3">
        <f>T39*Params!$B$8</f>
        <v/>
      </c>
      <c r="U40" s="3">
        <f>U39*Params!$B$8</f>
        <v/>
      </c>
      <c r="V40" s="3">
        <f>V39*Params!$B$8</f>
        <v/>
      </c>
      <c r="W40" s="3">
        <f>W39*Params!$B$8</f>
        <v/>
      </c>
      <c r="X40" s="3">
        <f>X39*Params!$B$8</f>
        <v/>
      </c>
      <c r="Y40" s="3">
        <f>Y39*Params!$B$8</f>
        <v/>
      </c>
      <c r="Z40" s="3">
        <f>Z39*Params!$B$8</f>
        <v/>
      </c>
      <c r="AA40" s="3">
        <f>AA39*Params!$B$8</f>
        <v/>
      </c>
      <c r="AB40" s="3">
        <f>AB39*Params!$B$8</f>
        <v/>
      </c>
      <c r="AC40" s="3">
        <f>AC39*Params!$B$8</f>
        <v/>
      </c>
      <c r="AD40" s="3">
        <f>AD39*Params!$B$8</f>
        <v/>
      </c>
      <c r="AE40" s="3">
        <f>AE39*Params!$B$8</f>
        <v/>
      </c>
      <c r="AF40" s="3">
        <f>AF39*Params!$B$8</f>
        <v/>
      </c>
      <c r="AG40" s="3">
        <f>AG39*Params!$B$8</f>
        <v/>
      </c>
      <c r="AH40" s="3">
        <f>AH39*Params!$B$8</f>
        <v/>
      </c>
      <c r="AI40" s="3">
        <f>AI39*Params!$B$8</f>
        <v/>
      </c>
      <c r="AJ40" s="3">
        <f>AJ39*Params!$B$8</f>
        <v/>
      </c>
      <c r="AK40" s="3">
        <f>AK39*Params!$B$8</f>
        <v/>
      </c>
      <c r="AL40" s="3">
        <f>AL39*Params!$B$8</f>
        <v/>
      </c>
      <c r="AM40" s="3">
        <f>AM39*Params!$B$8</f>
        <v/>
      </c>
      <c r="AN40" s="3">
        <f>AN39*Params!$B$8</f>
        <v/>
      </c>
      <c r="AO40" s="3">
        <f>AO39*Params!$B$8</f>
        <v/>
      </c>
      <c r="AP40" s="3">
        <f>AP39*Params!$B$8</f>
        <v/>
      </c>
      <c r="AQ40" s="3">
        <f>AQ39*Params!$B$8</f>
        <v/>
      </c>
      <c r="AR40" s="3">
        <f>AR39*Params!$B$8</f>
        <v/>
      </c>
      <c r="AS40" s="3">
        <f>AS39*Params!$B$8</f>
        <v/>
      </c>
      <c r="AT40" s="3">
        <f>AT39*Params!$B$8</f>
        <v/>
      </c>
      <c r="AU40" s="3">
        <f>AU39*Params!$B$8</f>
        <v/>
      </c>
      <c r="AV40" s="3">
        <f>AV39*Params!$B$8</f>
        <v/>
      </c>
      <c r="AW40" s="3">
        <f>AW39*Params!$B$8</f>
        <v/>
      </c>
      <c r="AX40" s="3">
        <f>AX39*Params!$B$8</f>
        <v/>
      </c>
      <c r="AY40" s="3">
        <f>AY39*Params!$B$8</f>
        <v/>
      </c>
      <c r="AZ40" s="3">
        <f>AZ39*Params!$B$8</f>
        <v/>
      </c>
      <c r="BA40" s="3">
        <f>BA39*Params!$B$8</f>
        <v/>
      </c>
      <c r="BB40" s="3">
        <f>BB39*Params!$B$8</f>
        <v/>
      </c>
      <c r="BC40" s="3">
        <f>BC39*Params!$B$8</f>
        <v/>
      </c>
      <c r="BD40" s="3">
        <f>BD39*Params!$B$8</f>
        <v/>
      </c>
      <c r="BE40" s="3">
        <f>BE39*Params!$B$8</f>
        <v/>
      </c>
      <c r="BF40" s="3">
        <f>BF39*Params!$B$8</f>
        <v/>
      </c>
      <c r="BG40" s="3">
        <f>BG39*Params!$B$8</f>
        <v/>
      </c>
      <c r="BH40" s="3">
        <f>BH39*Params!$B$8</f>
        <v/>
      </c>
      <c r="BI40" s="3">
        <f>BI39*Params!$B$8</f>
        <v/>
      </c>
      <c r="BJ40" s="3">
        <f>BJ39*Params!$B$8</f>
        <v/>
      </c>
      <c r="BK40" s="3">
        <f>BK39*Params!$B$8</f>
        <v/>
      </c>
      <c r="BL40" s="3">
        <f>BL39*Params!$B$8</f>
        <v/>
      </c>
      <c r="BM40" s="3">
        <f>BM39*Params!$B$8</f>
        <v/>
      </c>
      <c r="BN40" s="3">
        <f>BN39*Params!$B$8</f>
        <v/>
      </c>
      <c r="BO40" s="3">
        <f>BO39*Params!$B$8</f>
        <v/>
      </c>
      <c r="BP40" s="3">
        <f>BP39*Params!$B$8</f>
        <v/>
      </c>
      <c r="BQ40" s="3">
        <f>BQ39*Params!$B$8</f>
        <v/>
      </c>
      <c r="BR40" s="3">
        <f>BR39*Params!$B$8</f>
        <v/>
      </c>
      <c r="BS40" s="3">
        <f>BS39*Params!$B$8</f>
        <v/>
      </c>
      <c r="BT40" s="3">
        <f>BT39*Params!$B$8</f>
        <v/>
      </c>
      <c r="BU40" s="3">
        <f>BU39*Params!$B$8</f>
        <v/>
      </c>
      <c r="BV40" s="3">
        <f>BV39*Params!$B$8</f>
        <v/>
      </c>
    </row>
    <row r="41">
      <c r="A41" t="inlineStr">
        <is>
          <t>trials lost</t>
        </is>
      </c>
      <c r="B41" t="inlineStr">
        <is>
          <t>US_CA|BASIC_A</t>
        </is>
      </c>
      <c r="C41" s="3">
        <f>C39-C40</f>
        <v/>
      </c>
      <c r="D41" s="3">
        <f>D39-D40</f>
        <v/>
      </c>
      <c r="E41" s="3">
        <f>E39-E40</f>
        <v/>
      </c>
      <c r="F41" s="3">
        <f>F39-F40</f>
        <v/>
      </c>
      <c r="G41" s="3">
        <f>G39-G40</f>
        <v/>
      </c>
      <c r="H41" s="3">
        <f>H39-H40</f>
        <v/>
      </c>
      <c r="I41" s="3">
        <f>I39-I40</f>
        <v/>
      </c>
      <c r="J41" s="3">
        <f>J39-J40</f>
        <v/>
      </c>
      <c r="K41" s="3">
        <f>K39-K40</f>
        <v/>
      </c>
      <c r="L41" s="3">
        <f>L39-L40</f>
        <v/>
      </c>
      <c r="M41" s="3">
        <f>M39-M40</f>
        <v/>
      </c>
      <c r="N41" s="3">
        <f>N39-N40</f>
        <v/>
      </c>
      <c r="O41" s="3">
        <f>O39-O40</f>
        <v/>
      </c>
      <c r="P41" s="3">
        <f>P39-P40</f>
        <v/>
      </c>
      <c r="Q41" s="3">
        <f>Q39-Q40</f>
        <v/>
      </c>
      <c r="R41" s="3">
        <f>R39-R40</f>
        <v/>
      </c>
      <c r="S41" s="3">
        <f>S39-S40</f>
        <v/>
      </c>
      <c r="T41" s="3">
        <f>T39-T40</f>
        <v/>
      </c>
      <c r="U41" s="3">
        <f>U39-U40</f>
        <v/>
      </c>
      <c r="V41" s="3">
        <f>V39-V40</f>
        <v/>
      </c>
      <c r="W41" s="3">
        <f>W39-W40</f>
        <v/>
      </c>
      <c r="X41" s="3">
        <f>X39-X40</f>
        <v/>
      </c>
      <c r="Y41" s="3">
        <f>Y39-Y40</f>
        <v/>
      </c>
      <c r="Z41" s="3">
        <f>Z39-Z40</f>
        <v/>
      </c>
      <c r="AA41" s="3">
        <f>AA39-AA40</f>
        <v/>
      </c>
      <c r="AB41" s="3">
        <f>AB39-AB40</f>
        <v/>
      </c>
      <c r="AC41" s="3">
        <f>AC39-AC40</f>
        <v/>
      </c>
      <c r="AD41" s="3">
        <f>AD39-AD40</f>
        <v/>
      </c>
      <c r="AE41" s="3">
        <f>AE39-AE40</f>
        <v/>
      </c>
      <c r="AF41" s="3">
        <f>AF39-AF40</f>
        <v/>
      </c>
      <c r="AG41" s="3">
        <f>AG39-AG40</f>
        <v/>
      </c>
      <c r="AH41" s="3">
        <f>AH39-AH40</f>
        <v/>
      </c>
      <c r="AI41" s="3">
        <f>AI39-AI40</f>
        <v/>
      </c>
      <c r="AJ41" s="3">
        <f>AJ39-AJ40</f>
        <v/>
      </c>
      <c r="AK41" s="3">
        <f>AK39-AK40</f>
        <v/>
      </c>
      <c r="AL41" s="3">
        <f>AL39-AL40</f>
        <v/>
      </c>
      <c r="AM41" s="3">
        <f>AM39-AM40</f>
        <v/>
      </c>
      <c r="AN41" s="3">
        <f>AN39-AN40</f>
        <v/>
      </c>
      <c r="AO41" s="3">
        <f>AO39-AO40</f>
        <v/>
      </c>
      <c r="AP41" s="3">
        <f>AP39-AP40</f>
        <v/>
      </c>
      <c r="AQ41" s="3">
        <f>AQ39-AQ40</f>
        <v/>
      </c>
      <c r="AR41" s="3">
        <f>AR39-AR40</f>
        <v/>
      </c>
      <c r="AS41" s="3">
        <f>AS39-AS40</f>
        <v/>
      </c>
      <c r="AT41" s="3">
        <f>AT39-AT40</f>
        <v/>
      </c>
      <c r="AU41" s="3">
        <f>AU39-AU40</f>
        <v/>
      </c>
      <c r="AV41" s="3">
        <f>AV39-AV40</f>
        <v/>
      </c>
      <c r="AW41" s="3">
        <f>AW39-AW40</f>
        <v/>
      </c>
      <c r="AX41" s="3">
        <f>AX39-AX40</f>
        <v/>
      </c>
      <c r="AY41" s="3">
        <f>AY39-AY40</f>
        <v/>
      </c>
      <c r="AZ41" s="3">
        <f>AZ39-AZ40</f>
        <v/>
      </c>
      <c r="BA41" s="3">
        <f>BA39-BA40</f>
        <v/>
      </c>
      <c r="BB41" s="3">
        <f>BB39-BB40</f>
        <v/>
      </c>
      <c r="BC41" s="3">
        <f>BC39-BC40</f>
        <v/>
      </c>
      <c r="BD41" s="3">
        <f>BD39-BD40</f>
        <v/>
      </c>
      <c r="BE41" s="3">
        <f>BE39-BE40</f>
        <v/>
      </c>
      <c r="BF41" s="3">
        <f>BF39-BF40</f>
        <v/>
      </c>
      <c r="BG41" s="3">
        <f>BG39-BG40</f>
        <v/>
      </c>
      <c r="BH41" s="3">
        <f>BH39-BH40</f>
        <v/>
      </c>
      <c r="BI41" s="3">
        <f>BI39-BI40</f>
        <v/>
      </c>
      <c r="BJ41" s="3">
        <f>BJ39-BJ40</f>
        <v/>
      </c>
      <c r="BK41" s="3">
        <f>BK39-BK40</f>
        <v/>
      </c>
      <c r="BL41" s="3">
        <f>BL39-BL40</f>
        <v/>
      </c>
      <c r="BM41" s="3">
        <f>BM39-BM40</f>
        <v/>
      </c>
      <c r="BN41" s="3">
        <f>BN39-BN40</f>
        <v/>
      </c>
      <c r="BO41" s="3">
        <f>BO39-BO40</f>
        <v/>
      </c>
      <c r="BP41" s="3">
        <f>BP39-BP40</f>
        <v/>
      </c>
      <c r="BQ41" s="3">
        <f>BQ39-BQ40</f>
        <v/>
      </c>
      <c r="BR41" s="3">
        <f>BR39-BR40</f>
        <v/>
      </c>
      <c r="BS41" s="3">
        <f>BS39-BS40</f>
        <v/>
      </c>
      <c r="BT41" s="3">
        <f>BT39-BT40</f>
        <v/>
      </c>
      <c r="BU41" s="3">
        <f>BU39-BU40</f>
        <v/>
      </c>
      <c r="BV41" s="3">
        <f>BV39-BV40</f>
        <v/>
      </c>
    </row>
    <row r="42">
      <c r="A42" t="inlineStr">
        <is>
          <t>cum trial starts</t>
        </is>
      </c>
      <c r="B42" t="inlineStr">
        <is>
          <t>US_CA|BASIC_A</t>
        </is>
      </c>
      <c r="C42" s="3">
        <f>SUM($C37:C37)</f>
        <v/>
      </c>
      <c r="D42" s="3">
        <f>SUM($C37:D37)</f>
        <v/>
      </c>
      <c r="E42" s="3">
        <f>SUM($C37:E37)</f>
        <v/>
      </c>
      <c r="F42" s="3">
        <f>SUM($C37:F37)</f>
        <v/>
      </c>
      <c r="G42" s="3">
        <f>SUM($C37:G37)</f>
        <v/>
      </c>
      <c r="H42" s="3">
        <f>SUM($C37:H37)</f>
        <v/>
      </c>
      <c r="I42" s="3">
        <f>SUM($C37:I37)</f>
        <v/>
      </c>
      <c r="J42" s="3">
        <f>SUM($C37:J37)</f>
        <v/>
      </c>
      <c r="K42" s="3">
        <f>SUM($C37:K37)</f>
        <v/>
      </c>
      <c r="L42" s="3">
        <f>SUM($C37:L37)</f>
        <v/>
      </c>
      <c r="M42" s="3">
        <f>SUM($C37:M37)</f>
        <v/>
      </c>
      <c r="N42" s="3">
        <f>SUM($C37:N37)</f>
        <v/>
      </c>
      <c r="O42" s="3">
        <f>SUM($C37:O37)</f>
        <v/>
      </c>
      <c r="P42" s="3">
        <f>SUM($C37:P37)</f>
        <v/>
      </c>
      <c r="Q42" s="3">
        <f>SUM($C37:Q37)</f>
        <v/>
      </c>
      <c r="R42" s="3">
        <f>SUM($C37:R37)</f>
        <v/>
      </c>
      <c r="S42" s="3">
        <f>SUM($C37:S37)</f>
        <v/>
      </c>
      <c r="T42" s="3">
        <f>SUM($C37:T37)</f>
        <v/>
      </c>
      <c r="U42" s="3">
        <f>SUM($C37:U37)</f>
        <v/>
      </c>
      <c r="V42" s="3">
        <f>SUM($C37:V37)</f>
        <v/>
      </c>
      <c r="W42" s="3">
        <f>SUM($C37:W37)</f>
        <v/>
      </c>
      <c r="X42" s="3">
        <f>SUM($C37:X37)</f>
        <v/>
      </c>
      <c r="Y42" s="3">
        <f>SUM($C37:Y37)</f>
        <v/>
      </c>
      <c r="Z42" s="3">
        <f>SUM($C37:Z37)</f>
        <v/>
      </c>
      <c r="AA42" s="3">
        <f>SUM($C37:AA37)</f>
        <v/>
      </c>
      <c r="AB42" s="3">
        <f>SUM($C37:AB37)</f>
        <v/>
      </c>
      <c r="AC42" s="3">
        <f>SUM($C37:AC37)</f>
        <v/>
      </c>
      <c r="AD42" s="3">
        <f>SUM($C37:AD37)</f>
        <v/>
      </c>
      <c r="AE42" s="3">
        <f>SUM($C37:AE37)</f>
        <v/>
      </c>
      <c r="AF42" s="3">
        <f>SUM($C37:AF37)</f>
        <v/>
      </c>
      <c r="AG42" s="3">
        <f>SUM($C37:AG37)</f>
        <v/>
      </c>
      <c r="AH42" s="3">
        <f>SUM($C37:AH37)</f>
        <v/>
      </c>
      <c r="AI42" s="3">
        <f>SUM($C37:AI37)</f>
        <v/>
      </c>
      <c r="AJ42" s="3">
        <f>SUM($C37:AJ37)</f>
        <v/>
      </c>
      <c r="AK42" s="3">
        <f>SUM($C37:AK37)</f>
        <v/>
      </c>
      <c r="AL42" s="3">
        <f>SUM($C37:AL37)</f>
        <v/>
      </c>
      <c r="AM42" s="3">
        <f>SUM($C37:AM37)</f>
        <v/>
      </c>
      <c r="AN42" s="3">
        <f>SUM($C37:AN37)</f>
        <v/>
      </c>
      <c r="AO42" s="3">
        <f>SUM($C37:AO37)</f>
        <v/>
      </c>
      <c r="AP42" s="3">
        <f>SUM($C37:AP37)</f>
        <v/>
      </c>
      <c r="AQ42" s="3">
        <f>SUM($C37:AQ37)</f>
        <v/>
      </c>
      <c r="AR42" s="3">
        <f>SUM($C37:AR37)</f>
        <v/>
      </c>
      <c r="AS42" s="3">
        <f>SUM($C37:AS37)</f>
        <v/>
      </c>
      <c r="AT42" s="3">
        <f>SUM($C37:AT37)</f>
        <v/>
      </c>
      <c r="AU42" s="3">
        <f>SUM($C37:AU37)</f>
        <v/>
      </c>
      <c r="AV42" s="3">
        <f>SUM($C37:AV37)</f>
        <v/>
      </c>
      <c r="AW42" s="3">
        <f>SUM($C37:AW37)</f>
        <v/>
      </c>
      <c r="AX42" s="3">
        <f>SUM($C37:AX37)</f>
        <v/>
      </c>
      <c r="AY42" s="3">
        <f>SUM($C37:AY37)</f>
        <v/>
      </c>
      <c r="AZ42" s="3">
        <f>SUM($C37:AZ37)</f>
        <v/>
      </c>
      <c r="BA42" s="3">
        <f>SUM($C37:BA37)</f>
        <v/>
      </c>
      <c r="BB42" s="3">
        <f>SUM($C37:BB37)</f>
        <v/>
      </c>
      <c r="BC42" s="3">
        <f>SUM($C37:BC37)</f>
        <v/>
      </c>
      <c r="BD42" s="3">
        <f>SUM($C37:BD37)</f>
        <v/>
      </c>
      <c r="BE42" s="3">
        <f>SUM($C37:BE37)</f>
        <v/>
      </c>
      <c r="BF42" s="3">
        <f>SUM($C37:BF37)</f>
        <v/>
      </c>
      <c r="BG42" s="3">
        <f>SUM($C37:BG37)</f>
        <v/>
      </c>
      <c r="BH42" s="3">
        <f>SUM($C37:BH37)</f>
        <v/>
      </c>
      <c r="BI42" s="3">
        <f>SUM($C37:BI37)</f>
        <v/>
      </c>
      <c r="BJ42" s="3">
        <f>SUM($C37:BJ37)</f>
        <v/>
      </c>
      <c r="BK42" s="3">
        <f>SUM($C37:BK37)</f>
        <v/>
      </c>
      <c r="BL42" s="3">
        <f>SUM($C37:BL37)</f>
        <v/>
      </c>
      <c r="BM42" s="3">
        <f>SUM($C37:BM37)</f>
        <v/>
      </c>
      <c r="BN42" s="3">
        <f>SUM($C37:BN37)</f>
        <v/>
      </c>
      <c r="BO42" s="3">
        <f>SUM($C37:BO37)</f>
        <v/>
      </c>
      <c r="BP42" s="3">
        <f>SUM($C37:BP37)</f>
        <v/>
      </c>
      <c r="BQ42" s="3">
        <f>SUM($C37:BQ37)</f>
        <v/>
      </c>
      <c r="BR42" s="3">
        <f>SUM($C37:BR37)</f>
        <v/>
      </c>
      <c r="BS42" s="3">
        <f>SUM($C37:BS37)</f>
        <v/>
      </c>
      <c r="BT42" s="3">
        <f>SUM($C37:BT37)</f>
        <v/>
      </c>
      <c r="BU42" s="3">
        <f>SUM($C37:BU37)</f>
        <v/>
      </c>
      <c r="BV42" s="3">
        <f>SUM($C37:BV37)</f>
        <v/>
      </c>
    </row>
    <row r="43">
      <c r="A43" t="inlineStr">
        <is>
          <t>cum trials ending</t>
        </is>
      </c>
      <c r="B43" t="inlineStr">
        <is>
          <t>US_CA|BASIC_A</t>
        </is>
      </c>
      <c r="C43" s="3">
        <f>SUM($C39:C39)</f>
        <v/>
      </c>
      <c r="D43" s="3">
        <f>SUM($C39:D39)</f>
        <v/>
      </c>
      <c r="E43" s="3">
        <f>SUM($C39:E39)</f>
        <v/>
      </c>
      <c r="F43" s="3">
        <f>SUM($C39:F39)</f>
        <v/>
      </c>
      <c r="G43" s="3">
        <f>SUM($C39:G39)</f>
        <v/>
      </c>
      <c r="H43" s="3">
        <f>SUM($C39:H39)</f>
        <v/>
      </c>
      <c r="I43" s="3">
        <f>SUM($C39:I39)</f>
        <v/>
      </c>
      <c r="J43" s="3">
        <f>SUM($C39:J39)</f>
        <v/>
      </c>
      <c r="K43" s="3">
        <f>SUM($C39:K39)</f>
        <v/>
      </c>
      <c r="L43" s="3">
        <f>SUM($C39:L39)</f>
        <v/>
      </c>
      <c r="M43" s="3">
        <f>SUM($C39:M39)</f>
        <v/>
      </c>
      <c r="N43" s="3">
        <f>SUM($C39:N39)</f>
        <v/>
      </c>
      <c r="O43" s="3">
        <f>SUM($C39:O39)</f>
        <v/>
      </c>
      <c r="P43" s="3">
        <f>SUM($C39:P39)</f>
        <v/>
      </c>
      <c r="Q43" s="3">
        <f>SUM($C39:Q39)</f>
        <v/>
      </c>
      <c r="R43" s="3">
        <f>SUM($C39:R39)</f>
        <v/>
      </c>
      <c r="S43" s="3">
        <f>SUM($C39:S39)</f>
        <v/>
      </c>
      <c r="T43" s="3">
        <f>SUM($C39:T39)</f>
        <v/>
      </c>
      <c r="U43" s="3">
        <f>SUM($C39:U39)</f>
        <v/>
      </c>
      <c r="V43" s="3">
        <f>SUM($C39:V39)</f>
        <v/>
      </c>
      <c r="W43" s="3">
        <f>SUM($C39:W39)</f>
        <v/>
      </c>
      <c r="X43" s="3">
        <f>SUM($C39:X39)</f>
        <v/>
      </c>
      <c r="Y43" s="3">
        <f>SUM($C39:Y39)</f>
        <v/>
      </c>
      <c r="Z43" s="3">
        <f>SUM($C39:Z39)</f>
        <v/>
      </c>
      <c r="AA43" s="3">
        <f>SUM($C39:AA39)</f>
        <v/>
      </c>
      <c r="AB43" s="3">
        <f>SUM($C39:AB39)</f>
        <v/>
      </c>
      <c r="AC43" s="3">
        <f>SUM($C39:AC39)</f>
        <v/>
      </c>
      <c r="AD43" s="3">
        <f>SUM($C39:AD39)</f>
        <v/>
      </c>
      <c r="AE43" s="3">
        <f>SUM($C39:AE39)</f>
        <v/>
      </c>
      <c r="AF43" s="3">
        <f>SUM($C39:AF39)</f>
        <v/>
      </c>
      <c r="AG43" s="3">
        <f>SUM($C39:AG39)</f>
        <v/>
      </c>
      <c r="AH43" s="3">
        <f>SUM($C39:AH39)</f>
        <v/>
      </c>
      <c r="AI43" s="3">
        <f>SUM($C39:AI39)</f>
        <v/>
      </c>
      <c r="AJ43" s="3">
        <f>SUM($C39:AJ39)</f>
        <v/>
      </c>
      <c r="AK43" s="3">
        <f>SUM($C39:AK39)</f>
        <v/>
      </c>
      <c r="AL43" s="3">
        <f>SUM($C39:AL39)</f>
        <v/>
      </c>
      <c r="AM43" s="3">
        <f>SUM($C39:AM39)</f>
        <v/>
      </c>
      <c r="AN43" s="3">
        <f>SUM($C39:AN39)</f>
        <v/>
      </c>
      <c r="AO43" s="3">
        <f>SUM($C39:AO39)</f>
        <v/>
      </c>
      <c r="AP43" s="3">
        <f>SUM($C39:AP39)</f>
        <v/>
      </c>
      <c r="AQ43" s="3">
        <f>SUM($C39:AQ39)</f>
        <v/>
      </c>
      <c r="AR43" s="3">
        <f>SUM($C39:AR39)</f>
        <v/>
      </c>
      <c r="AS43" s="3">
        <f>SUM($C39:AS39)</f>
        <v/>
      </c>
      <c r="AT43" s="3">
        <f>SUM($C39:AT39)</f>
        <v/>
      </c>
      <c r="AU43" s="3">
        <f>SUM($C39:AU39)</f>
        <v/>
      </c>
      <c r="AV43" s="3">
        <f>SUM($C39:AV39)</f>
        <v/>
      </c>
      <c r="AW43" s="3">
        <f>SUM($C39:AW39)</f>
        <v/>
      </c>
      <c r="AX43" s="3">
        <f>SUM($C39:AX39)</f>
        <v/>
      </c>
      <c r="AY43" s="3">
        <f>SUM($C39:AY39)</f>
        <v/>
      </c>
      <c r="AZ43" s="3">
        <f>SUM($C39:AZ39)</f>
        <v/>
      </c>
      <c r="BA43" s="3">
        <f>SUM($C39:BA39)</f>
        <v/>
      </c>
      <c r="BB43" s="3">
        <f>SUM($C39:BB39)</f>
        <v/>
      </c>
      <c r="BC43" s="3">
        <f>SUM($C39:BC39)</f>
        <v/>
      </c>
      <c r="BD43" s="3">
        <f>SUM($C39:BD39)</f>
        <v/>
      </c>
      <c r="BE43" s="3">
        <f>SUM($C39:BE39)</f>
        <v/>
      </c>
      <c r="BF43" s="3">
        <f>SUM($C39:BF39)</f>
        <v/>
      </c>
      <c r="BG43" s="3">
        <f>SUM($C39:BG39)</f>
        <v/>
      </c>
      <c r="BH43" s="3">
        <f>SUM($C39:BH39)</f>
        <v/>
      </c>
      <c r="BI43" s="3">
        <f>SUM($C39:BI39)</f>
        <v/>
      </c>
      <c r="BJ43" s="3">
        <f>SUM($C39:BJ39)</f>
        <v/>
      </c>
      <c r="BK43" s="3">
        <f>SUM($C39:BK39)</f>
        <v/>
      </c>
      <c r="BL43" s="3">
        <f>SUM($C39:BL39)</f>
        <v/>
      </c>
      <c r="BM43" s="3">
        <f>SUM($C39:BM39)</f>
        <v/>
      </c>
      <c r="BN43" s="3">
        <f>SUM($C39:BN39)</f>
        <v/>
      </c>
      <c r="BO43" s="3">
        <f>SUM($C39:BO39)</f>
        <v/>
      </c>
      <c r="BP43" s="3">
        <f>SUM($C39:BP39)</f>
        <v/>
      </c>
      <c r="BQ43" s="3">
        <f>SUM($C39:BQ39)</f>
        <v/>
      </c>
      <c r="BR43" s="3">
        <f>SUM($C39:BR39)</f>
        <v/>
      </c>
      <c r="BS43" s="3">
        <f>SUM($C39:BS39)</f>
        <v/>
      </c>
      <c r="BT43" s="3">
        <f>SUM($C39:BT39)</f>
        <v/>
      </c>
      <c r="BU43" s="3">
        <f>SUM($C39:BU39)</f>
        <v/>
      </c>
      <c r="BV43" s="3">
        <f>SUM($C39:BV39)</f>
        <v/>
      </c>
    </row>
    <row r="44">
      <c r="A44" t="inlineStr">
        <is>
          <t>trials active</t>
        </is>
      </c>
      <c r="B44" t="inlineStr">
        <is>
          <t>US_CA|BASIC_A</t>
        </is>
      </c>
      <c r="C44" s="3">
        <f>C42-C43</f>
        <v/>
      </c>
      <c r="D44" s="3">
        <f>D42-D43</f>
        <v/>
      </c>
      <c r="E44" s="3">
        <f>E42-E43</f>
        <v/>
      </c>
      <c r="F44" s="3">
        <f>F42-F43</f>
        <v/>
      </c>
      <c r="G44" s="3">
        <f>G42-G43</f>
        <v/>
      </c>
      <c r="H44" s="3">
        <f>H42-H43</f>
        <v/>
      </c>
      <c r="I44" s="3">
        <f>I42-I43</f>
        <v/>
      </c>
      <c r="J44" s="3">
        <f>J42-J43</f>
        <v/>
      </c>
      <c r="K44" s="3">
        <f>K42-K43</f>
        <v/>
      </c>
      <c r="L44" s="3">
        <f>L42-L43</f>
        <v/>
      </c>
      <c r="M44" s="3">
        <f>M42-M43</f>
        <v/>
      </c>
      <c r="N44" s="3">
        <f>N42-N43</f>
        <v/>
      </c>
      <c r="O44" s="3">
        <f>O42-O43</f>
        <v/>
      </c>
      <c r="P44" s="3">
        <f>P42-P43</f>
        <v/>
      </c>
      <c r="Q44" s="3">
        <f>Q42-Q43</f>
        <v/>
      </c>
      <c r="R44" s="3">
        <f>R42-R43</f>
        <v/>
      </c>
      <c r="S44" s="3">
        <f>S42-S43</f>
        <v/>
      </c>
      <c r="T44" s="3">
        <f>T42-T43</f>
        <v/>
      </c>
      <c r="U44" s="3">
        <f>U42-U43</f>
        <v/>
      </c>
      <c r="V44" s="3">
        <f>V42-V43</f>
        <v/>
      </c>
      <c r="W44" s="3">
        <f>W42-W43</f>
        <v/>
      </c>
      <c r="X44" s="3">
        <f>X42-X43</f>
        <v/>
      </c>
      <c r="Y44" s="3">
        <f>Y42-Y43</f>
        <v/>
      </c>
      <c r="Z44" s="3">
        <f>Z42-Z43</f>
        <v/>
      </c>
      <c r="AA44" s="3">
        <f>AA42-AA43</f>
        <v/>
      </c>
      <c r="AB44" s="3">
        <f>AB42-AB43</f>
        <v/>
      </c>
      <c r="AC44" s="3">
        <f>AC42-AC43</f>
        <v/>
      </c>
      <c r="AD44" s="3">
        <f>AD42-AD43</f>
        <v/>
      </c>
      <c r="AE44" s="3">
        <f>AE42-AE43</f>
        <v/>
      </c>
      <c r="AF44" s="3">
        <f>AF42-AF43</f>
        <v/>
      </c>
      <c r="AG44" s="3">
        <f>AG42-AG43</f>
        <v/>
      </c>
      <c r="AH44" s="3">
        <f>AH42-AH43</f>
        <v/>
      </c>
      <c r="AI44" s="3">
        <f>AI42-AI43</f>
        <v/>
      </c>
      <c r="AJ44" s="3">
        <f>AJ42-AJ43</f>
        <v/>
      </c>
      <c r="AK44" s="3">
        <f>AK42-AK43</f>
        <v/>
      </c>
      <c r="AL44" s="3">
        <f>AL42-AL43</f>
        <v/>
      </c>
      <c r="AM44" s="3">
        <f>AM42-AM43</f>
        <v/>
      </c>
      <c r="AN44" s="3">
        <f>AN42-AN43</f>
        <v/>
      </c>
      <c r="AO44" s="3">
        <f>AO42-AO43</f>
        <v/>
      </c>
      <c r="AP44" s="3">
        <f>AP42-AP43</f>
        <v/>
      </c>
      <c r="AQ44" s="3">
        <f>AQ42-AQ43</f>
        <v/>
      </c>
      <c r="AR44" s="3">
        <f>AR42-AR43</f>
        <v/>
      </c>
      <c r="AS44" s="3">
        <f>AS42-AS43</f>
        <v/>
      </c>
      <c r="AT44" s="3">
        <f>AT42-AT43</f>
        <v/>
      </c>
      <c r="AU44" s="3">
        <f>AU42-AU43</f>
        <v/>
      </c>
      <c r="AV44" s="3">
        <f>AV42-AV43</f>
        <v/>
      </c>
      <c r="AW44" s="3">
        <f>AW42-AW43</f>
        <v/>
      </c>
      <c r="AX44" s="3">
        <f>AX42-AX43</f>
        <v/>
      </c>
      <c r="AY44" s="3">
        <f>AY42-AY43</f>
        <v/>
      </c>
      <c r="AZ44" s="3">
        <f>AZ42-AZ43</f>
        <v/>
      </c>
      <c r="BA44" s="3">
        <f>BA42-BA43</f>
        <v/>
      </c>
      <c r="BB44" s="3">
        <f>BB42-BB43</f>
        <v/>
      </c>
      <c r="BC44" s="3">
        <f>BC42-BC43</f>
        <v/>
      </c>
      <c r="BD44" s="3">
        <f>BD42-BD43</f>
        <v/>
      </c>
      <c r="BE44" s="3">
        <f>BE42-BE43</f>
        <v/>
      </c>
      <c r="BF44" s="3">
        <f>BF42-BF43</f>
        <v/>
      </c>
      <c r="BG44" s="3">
        <f>BG42-BG43</f>
        <v/>
      </c>
      <c r="BH44" s="3">
        <f>BH42-BH43</f>
        <v/>
      </c>
      <c r="BI44" s="3">
        <f>BI42-BI43</f>
        <v/>
      </c>
      <c r="BJ44" s="3">
        <f>BJ42-BJ43</f>
        <v/>
      </c>
      <c r="BK44" s="3">
        <f>BK42-BK43</f>
        <v/>
      </c>
      <c r="BL44" s="3">
        <f>BL42-BL43</f>
        <v/>
      </c>
      <c r="BM44" s="3">
        <f>BM42-BM43</f>
        <v/>
      </c>
      <c r="BN44" s="3">
        <f>BN42-BN43</f>
        <v/>
      </c>
      <c r="BO44" s="3">
        <f>BO42-BO43</f>
        <v/>
      </c>
      <c r="BP44" s="3">
        <f>BP42-BP43</f>
        <v/>
      </c>
      <c r="BQ44" s="3">
        <f>BQ42-BQ43</f>
        <v/>
      </c>
      <c r="BR44" s="3">
        <f>BR42-BR43</f>
        <v/>
      </c>
      <c r="BS44" s="3">
        <f>BS42-BS43</f>
        <v/>
      </c>
      <c r="BT44" s="3">
        <f>BT42-BT43</f>
        <v/>
      </c>
      <c r="BU44" s="3">
        <f>BU42-BU43</f>
        <v/>
      </c>
      <c r="BV44" s="3">
        <f>BV42-BV43</f>
        <v/>
      </c>
    </row>
    <row r="45">
      <c r="A45" t="inlineStr">
        <is>
          <t>paid starts</t>
        </is>
      </c>
      <c r="B45" t="inlineStr">
        <is>
          <t>US_CA|BASIC_A</t>
        </is>
      </c>
      <c r="C45" s="3">
        <f>C38+C40</f>
        <v/>
      </c>
      <c r="D45" s="3">
        <f>D38+D40</f>
        <v/>
      </c>
      <c r="E45" s="3">
        <f>E38+E40</f>
        <v/>
      </c>
      <c r="F45" s="3">
        <f>F38+F40</f>
        <v/>
      </c>
      <c r="G45" s="3">
        <f>G38+G40</f>
        <v/>
      </c>
      <c r="H45" s="3">
        <f>H38+H40</f>
        <v/>
      </c>
      <c r="I45" s="3">
        <f>I38+I40</f>
        <v/>
      </c>
      <c r="J45" s="3">
        <f>J38+J40</f>
        <v/>
      </c>
      <c r="K45" s="3">
        <f>K38+K40</f>
        <v/>
      </c>
      <c r="L45" s="3">
        <f>L38+L40</f>
        <v/>
      </c>
      <c r="M45" s="3">
        <f>M38+M40</f>
        <v/>
      </c>
      <c r="N45" s="3">
        <f>N38+N40</f>
        <v/>
      </c>
      <c r="O45" s="3">
        <f>O38+O40</f>
        <v/>
      </c>
      <c r="P45" s="3">
        <f>P38+P40</f>
        <v/>
      </c>
      <c r="Q45" s="3">
        <f>Q38+Q40</f>
        <v/>
      </c>
      <c r="R45" s="3">
        <f>R38+R40</f>
        <v/>
      </c>
      <c r="S45" s="3">
        <f>S38+S40</f>
        <v/>
      </c>
      <c r="T45" s="3">
        <f>T38+T40</f>
        <v/>
      </c>
      <c r="U45" s="3">
        <f>U38+U40</f>
        <v/>
      </c>
      <c r="V45" s="3">
        <f>V38+V40</f>
        <v/>
      </c>
      <c r="W45" s="3">
        <f>W38+W40</f>
        <v/>
      </c>
      <c r="X45" s="3">
        <f>X38+X40</f>
        <v/>
      </c>
      <c r="Y45" s="3">
        <f>Y38+Y40</f>
        <v/>
      </c>
      <c r="Z45" s="3">
        <f>Z38+Z40</f>
        <v/>
      </c>
      <c r="AA45" s="3">
        <f>AA38+AA40</f>
        <v/>
      </c>
      <c r="AB45" s="3">
        <f>AB38+AB40</f>
        <v/>
      </c>
      <c r="AC45" s="3">
        <f>AC38+AC40</f>
        <v/>
      </c>
      <c r="AD45" s="3">
        <f>AD38+AD40</f>
        <v/>
      </c>
      <c r="AE45" s="3">
        <f>AE38+AE40</f>
        <v/>
      </c>
      <c r="AF45" s="3">
        <f>AF38+AF40</f>
        <v/>
      </c>
      <c r="AG45" s="3">
        <f>AG38+AG40</f>
        <v/>
      </c>
      <c r="AH45" s="3">
        <f>AH38+AH40</f>
        <v/>
      </c>
      <c r="AI45" s="3">
        <f>AI38+AI40</f>
        <v/>
      </c>
      <c r="AJ45" s="3">
        <f>AJ38+AJ40</f>
        <v/>
      </c>
      <c r="AK45" s="3">
        <f>AK38+AK40</f>
        <v/>
      </c>
      <c r="AL45" s="3">
        <f>AL38+AL40</f>
        <v/>
      </c>
      <c r="AM45" s="3">
        <f>AM38+AM40</f>
        <v/>
      </c>
      <c r="AN45" s="3">
        <f>AN38+AN40</f>
        <v/>
      </c>
      <c r="AO45" s="3">
        <f>AO38+AO40</f>
        <v/>
      </c>
      <c r="AP45" s="3">
        <f>AP38+AP40</f>
        <v/>
      </c>
      <c r="AQ45" s="3">
        <f>AQ38+AQ40</f>
        <v/>
      </c>
      <c r="AR45" s="3">
        <f>AR38+AR40</f>
        <v/>
      </c>
      <c r="AS45" s="3">
        <f>AS38+AS40</f>
        <v/>
      </c>
      <c r="AT45" s="3">
        <f>AT38+AT40</f>
        <v/>
      </c>
      <c r="AU45" s="3">
        <f>AU38+AU40</f>
        <v/>
      </c>
      <c r="AV45" s="3">
        <f>AV38+AV40</f>
        <v/>
      </c>
      <c r="AW45" s="3">
        <f>AW38+AW40</f>
        <v/>
      </c>
      <c r="AX45" s="3">
        <f>AX38+AX40</f>
        <v/>
      </c>
      <c r="AY45" s="3">
        <f>AY38+AY40</f>
        <v/>
      </c>
      <c r="AZ45" s="3">
        <f>AZ38+AZ40</f>
        <v/>
      </c>
      <c r="BA45" s="3">
        <f>BA38+BA40</f>
        <v/>
      </c>
      <c r="BB45" s="3">
        <f>BB38+BB40</f>
        <v/>
      </c>
      <c r="BC45" s="3">
        <f>BC38+BC40</f>
        <v/>
      </c>
      <c r="BD45" s="3">
        <f>BD38+BD40</f>
        <v/>
      </c>
      <c r="BE45" s="3">
        <f>BE38+BE40</f>
        <v/>
      </c>
      <c r="BF45" s="3">
        <f>BF38+BF40</f>
        <v/>
      </c>
      <c r="BG45" s="3">
        <f>BG38+BG40</f>
        <v/>
      </c>
      <c r="BH45" s="3">
        <f>BH38+BH40</f>
        <v/>
      </c>
      <c r="BI45" s="3">
        <f>BI38+BI40</f>
        <v/>
      </c>
      <c r="BJ45" s="3">
        <f>BJ38+BJ40</f>
        <v/>
      </c>
      <c r="BK45" s="3">
        <f>BK38+BK40</f>
        <v/>
      </c>
      <c r="BL45" s="3">
        <f>BL38+BL40</f>
        <v/>
      </c>
      <c r="BM45" s="3">
        <f>BM38+BM40</f>
        <v/>
      </c>
      <c r="BN45" s="3">
        <f>BN38+BN40</f>
        <v/>
      </c>
      <c r="BO45" s="3">
        <f>BO38+BO40</f>
        <v/>
      </c>
      <c r="BP45" s="3">
        <f>BP38+BP40</f>
        <v/>
      </c>
      <c r="BQ45" s="3">
        <f>BQ38+BQ40</f>
        <v/>
      </c>
      <c r="BR45" s="3">
        <f>BR38+BR40</f>
        <v/>
      </c>
      <c r="BS45" s="3">
        <f>BS38+BS40</f>
        <v/>
      </c>
      <c r="BT45" s="3">
        <f>BT38+BT40</f>
        <v/>
      </c>
      <c r="BU45" s="3">
        <f>BU38+BU40</f>
        <v/>
      </c>
      <c r="BV45" s="3">
        <f>BV38+BV40</f>
        <v/>
      </c>
    </row>
    <row r="47">
      <c r="A47" t="inlineStr">
        <is>
          <t>gross adds</t>
        </is>
      </c>
      <c r="B47" t="inlineStr">
        <is>
          <t>EUROPE|NITRO_M</t>
        </is>
      </c>
      <c r="C47" s="3">
        <f>MAU!C5*Params!$B$37*Params!$B$5*Params!$B$87*Params!$B$71</f>
        <v/>
      </c>
      <c r="D47" s="3">
        <f>MAU!D5*Params!$B$37*Params!$B$5*Params!$B$87*Params!$B$71</f>
        <v/>
      </c>
      <c r="E47" s="3">
        <f>MAU!E5*Params!$B$37*Params!$B$5*Params!$B$87*Params!$B$71</f>
        <v/>
      </c>
      <c r="F47" s="3">
        <f>MAU!F5*Params!$B$37*Params!$B$5*Params!$B$87*Params!$B$71</f>
        <v/>
      </c>
      <c r="G47" s="3">
        <f>MAU!G5*Params!$B$37*Params!$B$5*Params!$B$87*Params!$B$71</f>
        <v/>
      </c>
      <c r="H47" s="3">
        <f>MAU!H5*Params!$B$37*Params!$B$5*Params!$B$87*Params!$B$71</f>
        <v/>
      </c>
      <c r="I47" s="3">
        <f>MAU!I5*Params!$B$37*Params!$B$5*Params!$B$87*Params!$B$71</f>
        <v/>
      </c>
      <c r="J47" s="3">
        <f>MAU!J5*Params!$B$37*Params!$B$5*Params!$B$87*Params!$B$71</f>
        <v/>
      </c>
      <c r="K47" s="3">
        <f>MAU!K5*Params!$B$37*Params!$B$5*Params!$B$87*Params!$B$71</f>
        <v/>
      </c>
      <c r="L47" s="3">
        <f>MAU!L5*Params!$B$37*Params!$B$5*Params!$B$87*Params!$B$71</f>
        <v/>
      </c>
      <c r="M47" s="3">
        <f>MAU!M5*Params!$B$37*Params!$B$5*Params!$B$87*Params!$B$71</f>
        <v/>
      </c>
      <c r="N47" s="3">
        <f>MAU!N5*Params!$B$37*Params!$B$5*Params!$B$87*Params!$B$71</f>
        <v/>
      </c>
      <c r="O47" s="3">
        <f>MAU!O5*Params!$B$37*Params!$B$5*Params!$B$87*Params!$B$71</f>
        <v/>
      </c>
      <c r="P47" s="3">
        <f>MAU!P5*Params!$B$37*Params!$B$5*Params!$B$87*Params!$B$71</f>
        <v/>
      </c>
      <c r="Q47" s="3">
        <f>MAU!Q5*Params!$B$37*Params!$B$5*Params!$B$87*Params!$B$71</f>
        <v/>
      </c>
      <c r="R47" s="3">
        <f>MAU!R5*Params!$B$37*Params!$B$5*Params!$B$87*Params!$B$71</f>
        <v/>
      </c>
      <c r="S47" s="3">
        <f>MAU!S5*Params!$B$37*Params!$B$5*Params!$B$87*Params!$B$71</f>
        <v/>
      </c>
      <c r="T47" s="3">
        <f>MAU!T5*Params!$B$37*Params!$B$5*Params!$B$87*Params!$B$71</f>
        <v/>
      </c>
      <c r="U47" s="3">
        <f>MAU!U5*Params!$B$37*Params!$B$5*Params!$B$87*Params!$B$71</f>
        <v/>
      </c>
      <c r="V47" s="3">
        <f>MAU!V5*Params!$B$37*Params!$B$5*Params!$B$87*Params!$B$71</f>
        <v/>
      </c>
      <c r="W47" s="3">
        <f>MAU!W5*Params!$B$37*Params!$B$5*Params!$B$87*Params!$B$71</f>
        <v/>
      </c>
      <c r="X47" s="3">
        <f>MAU!X5*Params!$B$37*Params!$B$5*Params!$B$87*Params!$B$71</f>
        <v/>
      </c>
      <c r="Y47" s="3">
        <f>MAU!Y5*Params!$B$37*Params!$B$5*Params!$B$87*Params!$B$71</f>
        <v/>
      </c>
      <c r="Z47" s="3">
        <f>MAU!Z5*Params!$B$37*Params!$B$5*Params!$B$87*Params!$B$71</f>
        <v/>
      </c>
      <c r="AA47" s="3">
        <f>MAU!AA5*Params!$B$37*Params!$B$5*Params!$B$87*Params!$B$71</f>
        <v/>
      </c>
      <c r="AB47" s="3">
        <f>MAU!AB5*Params!$B$37*Params!$B$5*Params!$B$87*Params!$B$71</f>
        <v/>
      </c>
      <c r="AC47" s="3">
        <f>MAU!AC5*Params!$B$37*Params!$B$5*Params!$B$87*Params!$B$71</f>
        <v/>
      </c>
      <c r="AD47" s="3">
        <f>MAU!AD5*Params!$B$37*Params!$B$5*Params!$B$87*Params!$B$71</f>
        <v/>
      </c>
      <c r="AE47" s="3">
        <f>MAU!AE5*Params!$B$37*Params!$B$5*Params!$B$87*Params!$B$71</f>
        <v/>
      </c>
      <c r="AF47" s="3">
        <f>MAU!AF5*Params!$B$37*Params!$B$5*Params!$B$87*Params!$B$71</f>
        <v/>
      </c>
      <c r="AG47" s="3">
        <f>MAU!AG5*Params!$B$37*Params!$B$5*Params!$B$87*Params!$B$71</f>
        <v/>
      </c>
      <c r="AH47" s="3">
        <f>MAU!AH5*Params!$B$37*Params!$B$5*Params!$B$87*Params!$B$71</f>
        <v/>
      </c>
      <c r="AI47" s="3">
        <f>MAU!AI5*Params!$B$37*Params!$B$5*Params!$B$87*Params!$B$71</f>
        <v/>
      </c>
      <c r="AJ47" s="3">
        <f>MAU!AJ5*Params!$B$37*Params!$B$5*Params!$B$87*Params!$B$71</f>
        <v/>
      </c>
      <c r="AK47" s="3">
        <f>MAU!AK5*Params!$B$37*Params!$B$5*Params!$B$87*Params!$B$71</f>
        <v/>
      </c>
      <c r="AL47" s="3">
        <f>MAU!AL5*Params!$B$37*Params!$B$5*Params!$B$87*Params!$B$71</f>
        <v/>
      </c>
      <c r="AM47" s="3">
        <f>MAU!AM5*Params!$B$37*Params!$B$5*Params!$B$87*Params!$B$71</f>
        <v/>
      </c>
      <c r="AN47" s="3">
        <f>MAU!AN5*Params!$B$37*Params!$B$5*Params!$B$87*Params!$B$71</f>
        <v/>
      </c>
      <c r="AO47" s="3">
        <f>MAU!AO5*Params!$B$37*Params!$B$5*Params!$B$87*Params!$B$71</f>
        <v/>
      </c>
      <c r="AP47" s="3">
        <f>MAU!AP5*Params!$B$37*Params!$B$5*Params!$B$87*Params!$B$71</f>
        <v/>
      </c>
      <c r="AQ47" s="3">
        <f>MAU!AQ5*Params!$B$37*Params!$B$5*Params!$B$87*Params!$B$71</f>
        <v/>
      </c>
      <c r="AR47" s="3">
        <f>MAU!AR5*Params!$B$37*Params!$B$5*Params!$B$87*Params!$B$71</f>
        <v/>
      </c>
      <c r="AS47" s="3">
        <f>MAU!AS5*Params!$B$37*Params!$B$5*Params!$B$87*Params!$B$71</f>
        <v/>
      </c>
      <c r="AT47" s="3">
        <f>MAU!AT5*Params!$B$37*Params!$B$5*Params!$B$87*Params!$B$71</f>
        <v/>
      </c>
      <c r="AU47" s="3">
        <f>MAU!AU5*Params!$B$37*Params!$B$5*Params!$B$87*Params!$B$71</f>
        <v/>
      </c>
      <c r="AV47" s="3">
        <f>MAU!AV5*Params!$B$37*Params!$B$5*Params!$B$87*Params!$B$71</f>
        <v/>
      </c>
      <c r="AW47" s="3">
        <f>MAU!AW5*Params!$B$37*Params!$B$5*Params!$B$87*Params!$B$71</f>
        <v/>
      </c>
      <c r="AX47" s="3">
        <f>MAU!AX5*Params!$B$37*Params!$B$5*Params!$B$87*Params!$B$71</f>
        <v/>
      </c>
      <c r="AY47" s="3">
        <f>MAU!AY5*Params!$B$37*Params!$B$5*Params!$B$87*Params!$B$71</f>
        <v/>
      </c>
      <c r="AZ47" s="3">
        <f>MAU!AZ5*Params!$B$37*Params!$B$5*Params!$B$87*Params!$B$71</f>
        <v/>
      </c>
      <c r="BA47" s="3">
        <f>MAU!BA5*Params!$B$37*Params!$B$5*Params!$B$87*Params!$B$71</f>
        <v/>
      </c>
      <c r="BB47" s="3">
        <f>MAU!BB5*Params!$B$37*Params!$B$5*Params!$B$87*Params!$B$71</f>
        <v/>
      </c>
      <c r="BC47" s="3">
        <f>MAU!BC5*Params!$B$37*Params!$B$5*Params!$B$87*Params!$B$71</f>
        <v/>
      </c>
      <c r="BD47" s="3">
        <f>MAU!BD5*Params!$B$37*Params!$B$5*Params!$B$87*Params!$B$71</f>
        <v/>
      </c>
      <c r="BE47" s="3">
        <f>MAU!BE5*Params!$B$37*Params!$B$5*Params!$B$87*Params!$B$71</f>
        <v/>
      </c>
      <c r="BF47" s="3">
        <f>MAU!BF5*Params!$B$37*Params!$B$5*Params!$B$87*Params!$B$71</f>
        <v/>
      </c>
      <c r="BG47" s="3">
        <f>MAU!BG5*Params!$B$37*Params!$B$5*Params!$B$87*Params!$B$71</f>
        <v/>
      </c>
      <c r="BH47" s="3">
        <f>MAU!BH5*Params!$B$37*Params!$B$5*Params!$B$87*Params!$B$71</f>
        <v/>
      </c>
      <c r="BI47" s="3">
        <f>MAU!BI5*Params!$B$37*Params!$B$5*Params!$B$87*Params!$B$71</f>
        <v/>
      </c>
      <c r="BJ47" s="3">
        <f>MAU!BJ5*Params!$B$37*Params!$B$5*Params!$B$87*Params!$B$71</f>
        <v/>
      </c>
      <c r="BK47" s="3">
        <f>MAU!BK5*Params!$B$37*Params!$B$5*Params!$B$87*Params!$B$71</f>
        <v/>
      </c>
      <c r="BL47" s="3">
        <f>MAU!BL5*Params!$B$37*Params!$B$5*Params!$B$87*Params!$B$71</f>
        <v/>
      </c>
      <c r="BM47" s="3">
        <f>MAU!BM5*Params!$B$37*Params!$B$5*Params!$B$87*Params!$B$71</f>
        <v/>
      </c>
      <c r="BN47" s="3">
        <f>MAU!BN5*Params!$B$37*Params!$B$5*Params!$B$87*Params!$B$71</f>
        <v/>
      </c>
      <c r="BO47" s="3">
        <f>MAU!BO5*Params!$B$37*Params!$B$5*Params!$B$87*Params!$B$71</f>
        <v/>
      </c>
      <c r="BP47" s="3">
        <f>MAU!BP5*Params!$B$37*Params!$B$5*Params!$B$87*Params!$B$71</f>
        <v/>
      </c>
      <c r="BQ47" s="3">
        <f>MAU!BQ5*Params!$B$37*Params!$B$5*Params!$B$87*Params!$B$71</f>
        <v/>
      </c>
      <c r="BR47" s="3">
        <f>MAU!BR5*Params!$B$37*Params!$B$5*Params!$B$87*Params!$B$71</f>
        <v/>
      </c>
      <c r="BS47" s="3">
        <f>MAU!BS5*Params!$B$37*Params!$B$5*Params!$B$87*Params!$B$71</f>
        <v/>
      </c>
      <c r="BT47" s="3">
        <f>MAU!BT5*Params!$B$37*Params!$B$5*Params!$B$87*Params!$B$71</f>
        <v/>
      </c>
      <c r="BU47" s="3">
        <f>MAU!BU5*Params!$B$37*Params!$B$5*Params!$B$87*Params!$B$71</f>
        <v/>
      </c>
      <c r="BV47" s="3">
        <f>MAU!BV5*Params!$B$37*Params!$B$5*Params!$B$87*Params!$B$71</f>
        <v/>
      </c>
    </row>
    <row r="48">
      <c r="A48" t="inlineStr">
        <is>
          <t>trial starts</t>
        </is>
      </c>
      <c r="B48" t="inlineStr">
        <is>
          <t>EUROPE|NITRO_M</t>
        </is>
      </c>
      <c r="C48" s="3">
        <f>C47*Params!$B$6</f>
        <v/>
      </c>
      <c r="D48" s="3">
        <f>D47*Params!$B$6</f>
        <v/>
      </c>
      <c r="E48" s="3">
        <f>E47*Params!$B$6</f>
        <v/>
      </c>
      <c r="F48" s="3">
        <f>F47*Params!$B$6</f>
        <v/>
      </c>
      <c r="G48" s="3">
        <f>G47*Params!$B$6</f>
        <v/>
      </c>
      <c r="H48" s="3">
        <f>H47*Params!$B$6</f>
        <v/>
      </c>
      <c r="I48" s="3">
        <f>I47*Params!$B$6</f>
        <v/>
      </c>
      <c r="J48" s="3">
        <f>J47*Params!$B$6</f>
        <v/>
      </c>
      <c r="K48" s="3">
        <f>K47*Params!$B$6</f>
        <v/>
      </c>
      <c r="L48" s="3">
        <f>L47*Params!$B$6</f>
        <v/>
      </c>
      <c r="M48" s="3">
        <f>M47*Params!$B$6</f>
        <v/>
      </c>
      <c r="N48" s="3">
        <f>N47*Params!$B$6</f>
        <v/>
      </c>
      <c r="O48" s="3">
        <f>O47*Params!$B$6</f>
        <v/>
      </c>
      <c r="P48" s="3">
        <f>P47*Params!$B$6</f>
        <v/>
      </c>
      <c r="Q48" s="3">
        <f>Q47*Params!$B$6</f>
        <v/>
      </c>
      <c r="R48" s="3">
        <f>R47*Params!$B$6</f>
        <v/>
      </c>
      <c r="S48" s="3">
        <f>S47*Params!$B$6</f>
        <v/>
      </c>
      <c r="T48" s="3">
        <f>T47*Params!$B$6</f>
        <v/>
      </c>
      <c r="U48" s="3">
        <f>U47*Params!$B$6</f>
        <v/>
      </c>
      <c r="V48" s="3">
        <f>V47*Params!$B$6</f>
        <v/>
      </c>
      <c r="W48" s="3">
        <f>W47*Params!$B$6</f>
        <v/>
      </c>
      <c r="X48" s="3">
        <f>X47*Params!$B$6</f>
        <v/>
      </c>
      <c r="Y48" s="3">
        <f>Y47*Params!$B$6</f>
        <v/>
      </c>
      <c r="Z48" s="3">
        <f>Z47*Params!$B$6</f>
        <v/>
      </c>
      <c r="AA48" s="3">
        <f>AA47*Params!$B$6</f>
        <v/>
      </c>
      <c r="AB48" s="3">
        <f>AB47*Params!$B$6</f>
        <v/>
      </c>
      <c r="AC48" s="3">
        <f>AC47*Params!$B$6</f>
        <v/>
      </c>
      <c r="AD48" s="3">
        <f>AD47*Params!$B$6</f>
        <v/>
      </c>
      <c r="AE48" s="3">
        <f>AE47*Params!$B$6</f>
        <v/>
      </c>
      <c r="AF48" s="3">
        <f>AF47*Params!$B$6</f>
        <v/>
      </c>
      <c r="AG48" s="3">
        <f>AG47*Params!$B$6</f>
        <v/>
      </c>
      <c r="AH48" s="3">
        <f>AH47*Params!$B$6</f>
        <v/>
      </c>
      <c r="AI48" s="3">
        <f>AI47*Params!$B$6</f>
        <v/>
      </c>
      <c r="AJ48" s="3">
        <f>AJ47*Params!$B$6</f>
        <v/>
      </c>
      <c r="AK48" s="3">
        <f>AK47*Params!$B$6</f>
        <v/>
      </c>
      <c r="AL48" s="3">
        <f>AL47*Params!$B$6</f>
        <v/>
      </c>
      <c r="AM48" s="3">
        <f>AM47*Params!$B$6</f>
        <v/>
      </c>
      <c r="AN48" s="3">
        <f>AN47*Params!$B$6</f>
        <v/>
      </c>
      <c r="AO48" s="3">
        <f>AO47*Params!$B$6</f>
        <v/>
      </c>
      <c r="AP48" s="3">
        <f>AP47*Params!$B$6</f>
        <v/>
      </c>
      <c r="AQ48" s="3">
        <f>AQ47*Params!$B$6</f>
        <v/>
      </c>
      <c r="AR48" s="3">
        <f>AR47*Params!$B$6</f>
        <v/>
      </c>
      <c r="AS48" s="3">
        <f>AS47*Params!$B$6</f>
        <v/>
      </c>
      <c r="AT48" s="3">
        <f>AT47*Params!$B$6</f>
        <v/>
      </c>
      <c r="AU48" s="3">
        <f>AU47*Params!$B$6</f>
        <v/>
      </c>
      <c r="AV48" s="3">
        <f>AV47*Params!$B$6</f>
        <v/>
      </c>
      <c r="AW48" s="3">
        <f>AW47*Params!$B$6</f>
        <v/>
      </c>
      <c r="AX48" s="3">
        <f>AX47*Params!$B$6</f>
        <v/>
      </c>
      <c r="AY48" s="3">
        <f>AY47*Params!$B$6</f>
        <v/>
      </c>
      <c r="AZ48" s="3">
        <f>AZ47*Params!$B$6</f>
        <v/>
      </c>
      <c r="BA48" s="3">
        <f>BA47*Params!$B$6</f>
        <v/>
      </c>
      <c r="BB48" s="3">
        <f>BB47*Params!$B$6</f>
        <v/>
      </c>
      <c r="BC48" s="3">
        <f>BC47*Params!$B$6</f>
        <v/>
      </c>
      <c r="BD48" s="3">
        <f>BD47*Params!$B$6</f>
        <v/>
      </c>
      <c r="BE48" s="3">
        <f>BE47*Params!$B$6</f>
        <v/>
      </c>
      <c r="BF48" s="3">
        <f>BF47*Params!$B$6</f>
        <v/>
      </c>
      <c r="BG48" s="3">
        <f>BG47*Params!$B$6</f>
        <v/>
      </c>
      <c r="BH48" s="3">
        <f>BH47*Params!$B$6</f>
        <v/>
      </c>
      <c r="BI48" s="3">
        <f>BI47*Params!$B$6</f>
        <v/>
      </c>
      <c r="BJ48" s="3">
        <f>BJ47*Params!$B$6</f>
        <v/>
      </c>
      <c r="BK48" s="3">
        <f>BK47*Params!$B$6</f>
        <v/>
      </c>
      <c r="BL48" s="3">
        <f>BL47*Params!$B$6</f>
        <v/>
      </c>
      <c r="BM48" s="3">
        <f>BM47*Params!$B$6</f>
        <v/>
      </c>
      <c r="BN48" s="3">
        <f>BN47*Params!$B$6</f>
        <v/>
      </c>
      <c r="BO48" s="3">
        <f>BO47*Params!$B$6</f>
        <v/>
      </c>
      <c r="BP48" s="3">
        <f>BP47*Params!$B$6</f>
        <v/>
      </c>
      <c r="BQ48" s="3">
        <f>BQ47*Params!$B$6</f>
        <v/>
      </c>
      <c r="BR48" s="3">
        <f>BR47*Params!$B$6</f>
        <v/>
      </c>
      <c r="BS48" s="3">
        <f>BS47*Params!$B$6</f>
        <v/>
      </c>
      <c r="BT48" s="3">
        <f>BT47*Params!$B$6</f>
        <v/>
      </c>
      <c r="BU48" s="3">
        <f>BU47*Params!$B$6</f>
        <v/>
      </c>
      <c r="BV48" s="3">
        <f>BV47*Params!$B$6</f>
        <v/>
      </c>
    </row>
    <row r="49">
      <c r="A49" t="inlineStr">
        <is>
          <t>direct paid starts</t>
        </is>
      </c>
      <c r="B49" t="inlineStr">
        <is>
          <t>EUROPE|NITRO_M</t>
        </is>
      </c>
      <c r="C49" s="3">
        <f>C47-C48</f>
        <v/>
      </c>
      <c r="D49" s="3">
        <f>D47-D48</f>
        <v/>
      </c>
      <c r="E49" s="3">
        <f>E47-E48</f>
        <v/>
      </c>
      <c r="F49" s="3">
        <f>F47-F48</f>
        <v/>
      </c>
      <c r="G49" s="3">
        <f>G47-G48</f>
        <v/>
      </c>
      <c r="H49" s="3">
        <f>H47-H48</f>
        <v/>
      </c>
      <c r="I49" s="3">
        <f>I47-I48</f>
        <v/>
      </c>
      <c r="J49" s="3">
        <f>J47-J48</f>
        <v/>
      </c>
      <c r="K49" s="3">
        <f>K47-K48</f>
        <v/>
      </c>
      <c r="L49" s="3">
        <f>L47-L48</f>
        <v/>
      </c>
      <c r="M49" s="3">
        <f>M47-M48</f>
        <v/>
      </c>
      <c r="N49" s="3">
        <f>N47-N48</f>
        <v/>
      </c>
      <c r="O49" s="3">
        <f>O47-O48</f>
        <v/>
      </c>
      <c r="P49" s="3">
        <f>P47-P48</f>
        <v/>
      </c>
      <c r="Q49" s="3">
        <f>Q47-Q48</f>
        <v/>
      </c>
      <c r="R49" s="3">
        <f>R47-R48</f>
        <v/>
      </c>
      <c r="S49" s="3">
        <f>S47-S48</f>
        <v/>
      </c>
      <c r="T49" s="3">
        <f>T47-T48</f>
        <v/>
      </c>
      <c r="U49" s="3">
        <f>U47-U48</f>
        <v/>
      </c>
      <c r="V49" s="3">
        <f>V47-V48</f>
        <v/>
      </c>
      <c r="W49" s="3">
        <f>W47-W48</f>
        <v/>
      </c>
      <c r="X49" s="3">
        <f>X47-X48</f>
        <v/>
      </c>
      <c r="Y49" s="3">
        <f>Y47-Y48</f>
        <v/>
      </c>
      <c r="Z49" s="3">
        <f>Z47-Z48</f>
        <v/>
      </c>
      <c r="AA49" s="3">
        <f>AA47-AA48</f>
        <v/>
      </c>
      <c r="AB49" s="3">
        <f>AB47-AB48</f>
        <v/>
      </c>
      <c r="AC49" s="3">
        <f>AC47-AC48</f>
        <v/>
      </c>
      <c r="AD49" s="3">
        <f>AD47-AD48</f>
        <v/>
      </c>
      <c r="AE49" s="3">
        <f>AE47-AE48</f>
        <v/>
      </c>
      <c r="AF49" s="3">
        <f>AF47-AF48</f>
        <v/>
      </c>
      <c r="AG49" s="3">
        <f>AG47-AG48</f>
        <v/>
      </c>
      <c r="AH49" s="3">
        <f>AH47-AH48</f>
        <v/>
      </c>
      <c r="AI49" s="3">
        <f>AI47-AI48</f>
        <v/>
      </c>
      <c r="AJ49" s="3">
        <f>AJ47-AJ48</f>
        <v/>
      </c>
      <c r="AK49" s="3">
        <f>AK47-AK48</f>
        <v/>
      </c>
      <c r="AL49" s="3">
        <f>AL47-AL48</f>
        <v/>
      </c>
      <c r="AM49" s="3">
        <f>AM47-AM48</f>
        <v/>
      </c>
      <c r="AN49" s="3">
        <f>AN47-AN48</f>
        <v/>
      </c>
      <c r="AO49" s="3">
        <f>AO47-AO48</f>
        <v/>
      </c>
      <c r="AP49" s="3">
        <f>AP47-AP48</f>
        <v/>
      </c>
      <c r="AQ49" s="3">
        <f>AQ47-AQ48</f>
        <v/>
      </c>
      <c r="AR49" s="3">
        <f>AR47-AR48</f>
        <v/>
      </c>
      <c r="AS49" s="3">
        <f>AS47-AS48</f>
        <v/>
      </c>
      <c r="AT49" s="3">
        <f>AT47-AT48</f>
        <v/>
      </c>
      <c r="AU49" s="3">
        <f>AU47-AU48</f>
        <v/>
      </c>
      <c r="AV49" s="3">
        <f>AV47-AV48</f>
        <v/>
      </c>
      <c r="AW49" s="3">
        <f>AW47-AW48</f>
        <v/>
      </c>
      <c r="AX49" s="3">
        <f>AX47-AX48</f>
        <v/>
      </c>
      <c r="AY49" s="3">
        <f>AY47-AY48</f>
        <v/>
      </c>
      <c r="AZ49" s="3">
        <f>AZ47-AZ48</f>
        <v/>
      </c>
      <c r="BA49" s="3">
        <f>BA47-BA48</f>
        <v/>
      </c>
      <c r="BB49" s="3">
        <f>BB47-BB48</f>
        <v/>
      </c>
      <c r="BC49" s="3">
        <f>BC47-BC48</f>
        <v/>
      </c>
      <c r="BD49" s="3">
        <f>BD47-BD48</f>
        <v/>
      </c>
      <c r="BE49" s="3">
        <f>BE47-BE48</f>
        <v/>
      </c>
      <c r="BF49" s="3">
        <f>BF47-BF48</f>
        <v/>
      </c>
      <c r="BG49" s="3">
        <f>BG47-BG48</f>
        <v/>
      </c>
      <c r="BH49" s="3">
        <f>BH47-BH48</f>
        <v/>
      </c>
      <c r="BI49" s="3">
        <f>BI47-BI48</f>
        <v/>
      </c>
      <c r="BJ49" s="3">
        <f>BJ47-BJ48</f>
        <v/>
      </c>
      <c r="BK49" s="3">
        <f>BK47-BK48</f>
        <v/>
      </c>
      <c r="BL49" s="3">
        <f>BL47-BL48</f>
        <v/>
      </c>
      <c r="BM49" s="3">
        <f>BM47-BM48</f>
        <v/>
      </c>
      <c r="BN49" s="3">
        <f>BN47-BN48</f>
        <v/>
      </c>
      <c r="BO49" s="3">
        <f>BO47-BO48</f>
        <v/>
      </c>
      <c r="BP49" s="3">
        <f>BP47-BP48</f>
        <v/>
      </c>
      <c r="BQ49" s="3">
        <f>BQ47-BQ48</f>
        <v/>
      </c>
      <c r="BR49" s="3">
        <f>BR47-BR48</f>
        <v/>
      </c>
      <c r="BS49" s="3">
        <f>BS47-BS48</f>
        <v/>
      </c>
      <c r="BT49" s="3">
        <f>BT47-BT48</f>
        <v/>
      </c>
      <c r="BU49" s="3">
        <f>BU47-BU48</f>
        <v/>
      </c>
      <c r="BV49" s="3">
        <f>BV47-BV48</f>
        <v/>
      </c>
    </row>
    <row r="50">
      <c r="A50" t="inlineStr">
        <is>
          <t>trials ending</t>
        </is>
      </c>
      <c r="B50" t="inlineStr">
        <is>
          <t>EUROPE|NITRO_M</t>
        </is>
      </c>
      <c r="C50" s="3">
        <f>IF(C$2&gt;=Params!$B$7,INDEX($C$48:$BV$48,C$2-Params!$B$7+1),0)</f>
        <v/>
      </c>
      <c r="D50" s="3">
        <f>IF(D$2&gt;=Params!$B$7,INDEX($C$48:$BV$48,D$2-Params!$B$7+1),0)</f>
        <v/>
      </c>
      <c r="E50" s="3">
        <f>IF(E$2&gt;=Params!$B$7,INDEX($C$48:$BV$48,E$2-Params!$B$7+1),0)</f>
        <v/>
      </c>
      <c r="F50" s="3">
        <f>IF(F$2&gt;=Params!$B$7,INDEX($C$48:$BV$48,F$2-Params!$B$7+1),0)</f>
        <v/>
      </c>
      <c r="G50" s="3">
        <f>IF(G$2&gt;=Params!$B$7,INDEX($C$48:$BV$48,G$2-Params!$B$7+1),0)</f>
        <v/>
      </c>
      <c r="H50" s="3">
        <f>IF(H$2&gt;=Params!$B$7,INDEX($C$48:$BV$48,H$2-Params!$B$7+1),0)</f>
        <v/>
      </c>
      <c r="I50" s="3">
        <f>IF(I$2&gt;=Params!$B$7,INDEX($C$48:$BV$48,I$2-Params!$B$7+1),0)</f>
        <v/>
      </c>
      <c r="J50" s="3">
        <f>IF(J$2&gt;=Params!$B$7,INDEX($C$48:$BV$48,J$2-Params!$B$7+1),0)</f>
        <v/>
      </c>
      <c r="K50" s="3">
        <f>IF(K$2&gt;=Params!$B$7,INDEX($C$48:$BV$48,K$2-Params!$B$7+1),0)</f>
        <v/>
      </c>
      <c r="L50" s="3">
        <f>IF(L$2&gt;=Params!$B$7,INDEX($C$48:$BV$48,L$2-Params!$B$7+1),0)</f>
        <v/>
      </c>
      <c r="M50" s="3">
        <f>IF(M$2&gt;=Params!$B$7,INDEX($C$48:$BV$48,M$2-Params!$B$7+1),0)</f>
        <v/>
      </c>
      <c r="N50" s="3">
        <f>IF(N$2&gt;=Params!$B$7,INDEX($C$48:$BV$48,N$2-Params!$B$7+1),0)</f>
        <v/>
      </c>
      <c r="O50" s="3">
        <f>IF(O$2&gt;=Params!$B$7,INDEX($C$48:$BV$48,O$2-Params!$B$7+1),0)</f>
        <v/>
      </c>
      <c r="P50" s="3">
        <f>IF(P$2&gt;=Params!$B$7,INDEX($C$48:$BV$48,P$2-Params!$B$7+1),0)</f>
        <v/>
      </c>
      <c r="Q50" s="3">
        <f>IF(Q$2&gt;=Params!$B$7,INDEX($C$48:$BV$48,Q$2-Params!$B$7+1),0)</f>
        <v/>
      </c>
      <c r="R50" s="3">
        <f>IF(R$2&gt;=Params!$B$7,INDEX($C$48:$BV$48,R$2-Params!$B$7+1),0)</f>
        <v/>
      </c>
      <c r="S50" s="3">
        <f>IF(S$2&gt;=Params!$B$7,INDEX($C$48:$BV$48,S$2-Params!$B$7+1),0)</f>
        <v/>
      </c>
      <c r="T50" s="3">
        <f>IF(T$2&gt;=Params!$B$7,INDEX($C$48:$BV$48,T$2-Params!$B$7+1),0)</f>
        <v/>
      </c>
      <c r="U50" s="3">
        <f>IF(U$2&gt;=Params!$B$7,INDEX($C$48:$BV$48,U$2-Params!$B$7+1),0)</f>
        <v/>
      </c>
      <c r="V50" s="3">
        <f>IF(V$2&gt;=Params!$B$7,INDEX($C$48:$BV$48,V$2-Params!$B$7+1),0)</f>
        <v/>
      </c>
      <c r="W50" s="3">
        <f>IF(W$2&gt;=Params!$B$7,INDEX($C$48:$BV$48,W$2-Params!$B$7+1),0)</f>
        <v/>
      </c>
      <c r="X50" s="3">
        <f>IF(X$2&gt;=Params!$B$7,INDEX($C$48:$BV$48,X$2-Params!$B$7+1),0)</f>
        <v/>
      </c>
      <c r="Y50" s="3">
        <f>IF(Y$2&gt;=Params!$B$7,INDEX($C$48:$BV$48,Y$2-Params!$B$7+1),0)</f>
        <v/>
      </c>
      <c r="Z50" s="3">
        <f>IF(Z$2&gt;=Params!$B$7,INDEX($C$48:$BV$48,Z$2-Params!$B$7+1),0)</f>
        <v/>
      </c>
      <c r="AA50" s="3">
        <f>IF(AA$2&gt;=Params!$B$7,INDEX($C$48:$BV$48,AA$2-Params!$B$7+1),0)</f>
        <v/>
      </c>
      <c r="AB50" s="3">
        <f>IF(AB$2&gt;=Params!$B$7,INDEX($C$48:$BV$48,AB$2-Params!$B$7+1),0)</f>
        <v/>
      </c>
      <c r="AC50" s="3">
        <f>IF(AC$2&gt;=Params!$B$7,INDEX($C$48:$BV$48,AC$2-Params!$B$7+1),0)</f>
        <v/>
      </c>
      <c r="AD50" s="3">
        <f>IF(AD$2&gt;=Params!$B$7,INDEX($C$48:$BV$48,AD$2-Params!$B$7+1),0)</f>
        <v/>
      </c>
      <c r="AE50" s="3">
        <f>IF(AE$2&gt;=Params!$B$7,INDEX($C$48:$BV$48,AE$2-Params!$B$7+1),0)</f>
        <v/>
      </c>
      <c r="AF50" s="3">
        <f>IF(AF$2&gt;=Params!$B$7,INDEX($C$48:$BV$48,AF$2-Params!$B$7+1),0)</f>
        <v/>
      </c>
      <c r="AG50" s="3">
        <f>IF(AG$2&gt;=Params!$B$7,INDEX($C$48:$BV$48,AG$2-Params!$B$7+1),0)</f>
        <v/>
      </c>
      <c r="AH50" s="3">
        <f>IF(AH$2&gt;=Params!$B$7,INDEX($C$48:$BV$48,AH$2-Params!$B$7+1),0)</f>
        <v/>
      </c>
      <c r="AI50" s="3">
        <f>IF(AI$2&gt;=Params!$B$7,INDEX($C$48:$BV$48,AI$2-Params!$B$7+1),0)</f>
        <v/>
      </c>
      <c r="AJ50" s="3">
        <f>IF(AJ$2&gt;=Params!$B$7,INDEX($C$48:$BV$48,AJ$2-Params!$B$7+1),0)</f>
        <v/>
      </c>
      <c r="AK50" s="3">
        <f>IF(AK$2&gt;=Params!$B$7,INDEX($C$48:$BV$48,AK$2-Params!$B$7+1),0)</f>
        <v/>
      </c>
      <c r="AL50" s="3">
        <f>IF(AL$2&gt;=Params!$B$7,INDEX($C$48:$BV$48,AL$2-Params!$B$7+1),0)</f>
        <v/>
      </c>
      <c r="AM50" s="3">
        <f>IF(AM$2&gt;=Params!$B$7,INDEX($C$48:$BV$48,AM$2-Params!$B$7+1),0)</f>
        <v/>
      </c>
      <c r="AN50" s="3">
        <f>IF(AN$2&gt;=Params!$B$7,INDEX($C$48:$BV$48,AN$2-Params!$B$7+1),0)</f>
        <v/>
      </c>
      <c r="AO50" s="3">
        <f>IF(AO$2&gt;=Params!$B$7,INDEX($C$48:$BV$48,AO$2-Params!$B$7+1),0)</f>
        <v/>
      </c>
      <c r="AP50" s="3">
        <f>IF(AP$2&gt;=Params!$B$7,INDEX($C$48:$BV$48,AP$2-Params!$B$7+1),0)</f>
        <v/>
      </c>
      <c r="AQ50" s="3">
        <f>IF(AQ$2&gt;=Params!$B$7,INDEX($C$48:$BV$48,AQ$2-Params!$B$7+1),0)</f>
        <v/>
      </c>
      <c r="AR50" s="3">
        <f>IF(AR$2&gt;=Params!$B$7,INDEX($C$48:$BV$48,AR$2-Params!$B$7+1),0)</f>
        <v/>
      </c>
      <c r="AS50" s="3">
        <f>IF(AS$2&gt;=Params!$B$7,INDEX($C$48:$BV$48,AS$2-Params!$B$7+1),0)</f>
        <v/>
      </c>
      <c r="AT50" s="3">
        <f>IF(AT$2&gt;=Params!$B$7,INDEX($C$48:$BV$48,AT$2-Params!$B$7+1),0)</f>
        <v/>
      </c>
      <c r="AU50" s="3">
        <f>IF(AU$2&gt;=Params!$B$7,INDEX($C$48:$BV$48,AU$2-Params!$B$7+1),0)</f>
        <v/>
      </c>
      <c r="AV50" s="3">
        <f>IF(AV$2&gt;=Params!$B$7,INDEX($C$48:$BV$48,AV$2-Params!$B$7+1),0)</f>
        <v/>
      </c>
      <c r="AW50" s="3">
        <f>IF(AW$2&gt;=Params!$B$7,INDEX($C$48:$BV$48,AW$2-Params!$B$7+1),0)</f>
        <v/>
      </c>
      <c r="AX50" s="3">
        <f>IF(AX$2&gt;=Params!$B$7,INDEX($C$48:$BV$48,AX$2-Params!$B$7+1),0)</f>
        <v/>
      </c>
      <c r="AY50" s="3">
        <f>IF(AY$2&gt;=Params!$B$7,INDEX($C$48:$BV$48,AY$2-Params!$B$7+1),0)</f>
        <v/>
      </c>
      <c r="AZ50" s="3">
        <f>IF(AZ$2&gt;=Params!$B$7,INDEX($C$48:$BV$48,AZ$2-Params!$B$7+1),0)</f>
        <v/>
      </c>
      <c r="BA50" s="3">
        <f>IF(BA$2&gt;=Params!$B$7,INDEX($C$48:$BV$48,BA$2-Params!$B$7+1),0)</f>
        <v/>
      </c>
      <c r="BB50" s="3">
        <f>IF(BB$2&gt;=Params!$B$7,INDEX($C$48:$BV$48,BB$2-Params!$B$7+1),0)</f>
        <v/>
      </c>
      <c r="BC50" s="3">
        <f>IF(BC$2&gt;=Params!$B$7,INDEX($C$48:$BV$48,BC$2-Params!$B$7+1),0)</f>
        <v/>
      </c>
      <c r="BD50" s="3">
        <f>IF(BD$2&gt;=Params!$B$7,INDEX($C$48:$BV$48,BD$2-Params!$B$7+1),0)</f>
        <v/>
      </c>
      <c r="BE50" s="3">
        <f>IF(BE$2&gt;=Params!$B$7,INDEX($C$48:$BV$48,BE$2-Params!$B$7+1),0)</f>
        <v/>
      </c>
      <c r="BF50" s="3">
        <f>IF(BF$2&gt;=Params!$B$7,INDEX($C$48:$BV$48,BF$2-Params!$B$7+1),0)</f>
        <v/>
      </c>
      <c r="BG50" s="3">
        <f>IF(BG$2&gt;=Params!$B$7,INDEX($C$48:$BV$48,BG$2-Params!$B$7+1),0)</f>
        <v/>
      </c>
      <c r="BH50" s="3">
        <f>IF(BH$2&gt;=Params!$B$7,INDEX($C$48:$BV$48,BH$2-Params!$B$7+1),0)</f>
        <v/>
      </c>
      <c r="BI50" s="3">
        <f>IF(BI$2&gt;=Params!$B$7,INDEX($C$48:$BV$48,BI$2-Params!$B$7+1),0)</f>
        <v/>
      </c>
      <c r="BJ50" s="3">
        <f>IF(BJ$2&gt;=Params!$B$7,INDEX($C$48:$BV$48,BJ$2-Params!$B$7+1),0)</f>
        <v/>
      </c>
      <c r="BK50" s="3">
        <f>IF(BK$2&gt;=Params!$B$7,INDEX($C$48:$BV$48,BK$2-Params!$B$7+1),0)</f>
        <v/>
      </c>
      <c r="BL50" s="3">
        <f>IF(BL$2&gt;=Params!$B$7,INDEX($C$48:$BV$48,BL$2-Params!$B$7+1),0)</f>
        <v/>
      </c>
      <c r="BM50" s="3">
        <f>IF(BM$2&gt;=Params!$B$7,INDEX($C$48:$BV$48,BM$2-Params!$B$7+1),0)</f>
        <v/>
      </c>
      <c r="BN50" s="3">
        <f>IF(BN$2&gt;=Params!$B$7,INDEX($C$48:$BV$48,BN$2-Params!$B$7+1),0)</f>
        <v/>
      </c>
      <c r="BO50" s="3">
        <f>IF(BO$2&gt;=Params!$B$7,INDEX($C$48:$BV$48,BO$2-Params!$B$7+1),0)</f>
        <v/>
      </c>
      <c r="BP50" s="3">
        <f>IF(BP$2&gt;=Params!$B$7,INDEX($C$48:$BV$48,BP$2-Params!$B$7+1),0)</f>
        <v/>
      </c>
      <c r="BQ50" s="3">
        <f>IF(BQ$2&gt;=Params!$B$7,INDEX($C$48:$BV$48,BQ$2-Params!$B$7+1),0)</f>
        <v/>
      </c>
      <c r="BR50" s="3">
        <f>IF(BR$2&gt;=Params!$B$7,INDEX($C$48:$BV$48,BR$2-Params!$B$7+1),0)</f>
        <v/>
      </c>
      <c r="BS50" s="3">
        <f>IF(BS$2&gt;=Params!$B$7,INDEX($C$48:$BV$48,BS$2-Params!$B$7+1),0)</f>
        <v/>
      </c>
      <c r="BT50" s="3">
        <f>IF(BT$2&gt;=Params!$B$7,INDEX($C$48:$BV$48,BT$2-Params!$B$7+1),0)</f>
        <v/>
      </c>
      <c r="BU50" s="3">
        <f>IF(BU$2&gt;=Params!$B$7,INDEX($C$48:$BV$48,BU$2-Params!$B$7+1),0)</f>
        <v/>
      </c>
      <c r="BV50" s="3">
        <f>IF(BV$2&gt;=Params!$B$7,INDEX($C$48:$BV$48,BV$2-Params!$B$7+1),0)</f>
        <v/>
      </c>
    </row>
    <row r="51">
      <c r="A51" t="inlineStr">
        <is>
          <t>trials converted</t>
        </is>
      </c>
      <c r="B51" t="inlineStr">
        <is>
          <t>EUROPE|NITRO_M</t>
        </is>
      </c>
      <c r="C51" s="3">
        <f>C50*Params!$B$8</f>
        <v/>
      </c>
      <c r="D51" s="3">
        <f>D50*Params!$B$8</f>
        <v/>
      </c>
      <c r="E51" s="3">
        <f>E50*Params!$B$8</f>
        <v/>
      </c>
      <c r="F51" s="3">
        <f>F50*Params!$B$8</f>
        <v/>
      </c>
      <c r="G51" s="3">
        <f>G50*Params!$B$8</f>
        <v/>
      </c>
      <c r="H51" s="3">
        <f>H50*Params!$B$8</f>
        <v/>
      </c>
      <c r="I51" s="3">
        <f>I50*Params!$B$8</f>
        <v/>
      </c>
      <c r="J51" s="3">
        <f>J50*Params!$B$8</f>
        <v/>
      </c>
      <c r="K51" s="3">
        <f>K50*Params!$B$8</f>
        <v/>
      </c>
      <c r="L51" s="3">
        <f>L50*Params!$B$8</f>
        <v/>
      </c>
      <c r="M51" s="3">
        <f>M50*Params!$B$8</f>
        <v/>
      </c>
      <c r="N51" s="3">
        <f>N50*Params!$B$8</f>
        <v/>
      </c>
      <c r="O51" s="3">
        <f>O50*Params!$B$8</f>
        <v/>
      </c>
      <c r="P51" s="3">
        <f>P50*Params!$B$8</f>
        <v/>
      </c>
      <c r="Q51" s="3">
        <f>Q50*Params!$B$8</f>
        <v/>
      </c>
      <c r="R51" s="3">
        <f>R50*Params!$B$8</f>
        <v/>
      </c>
      <c r="S51" s="3">
        <f>S50*Params!$B$8</f>
        <v/>
      </c>
      <c r="T51" s="3">
        <f>T50*Params!$B$8</f>
        <v/>
      </c>
      <c r="U51" s="3">
        <f>U50*Params!$B$8</f>
        <v/>
      </c>
      <c r="V51" s="3">
        <f>V50*Params!$B$8</f>
        <v/>
      </c>
      <c r="W51" s="3">
        <f>W50*Params!$B$8</f>
        <v/>
      </c>
      <c r="X51" s="3">
        <f>X50*Params!$B$8</f>
        <v/>
      </c>
      <c r="Y51" s="3">
        <f>Y50*Params!$B$8</f>
        <v/>
      </c>
      <c r="Z51" s="3">
        <f>Z50*Params!$B$8</f>
        <v/>
      </c>
      <c r="AA51" s="3">
        <f>AA50*Params!$B$8</f>
        <v/>
      </c>
      <c r="AB51" s="3">
        <f>AB50*Params!$B$8</f>
        <v/>
      </c>
      <c r="AC51" s="3">
        <f>AC50*Params!$B$8</f>
        <v/>
      </c>
      <c r="AD51" s="3">
        <f>AD50*Params!$B$8</f>
        <v/>
      </c>
      <c r="AE51" s="3">
        <f>AE50*Params!$B$8</f>
        <v/>
      </c>
      <c r="AF51" s="3">
        <f>AF50*Params!$B$8</f>
        <v/>
      </c>
      <c r="AG51" s="3">
        <f>AG50*Params!$B$8</f>
        <v/>
      </c>
      <c r="AH51" s="3">
        <f>AH50*Params!$B$8</f>
        <v/>
      </c>
      <c r="AI51" s="3">
        <f>AI50*Params!$B$8</f>
        <v/>
      </c>
      <c r="AJ51" s="3">
        <f>AJ50*Params!$B$8</f>
        <v/>
      </c>
      <c r="AK51" s="3">
        <f>AK50*Params!$B$8</f>
        <v/>
      </c>
      <c r="AL51" s="3">
        <f>AL50*Params!$B$8</f>
        <v/>
      </c>
      <c r="AM51" s="3">
        <f>AM50*Params!$B$8</f>
        <v/>
      </c>
      <c r="AN51" s="3">
        <f>AN50*Params!$B$8</f>
        <v/>
      </c>
      <c r="AO51" s="3">
        <f>AO50*Params!$B$8</f>
        <v/>
      </c>
      <c r="AP51" s="3">
        <f>AP50*Params!$B$8</f>
        <v/>
      </c>
      <c r="AQ51" s="3">
        <f>AQ50*Params!$B$8</f>
        <v/>
      </c>
      <c r="AR51" s="3">
        <f>AR50*Params!$B$8</f>
        <v/>
      </c>
      <c r="AS51" s="3">
        <f>AS50*Params!$B$8</f>
        <v/>
      </c>
      <c r="AT51" s="3">
        <f>AT50*Params!$B$8</f>
        <v/>
      </c>
      <c r="AU51" s="3">
        <f>AU50*Params!$B$8</f>
        <v/>
      </c>
      <c r="AV51" s="3">
        <f>AV50*Params!$B$8</f>
        <v/>
      </c>
      <c r="AW51" s="3">
        <f>AW50*Params!$B$8</f>
        <v/>
      </c>
      <c r="AX51" s="3">
        <f>AX50*Params!$B$8</f>
        <v/>
      </c>
      <c r="AY51" s="3">
        <f>AY50*Params!$B$8</f>
        <v/>
      </c>
      <c r="AZ51" s="3">
        <f>AZ50*Params!$B$8</f>
        <v/>
      </c>
      <c r="BA51" s="3">
        <f>BA50*Params!$B$8</f>
        <v/>
      </c>
      <c r="BB51" s="3">
        <f>BB50*Params!$B$8</f>
        <v/>
      </c>
      <c r="BC51" s="3">
        <f>BC50*Params!$B$8</f>
        <v/>
      </c>
      <c r="BD51" s="3">
        <f>BD50*Params!$B$8</f>
        <v/>
      </c>
      <c r="BE51" s="3">
        <f>BE50*Params!$B$8</f>
        <v/>
      </c>
      <c r="BF51" s="3">
        <f>BF50*Params!$B$8</f>
        <v/>
      </c>
      <c r="BG51" s="3">
        <f>BG50*Params!$B$8</f>
        <v/>
      </c>
      <c r="BH51" s="3">
        <f>BH50*Params!$B$8</f>
        <v/>
      </c>
      <c r="BI51" s="3">
        <f>BI50*Params!$B$8</f>
        <v/>
      </c>
      <c r="BJ51" s="3">
        <f>BJ50*Params!$B$8</f>
        <v/>
      </c>
      <c r="BK51" s="3">
        <f>BK50*Params!$B$8</f>
        <v/>
      </c>
      <c r="BL51" s="3">
        <f>BL50*Params!$B$8</f>
        <v/>
      </c>
      <c r="BM51" s="3">
        <f>BM50*Params!$B$8</f>
        <v/>
      </c>
      <c r="BN51" s="3">
        <f>BN50*Params!$B$8</f>
        <v/>
      </c>
      <c r="BO51" s="3">
        <f>BO50*Params!$B$8</f>
        <v/>
      </c>
      <c r="BP51" s="3">
        <f>BP50*Params!$B$8</f>
        <v/>
      </c>
      <c r="BQ51" s="3">
        <f>BQ50*Params!$B$8</f>
        <v/>
      </c>
      <c r="BR51" s="3">
        <f>BR50*Params!$B$8</f>
        <v/>
      </c>
      <c r="BS51" s="3">
        <f>BS50*Params!$B$8</f>
        <v/>
      </c>
      <c r="BT51" s="3">
        <f>BT50*Params!$B$8</f>
        <v/>
      </c>
      <c r="BU51" s="3">
        <f>BU50*Params!$B$8</f>
        <v/>
      </c>
      <c r="BV51" s="3">
        <f>BV50*Params!$B$8</f>
        <v/>
      </c>
    </row>
    <row r="52">
      <c r="A52" t="inlineStr">
        <is>
          <t>trials lost</t>
        </is>
      </c>
      <c r="B52" t="inlineStr">
        <is>
          <t>EUROPE|NITRO_M</t>
        </is>
      </c>
      <c r="C52" s="3">
        <f>C50-C51</f>
        <v/>
      </c>
      <c r="D52" s="3">
        <f>D50-D51</f>
        <v/>
      </c>
      <c r="E52" s="3">
        <f>E50-E51</f>
        <v/>
      </c>
      <c r="F52" s="3">
        <f>F50-F51</f>
        <v/>
      </c>
      <c r="G52" s="3">
        <f>G50-G51</f>
        <v/>
      </c>
      <c r="H52" s="3">
        <f>H50-H51</f>
        <v/>
      </c>
      <c r="I52" s="3">
        <f>I50-I51</f>
        <v/>
      </c>
      <c r="J52" s="3">
        <f>J50-J51</f>
        <v/>
      </c>
      <c r="K52" s="3">
        <f>K50-K51</f>
        <v/>
      </c>
      <c r="L52" s="3">
        <f>L50-L51</f>
        <v/>
      </c>
      <c r="M52" s="3">
        <f>M50-M51</f>
        <v/>
      </c>
      <c r="N52" s="3">
        <f>N50-N51</f>
        <v/>
      </c>
      <c r="O52" s="3">
        <f>O50-O51</f>
        <v/>
      </c>
      <c r="P52" s="3">
        <f>P50-P51</f>
        <v/>
      </c>
      <c r="Q52" s="3">
        <f>Q50-Q51</f>
        <v/>
      </c>
      <c r="R52" s="3">
        <f>R50-R51</f>
        <v/>
      </c>
      <c r="S52" s="3">
        <f>S50-S51</f>
        <v/>
      </c>
      <c r="T52" s="3">
        <f>T50-T51</f>
        <v/>
      </c>
      <c r="U52" s="3">
        <f>U50-U51</f>
        <v/>
      </c>
      <c r="V52" s="3">
        <f>V50-V51</f>
        <v/>
      </c>
      <c r="W52" s="3">
        <f>W50-W51</f>
        <v/>
      </c>
      <c r="X52" s="3">
        <f>X50-X51</f>
        <v/>
      </c>
      <c r="Y52" s="3">
        <f>Y50-Y51</f>
        <v/>
      </c>
      <c r="Z52" s="3">
        <f>Z50-Z51</f>
        <v/>
      </c>
      <c r="AA52" s="3">
        <f>AA50-AA51</f>
        <v/>
      </c>
      <c r="AB52" s="3">
        <f>AB50-AB51</f>
        <v/>
      </c>
      <c r="AC52" s="3">
        <f>AC50-AC51</f>
        <v/>
      </c>
      <c r="AD52" s="3">
        <f>AD50-AD51</f>
        <v/>
      </c>
      <c r="AE52" s="3">
        <f>AE50-AE51</f>
        <v/>
      </c>
      <c r="AF52" s="3">
        <f>AF50-AF51</f>
        <v/>
      </c>
      <c r="AG52" s="3">
        <f>AG50-AG51</f>
        <v/>
      </c>
      <c r="AH52" s="3">
        <f>AH50-AH51</f>
        <v/>
      </c>
      <c r="AI52" s="3">
        <f>AI50-AI51</f>
        <v/>
      </c>
      <c r="AJ52" s="3">
        <f>AJ50-AJ51</f>
        <v/>
      </c>
      <c r="AK52" s="3">
        <f>AK50-AK51</f>
        <v/>
      </c>
      <c r="AL52" s="3">
        <f>AL50-AL51</f>
        <v/>
      </c>
      <c r="AM52" s="3">
        <f>AM50-AM51</f>
        <v/>
      </c>
      <c r="AN52" s="3">
        <f>AN50-AN51</f>
        <v/>
      </c>
      <c r="AO52" s="3">
        <f>AO50-AO51</f>
        <v/>
      </c>
      <c r="AP52" s="3">
        <f>AP50-AP51</f>
        <v/>
      </c>
      <c r="AQ52" s="3">
        <f>AQ50-AQ51</f>
        <v/>
      </c>
      <c r="AR52" s="3">
        <f>AR50-AR51</f>
        <v/>
      </c>
      <c r="AS52" s="3">
        <f>AS50-AS51</f>
        <v/>
      </c>
      <c r="AT52" s="3">
        <f>AT50-AT51</f>
        <v/>
      </c>
      <c r="AU52" s="3">
        <f>AU50-AU51</f>
        <v/>
      </c>
      <c r="AV52" s="3">
        <f>AV50-AV51</f>
        <v/>
      </c>
      <c r="AW52" s="3">
        <f>AW50-AW51</f>
        <v/>
      </c>
      <c r="AX52" s="3">
        <f>AX50-AX51</f>
        <v/>
      </c>
      <c r="AY52" s="3">
        <f>AY50-AY51</f>
        <v/>
      </c>
      <c r="AZ52" s="3">
        <f>AZ50-AZ51</f>
        <v/>
      </c>
      <c r="BA52" s="3">
        <f>BA50-BA51</f>
        <v/>
      </c>
      <c r="BB52" s="3">
        <f>BB50-BB51</f>
        <v/>
      </c>
      <c r="BC52" s="3">
        <f>BC50-BC51</f>
        <v/>
      </c>
      <c r="BD52" s="3">
        <f>BD50-BD51</f>
        <v/>
      </c>
      <c r="BE52" s="3">
        <f>BE50-BE51</f>
        <v/>
      </c>
      <c r="BF52" s="3">
        <f>BF50-BF51</f>
        <v/>
      </c>
      <c r="BG52" s="3">
        <f>BG50-BG51</f>
        <v/>
      </c>
      <c r="BH52" s="3">
        <f>BH50-BH51</f>
        <v/>
      </c>
      <c r="BI52" s="3">
        <f>BI50-BI51</f>
        <v/>
      </c>
      <c r="BJ52" s="3">
        <f>BJ50-BJ51</f>
        <v/>
      </c>
      <c r="BK52" s="3">
        <f>BK50-BK51</f>
        <v/>
      </c>
      <c r="BL52" s="3">
        <f>BL50-BL51</f>
        <v/>
      </c>
      <c r="BM52" s="3">
        <f>BM50-BM51</f>
        <v/>
      </c>
      <c r="BN52" s="3">
        <f>BN50-BN51</f>
        <v/>
      </c>
      <c r="BO52" s="3">
        <f>BO50-BO51</f>
        <v/>
      </c>
      <c r="BP52" s="3">
        <f>BP50-BP51</f>
        <v/>
      </c>
      <c r="BQ52" s="3">
        <f>BQ50-BQ51</f>
        <v/>
      </c>
      <c r="BR52" s="3">
        <f>BR50-BR51</f>
        <v/>
      </c>
      <c r="BS52" s="3">
        <f>BS50-BS51</f>
        <v/>
      </c>
      <c r="BT52" s="3">
        <f>BT50-BT51</f>
        <v/>
      </c>
      <c r="BU52" s="3">
        <f>BU50-BU51</f>
        <v/>
      </c>
      <c r="BV52" s="3">
        <f>BV50-BV51</f>
        <v/>
      </c>
    </row>
    <row r="53">
      <c r="A53" t="inlineStr">
        <is>
          <t>cum trial starts</t>
        </is>
      </c>
      <c r="B53" t="inlineStr">
        <is>
          <t>EUROPE|NITRO_M</t>
        </is>
      </c>
      <c r="C53" s="3">
        <f>SUM($C48:C48)</f>
        <v/>
      </c>
      <c r="D53" s="3">
        <f>SUM($C48:D48)</f>
        <v/>
      </c>
      <c r="E53" s="3">
        <f>SUM($C48:E48)</f>
        <v/>
      </c>
      <c r="F53" s="3">
        <f>SUM($C48:F48)</f>
        <v/>
      </c>
      <c r="G53" s="3">
        <f>SUM($C48:G48)</f>
        <v/>
      </c>
      <c r="H53" s="3">
        <f>SUM($C48:H48)</f>
        <v/>
      </c>
      <c r="I53" s="3">
        <f>SUM($C48:I48)</f>
        <v/>
      </c>
      <c r="J53" s="3">
        <f>SUM($C48:J48)</f>
        <v/>
      </c>
      <c r="K53" s="3">
        <f>SUM($C48:K48)</f>
        <v/>
      </c>
      <c r="L53" s="3">
        <f>SUM($C48:L48)</f>
        <v/>
      </c>
      <c r="M53" s="3">
        <f>SUM($C48:M48)</f>
        <v/>
      </c>
      <c r="N53" s="3">
        <f>SUM($C48:N48)</f>
        <v/>
      </c>
      <c r="O53" s="3">
        <f>SUM($C48:O48)</f>
        <v/>
      </c>
      <c r="P53" s="3">
        <f>SUM($C48:P48)</f>
        <v/>
      </c>
      <c r="Q53" s="3">
        <f>SUM($C48:Q48)</f>
        <v/>
      </c>
      <c r="R53" s="3">
        <f>SUM($C48:R48)</f>
        <v/>
      </c>
      <c r="S53" s="3">
        <f>SUM($C48:S48)</f>
        <v/>
      </c>
      <c r="T53" s="3">
        <f>SUM($C48:T48)</f>
        <v/>
      </c>
      <c r="U53" s="3">
        <f>SUM($C48:U48)</f>
        <v/>
      </c>
      <c r="V53" s="3">
        <f>SUM($C48:V48)</f>
        <v/>
      </c>
      <c r="W53" s="3">
        <f>SUM($C48:W48)</f>
        <v/>
      </c>
      <c r="X53" s="3">
        <f>SUM($C48:X48)</f>
        <v/>
      </c>
      <c r="Y53" s="3">
        <f>SUM($C48:Y48)</f>
        <v/>
      </c>
      <c r="Z53" s="3">
        <f>SUM($C48:Z48)</f>
        <v/>
      </c>
      <c r="AA53" s="3">
        <f>SUM($C48:AA48)</f>
        <v/>
      </c>
      <c r="AB53" s="3">
        <f>SUM($C48:AB48)</f>
        <v/>
      </c>
      <c r="AC53" s="3">
        <f>SUM($C48:AC48)</f>
        <v/>
      </c>
      <c r="AD53" s="3">
        <f>SUM($C48:AD48)</f>
        <v/>
      </c>
      <c r="AE53" s="3">
        <f>SUM($C48:AE48)</f>
        <v/>
      </c>
      <c r="AF53" s="3">
        <f>SUM($C48:AF48)</f>
        <v/>
      </c>
      <c r="AG53" s="3">
        <f>SUM($C48:AG48)</f>
        <v/>
      </c>
      <c r="AH53" s="3">
        <f>SUM($C48:AH48)</f>
        <v/>
      </c>
      <c r="AI53" s="3">
        <f>SUM($C48:AI48)</f>
        <v/>
      </c>
      <c r="AJ53" s="3">
        <f>SUM($C48:AJ48)</f>
        <v/>
      </c>
      <c r="AK53" s="3">
        <f>SUM($C48:AK48)</f>
        <v/>
      </c>
      <c r="AL53" s="3">
        <f>SUM($C48:AL48)</f>
        <v/>
      </c>
      <c r="AM53" s="3">
        <f>SUM($C48:AM48)</f>
        <v/>
      </c>
      <c r="AN53" s="3">
        <f>SUM($C48:AN48)</f>
        <v/>
      </c>
      <c r="AO53" s="3">
        <f>SUM($C48:AO48)</f>
        <v/>
      </c>
      <c r="AP53" s="3">
        <f>SUM($C48:AP48)</f>
        <v/>
      </c>
      <c r="AQ53" s="3">
        <f>SUM($C48:AQ48)</f>
        <v/>
      </c>
      <c r="AR53" s="3">
        <f>SUM($C48:AR48)</f>
        <v/>
      </c>
      <c r="AS53" s="3">
        <f>SUM($C48:AS48)</f>
        <v/>
      </c>
      <c r="AT53" s="3">
        <f>SUM($C48:AT48)</f>
        <v/>
      </c>
      <c r="AU53" s="3">
        <f>SUM($C48:AU48)</f>
        <v/>
      </c>
      <c r="AV53" s="3">
        <f>SUM($C48:AV48)</f>
        <v/>
      </c>
      <c r="AW53" s="3">
        <f>SUM($C48:AW48)</f>
        <v/>
      </c>
      <c r="AX53" s="3">
        <f>SUM($C48:AX48)</f>
        <v/>
      </c>
      <c r="AY53" s="3">
        <f>SUM($C48:AY48)</f>
        <v/>
      </c>
      <c r="AZ53" s="3">
        <f>SUM($C48:AZ48)</f>
        <v/>
      </c>
      <c r="BA53" s="3">
        <f>SUM($C48:BA48)</f>
        <v/>
      </c>
      <c r="BB53" s="3">
        <f>SUM($C48:BB48)</f>
        <v/>
      </c>
      <c r="BC53" s="3">
        <f>SUM($C48:BC48)</f>
        <v/>
      </c>
      <c r="BD53" s="3">
        <f>SUM($C48:BD48)</f>
        <v/>
      </c>
      <c r="BE53" s="3">
        <f>SUM($C48:BE48)</f>
        <v/>
      </c>
      <c r="BF53" s="3">
        <f>SUM($C48:BF48)</f>
        <v/>
      </c>
      <c r="BG53" s="3">
        <f>SUM($C48:BG48)</f>
        <v/>
      </c>
      <c r="BH53" s="3">
        <f>SUM($C48:BH48)</f>
        <v/>
      </c>
      <c r="BI53" s="3">
        <f>SUM($C48:BI48)</f>
        <v/>
      </c>
      <c r="BJ53" s="3">
        <f>SUM($C48:BJ48)</f>
        <v/>
      </c>
      <c r="BK53" s="3">
        <f>SUM($C48:BK48)</f>
        <v/>
      </c>
      <c r="BL53" s="3">
        <f>SUM($C48:BL48)</f>
        <v/>
      </c>
      <c r="BM53" s="3">
        <f>SUM($C48:BM48)</f>
        <v/>
      </c>
      <c r="BN53" s="3">
        <f>SUM($C48:BN48)</f>
        <v/>
      </c>
      <c r="BO53" s="3">
        <f>SUM($C48:BO48)</f>
        <v/>
      </c>
      <c r="BP53" s="3">
        <f>SUM($C48:BP48)</f>
        <v/>
      </c>
      <c r="BQ53" s="3">
        <f>SUM($C48:BQ48)</f>
        <v/>
      </c>
      <c r="BR53" s="3">
        <f>SUM($C48:BR48)</f>
        <v/>
      </c>
      <c r="BS53" s="3">
        <f>SUM($C48:BS48)</f>
        <v/>
      </c>
      <c r="BT53" s="3">
        <f>SUM($C48:BT48)</f>
        <v/>
      </c>
      <c r="BU53" s="3">
        <f>SUM($C48:BU48)</f>
        <v/>
      </c>
      <c r="BV53" s="3">
        <f>SUM($C48:BV48)</f>
        <v/>
      </c>
    </row>
    <row r="54">
      <c r="A54" t="inlineStr">
        <is>
          <t>cum trials ending</t>
        </is>
      </c>
      <c r="B54" t="inlineStr">
        <is>
          <t>EUROPE|NITRO_M</t>
        </is>
      </c>
      <c r="C54" s="3">
        <f>SUM($C50:C50)</f>
        <v/>
      </c>
      <c r="D54" s="3">
        <f>SUM($C50:D50)</f>
        <v/>
      </c>
      <c r="E54" s="3">
        <f>SUM($C50:E50)</f>
        <v/>
      </c>
      <c r="F54" s="3">
        <f>SUM($C50:F50)</f>
        <v/>
      </c>
      <c r="G54" s="3">
        <f>SUM($C50:G50)</f>
        <v/>
      </c>
      <c r="H54" s="3">
        <f>SUM($C50:H50)</f>
        <v/>
      </c>
      <c r="I54" s="3">
        <f>SUM($C50:I50)</f>
        <v/>
      </c>
      <c r="J54" s="3">
        <f>SUM($C50:J50)</f>
        <v/>
      </c>
      <c r="K54" s="3">
        <f>SUM($C50:K50)</f>
        <v/>
      </c>
      <c r="L54" s="3">
        <f>SUM($C50:L50)</f>
        <v/>
      </c>
      <c r="M54" s="3">
        <f>SUM($C50:M50)</f>
        <v/>
      </c>
      <c r="N54" s="3">
        <f>SUM($C50:N50)</f>
        <v/>
      </c>
      <c r="O54" s="3">
        <f>SUM($C50:O50)</f>
        <v/>
      </c>
      <c r="P54" s="3">
        <f>SUM($C50:P50)</f>
        <v/>
      </c>
      <c r="Q54" s="3">
        <f>SUM($C50:Q50)</f>
        <v/>
      </c>
      <c r="R54" s="3">
        <f>SUM($C50:R50)</f>
        <v/>
      </c>
      <c r="S54" s="3">
        <f>SUM($C50:S50)</f>
        <v/>
      </c>
      <c r="T54" s="3">
        <f>SUM($C50:T50)</f>
        <v/>
      </c>
      <c r="U54" s="3">
        <f>SUM($C50:U50)</f>
        <v/>
      </c>
      <c r="V54" s="3">
        <f>SUM($C50:V50)</f>
        <v/>
      </c>
      <c r="W54" s="3">
        <f>SUM($C50:W50)</f>
        <v/>
      </c>
      <c r="X54" s="3">
        <f>SUM($C50:X50)</f>
        <v/>
      </c>
      <c r="Y54" s="3">
        <f>SUM($C50:Y50)</f>
        <v/>
      </c>
      <c r="Z54" s="3">
        <f>SUM($C50:Z50)</f>
        <v/>
      </c>
      <c r="AA54" s="3">
        <f>SUM($C50:AA50)</f>
        <v/>
      </c>
      <c r="AB54" s="3">
        <f>SUM($C50:AB50)</f>
        <v/>
      </c>
      <c r="AC54" s="3">
        <f>SUM($C50:AC50)</f>
        <v/>
      </c>
      <c r="AD54" s="3">
        <f>SUM($C50:AD50)</f>
        <v/>
      </c>
      <c r="AE54" s="3">
        <f>SUM($C50:AE50)</f>
        <v/>
      </c>
      <c r="AF54" s="3">
        <f>SUM($C50:AF50)</f>
        <v/>
      </c>
      <c r="AG54" s="3">
        <f>SUM($C50:AG50)</f>
        <v/>
      </c>
      <c r="AH54" s="3">
        <f>SUM($C50:AH50)</f>
        <v/>
      </c>
      <c r="AI54" s="3">
        <f>SUM($C50:AI50)</f>
        <v/>
      </c>
      <c r="AJ54" s="3">
        <f>SUM($C50:AJ50)</f>
        <v/>
      </c>
      <c r="AK54" s="3">
        <f>SUM($C50:AK50)</f>
        <v/>
      </c>
      <c r="AL54" s="3">
        <f>SUM($C50:AL50)</f>
        <v/>
      </c>
      <c r="AM54" s="3">
        <f>SUM($C50:AM50)</f>
        <v/>
      </c>
      <c r="AN54" s="3">
        <f>SUM($C50:AN50)</f>
        <v/>
      </c>
      <c r="AO54" s="3">
        <f>SUM($C50:AO50)</f>
        <v/>
      </c>
      <c r="AP54" s="3">
        <f>SUM($C50:AP50)</f>
        <v/>
      </c>
      <c r="AQ54" s="3">
        <f>SUM($C50:AQ50)</f>
        <v/>
      </c>
      <c r="AR54" s="3">
        <f>SUM($C50:AR50)</f>
        <v/>
      </c>
      <c r="AS54" s="3">
        <f>SUM($C50:AS50)</f>
        <v/>
      </c>
      <c r="AT54" s="3">
        <f>SUM($C50:AT50)</f>
        <v/>
      </c>
      <c r="AU54" s="3">
        <f>SUM($C50:AU50)</f>
        <v/>
      </c>
      <c r="AV54" s="3">
        <f>SUM($C50:AV50)</f>
        <v/>
      </c>
      <c r="AW54" s="3">
        <f>SUM($C50:AW50)</f>
        <v/>
      </c>
      <c r="AX54" s="3">
        <f>SUM($C50:AX50)</f>
        <v/>
      </c>
      <c r="AY54" s="3">
        <f>SUM($C50:AY50)</f>
        <v/>
      </c>
      <c r="AZ54" s="3">
        <f>SUM($C50:AZ50)</f>
        <v/>
      </c>
      <c r="BA54" s="3">
        <f>SUM($C50:BA50)</f>
        <v/>
      </c>
      <c r="BB54" s="3">
        <f>SUM($C50:BB50)</f>
        <v/>
      </c>
      <c r="BC54" s="3">
        <f>SUM($C50:BC50)</f>
        <v/>
      </c>
      <c r="BD54" s="3">
        <f>SUM($C50:BD50)</f>
        <v/>
      </c>
      <c r="BE54" s="3">
        <f>SUM($C50:BE50)</f>
        <v/>
      </c>
      <c r="BF54" s="3">
        <f>SUM($C50:BF50)</f>
        <v/>
      </c>
      <c r="BG54" s="3">
        <f>SUM($C50:BG50)</f>
        <v/>
      </c>
      <c r="BH54" s="3">
        <f>SUM($C50:BH50)</f>
        <v/>
      </c>
      <c r="BI54" s="3">
        <f>SUM($C50:BI50)</f>
        <v/>
      </c>
      <c r="BJ54" s="3">
        <f>SUM($C50:BJ50)</f>
        <v/>
      </c>
      <c r="BK54" s="3">
        <f>SUM($C50:BK50)</f>
        <v/>
      </c>
      <c r="BL54" s="3">
        <f>SUM($C50:BL50)</f>
        <v/>
      </c>
      <c r="BM54" s="3">
        <f>SUM($C50:BM50)</f>
        <v/>
      </c>
      <c r="BN54" s="3">
        <f>SUM($C50:BN50)</f>
        <v/>
      </c>
      <c r="BO54" s="3">
        <f>SUM($C50:BO50)</f>
        <v/>
      </c>
      <c r="BP54" s="3">
        <f>SUM($C50:BP50)</f>
        <v/>
      </c>
      <c r="BQ54" s="3">
        <f>SUM($C50:BQ50)</f>
        <v/>
      </c>
      <c r="BR54" s="3">
        <f>SUM($C50:BR50)</f>
        <v/>
      </c>
      <c r="BS54" s="3">
        <f>SUM($C50:BS50)</f>
        <v/>
      </c>
      <c r="BT54" s="3">
        <f>SUM($C50:BT50)</f>
        <v/>
      </c>
      <c r="BU54" s="3">
        <f>SUM($C50:BU50)</f>
        <v/>
      </c>
      <c r="BV54" s="3">
        <f>SUM($C50:BV50)</f>
        <v/>
      </c>
    </row>
    <row r="55">
      <c r="A55" t="inlineStr">
        <is>
          <t>trials active</t>
        </is>
      </c>
      <c r="B55" t="inlineStr">
        <is>
          <t>EUROPE|NITRO_M</t>
        </is>
      </c>
      <c r="C55" s="3">
        <f>C53-C54</f>
        <v/>
      </c>
      <c r="D55" s="3">
        <f>D53-D54</f>
        <v/>
      </c>
      <c r="E55" s="3">
        <f>E53-E54</f>
        <v/>
      </c>
      <c r="F55" s="3">
        <f>F53-F54</f>
        <v/>
      </c>
      <c r="G55" s="3">
        <f>G53-G54</f>
        <v/>
      </c>
      <c r="H55" s="3">
        <f>H53-H54</f>
        <v/>
      </c>
      <c r="I55" s="3">
        <f>I53-I54</f>
        <v/>
      </c>
      <c r="J55" s="3">
        <f>J53-J54</f>
        <v/>
      </c>
      <c r="K55" s="3">
        <f>K53-K54</f>
        <v/>
      </c>
      <c r="L55" s="3">
        <f>L53-L54</f>
        <v/>
      </c>
      <c r="M55" s="3">
        <f>M53-M54</f>
        <v/>
      </c>
      <c r="N55" s="3">
        <f>N53-N54</f>
        <v/>
      </c>
      <c r="O55" s="3">
        <f>O53-O54</f>
        <v/>
      </c>
      <c r="P55" s="3">
        <f>P53-P54</f>
        <v/>
      </c>
      <c r="Q55" s="3">
        <f>Q53-Q54</f>
        <v/>
      </c>
      <c r="R55" s="3">
        <f>R53-R54</f>
        <v/>
      </c>
      <c r="S55" s="3">
        <f>S53-S54</f>
        <v/>
      </c>
      <c r="T55" s="3">
        <f>T53-T54</f>
        <v/>
      </c>
      <c r="U55" s="3">
        <f>U53-U54</f>
        <v/>
      </c>
      <c r="V55" s="3">
        <f>V53-V54</f>
        <v/>
      </c>
      <c r="W55" s="3">
        <f>W53-W54</f>
        <v/>
      </c>
      <c r="X55" s="3">
        <f>X53-X54</f>
        <v/>
      </c>
      <c r="Y55" s="3">
        <f>Y53-Y54</f>
        <v/>
      </c>
      <c r="Z55" s="3">
        <f>Z53-Z54</f>
        <v/>
      </c>
      <c r="AA55" s="3">
        <f>AA53-AA54</f>
        <v/>
      </c>
      <c r="AB55" s="3">
        <f>AB53-AB54</f>
        <v/>
      </c>
      <c r="AC55" s="3">
        <f>AC53-AC54</f>
        <v/>
      </c>
      <c r="AD55" s="3">
        <f>AD53-AD54</f>
        <v/>
      </c>
      <c r="AE55" s="3">
        <f>AE53-AE54</f>
        <v/>
      </c>
      <c r="AF55" s="3">
        <f>AF53-AF54</f>
        <v/>
      </c>
      <c r="AG55" s="3">
        <f>AG53-AG54</f>
        <v/>
      </c>
      <c r="AH55" s="3">
        <f>AH53-AH54</f>
        <v/>
      </c>
      <c r="AI55" s="3">
        <f>AI53-AI54</f>
        <v/>
      </c>
      <c r="AJ55" s="3">
        <f>AJ53-AJ54</f>
        <v/>
      </c>
      <c r="AK55" s="3">
        <f>AK53-AK54</f>
        <v/>
      </c>
      <c r="AL55" s="3">
        <f>AL53-AL54</f>
        <v/>
      </c>
      <c r="AM55" s="3">
        <f>AM53-AM54</f>
        <v/>
      </c>
      <c r="AN55" s="3">
        <f>AN53-AN54</f>
        <v/>
      </c>
      <c r="AO55" s="3">
        <f>AO53-AO54</f>
        <v/>
      </c>
      <c r="AP55" s="3">
        <f>AP53-AP54</f>
        <v/>
      </c>
      <c r="AQ55" s="3">
        <f>AQ53-AQ54</f>
        <v/>
      </c>
      <c r="AR55" s="3">
        <f>AR53-AR54</f>
        <v/>
      </c>
      <c r="AS55" s="3">
        <f>AS53-AS54</f>
        <v/>
      </c>
      <c r="AT55" s="3">
        <f>AT53-AT54</f>
        <v/>
      </c>
      <c r="AU55" s="3">
        <f>AU53-AU54</f>
        <v/>
      </c>
      <c r="AV55" s="3">
        <f>AV53-AV54</f>
        <v/>
      </c>
      <c r="AW55" s="3">
        <f>AW53-AW54</f>
        <v/>
      </c>
      <c r="AX55" s="3">
        <f>AX53-AX54</f>
        <v/>
      </c>
      <c r="AY55" s="3">
        <f>AY53-AY54</f>
        <v/>
      </c>
      <c r="AZ55" s="3">
        <f>AZ53-AZ54</f>
        <v/>
      </c>
      <c r="BA55" s="3">
        <f>BA53-BA54</f>
        <v/>
      </c>
      <c r="BB55" s="3">
        <f>BB53-BB54</f>
        <v/>
      </c>
      <c r="BC55" s="3">
        <f>BC53-BC54</f>
        <v/>
      </c>
      <c r="BD55" s="3">
        <f>BD53-BD54</f>
        <v/>
      </c>
      <c r="BE55" s="3">
        <f>BE53-BE54</f>
        <v/>
      </c>
      <c r="BF55" s="3">
        <f>BF53-BF54</f>
        <v/>
      </c>
      <c r="BG55" s="3">
        <f>BG53-BG54</f>
        <v/>
      </c>
      <c r="BH55" s="3">
        <f>BH53-BH54</f>
        <v/>
      </c>
      <c r="BI55" s="3">
        <f>BI53-BI54</f>
        <v/>
      </c>
      <c r="BJ55" s="3">
        <f>BJ53-BJ54</f>
        <v/>
      </c>
      <c r="BK55" s="3">
        <f>BK53-BK54</f>
        <v/>
      </c>
      <c r="BL55" s="3">
        <f>BL53-BL54</f>
        <v/>
      </c>
      <c r="BM55" s="3">
        <f>BM53-BM54</f>
        <v/>
      </c>
      <c r="BN55" s="3">
        <f>BN53-BN54</f>
        <v/>
      </c>
      <c r="BO55" s="3">
        <f>BO53-BO54</f>
        <v/>
      </c>
      <c r="BP55" s="3">
        <f>BP53-BP54</f>
        <v/>
      </c>
      <c r="BQ55" s="3">
        <f>BQ53-BQ54</f>
        <v/>
      </c>
      <c r="BR55" s="3">
        <f>BR53-BR54</f>
        <v/>
      </c>
      <c r="BS55" s="3">
        <f>BS53-BS54</f>
        <v/>
      </c>
      <c r="BT55" s="3">
        <f>BT53-BT54</f>
        <v/>
      </c>
      <c r="BU55" s="3">
        <f>BU53-BU54</f>
        <v/>
      </c>
      <c r="BV55" s="3">
        <f>BV53-BV54</f>
        <v/>
      </c>
    </row>
    <row r="56">
      <c r="A56" t="inlineStr">
        <is>
          <t>paid starts</t>
        </is>
      </c>
      <c r="B56" t="inlineStr">
        <is>
          <t>EUROPE|NITRO_M</t>
        </is>
      </c>
      <c r="C56" s="3">
        <f>C49+C51</f>
        <v/>
      </c>
      <c r="D56" s="3">
        <f>D49+D51</f>
        <v/>
      </c>
      <c r="E56" s="3">
        <f>E49+E51</f>
        <v/>
      </c>
      <c r="F56" s="3">
        <f>F49+F51</f>
        <v/>
      </c>
      <c r="G56" s="3">
        <f>G49+G51</f>
        <v/>
      </c>
      <c r="H56" s="3">
        <f>H49+H51</f>
        <v/>
      </c>
      <c r="I56" s="3">
        <f>I49+I51</f>
        <v/>
      </c>
      <c r="J56" s="3">
        <f>J49+J51</f>
        <v/>
      </c>
      <c r="K56" s="3">
        <f>K49+K51</f>
        <v/>
      </c>
      <c r="L56" s="3">
        <f>L49+L51</f>
        <v/>
      </c>
      <c r="M56" s="3">
        <f>M49+M51</f>
        <v/>
      </c>
      <c r="N56" s="3">
        <f>N49+N51</f>
        <v/>
      </c>
      <c r="O56" s="3">
        <f>O49+O51</f>
        <v/>
      </c>
      <c r="P56" s="3">
        <f>P49+P51</f>
        <v/>
      </c>
      <c r="Q56" s="3">
        <f>Q49+Q51</f>
        <v/>
      </c>
      <c r="R56" s="3">
        <f>R49+R51</f>
        <v/>
      </c>
      <c r="S56" s="3">
        <f>S49+S51</f>
        <v/>
      </c>
      <c r="T56" s="3">
        <f>T49+T51</f>
        <v/>
      </c>
      <c r="U56" s="3">
        <f>U49+U51</f>
        <v/>
      </c>
      <c r="V56" s="3">
        <f>V49+V51</f>
        <v/>
      </c>
      <c r="W56" s="3">
        <f>W49+W51</f>
        <v/>
      </c>
      <c r="X56" s="3">
        <f>X49+X51</f>
        <v/>
      </c>
      <c r="Y56" s="3">
        <f>Y49+Y51</f>
        <v/>
      </c>
      <c r="Z56" s="3">
        <f>Z49+Z51</f>
        <v/>
      </c>
      <c r="AA56" s="3">
        <f>AA49+AA51</f>
        <v/>
      </c>
      <c r="AB56" s="3">
        <f>AB49+AB51</f>
        <v/>
      </c>
      <c r="AC56" s="3">
        <f>AC49+AC51</f>
        <v/>
      </c>
      <c r="AD56" s="3">
        <f>AD49+AD51</f>
        <v/>
      </c>
      <c r="AE56" s="3">
        <f>AE49+AE51</f>
        <v/>
      </c>
      <c r="AF56" s="3">
        <f>AF49+AF51</f>
        <v/>
      </c>
      <c r="AG56" s="3">
        <f>AG49+AG51</f>
        <v/>
      </c>
      <c r="AH56" s="3">
        <f>AH49+AH51</f>
        <v/>
      </c>
      <c r="AI56" s="3">
        <f>AI49+AI51</f>
        <v/>
      </c>
      <c r="AJ56" s="3">
        <f>AJ49+AJ51</f>
        <v/>
      </c>
      <c r="AK56" s="3">
        <f>AK49+AK51</f>
        <v/>
      </c>
      <c r="AL56" s="3">
        <f>AL49+AL51</f>
        <v/>
      </c>
      <c r="AM56" s="3">
        <f>AM49+AM51</f>
        <v/>
      </c>
      <c r="AN56" s="3">
        <f>AN49+AN51</f>
        <v/>
      </c>
      <c r="AO56" s="3">
        <f>AO49+AO51</f>
        <v/>
      </c>
      <c r="AP56" s="3">
        <f>AP49+AP51</f>
        <v/>
      </c>
      <c r="AQ56" s="3">
        <f>AQ49+AQ51</f>
        <v/>
      </c>
      <c r="AR56" s="3">
        <f>AR49+AR51</f>
        <v/>
      </c>
      <c r="AS56" s="3">
        <f>AS49+AS51</f>
        <v/>
      </c>
      <c r="AT56" s="3">
        <f>AT49+AT51</f>
        <v/>
      </c>
      <c r="AU56" s="3">
        <f>AU49+AU51</f>
        <v/>
      </c>
      <c r="AV56" s="3">
        <f>AV49+AV51</f>
        <v/>
      </c>
      <c r="AW56" s="3">
        <f>AW49+AW51</f>
        <v/>
      </c>
      <c r="AX56" s="3">
        <f>AX49+AX51</f>
        <v/>
      </c>
      <c r="AY56" s="3">
        <f>AY49+AY51</f>
        <v/>
      </c>
      <c r="AZ56" s="3">
        <f>AZ49+AZ51</f>
        <v/>
      </c>
      <c r="BA56" s="3">
        <f>BA49+BA51</f>
        <v/>
      </c>
      <c r="BB56" s="3">
        <f>BB49+BB51</f>
        <v/>
      </c>
      <c r="BC56" s="3">
        <f>BC49+BC51</f>
        <v/>
      </c>
      <c r="BD56" s="3">
        <f>BD49+BD51</f>
        <v/>
      </c>
      <c r="BE56" s="3">
        <f>BE49+BE51</f>
        <v/>
      </c>
      <c r="BF56" s="3">
        <f>BF49+BF51</f>
        <v/>
      </c>
      <c r="BG56" s="3">
        <f>BG49+BG51</f>
        <v/>
      </c>
      <c r="BH56" s="3">
        <f>BH49+BH51</f>
        <v/>
      </c>
      <c r="BI56" s="3">
        <f>BI49+BI51</f>
        <v/>
      </c>
      <c r="BJ56" s="3">
        <f>BJ49+BJ51</f>
        <v/>
      </c>
      <c r="BK56" s="3">
        <f>BK49+BK51</f>
        <v/>
      </c>
      <c r="BL56" s="3">
        <f>BL49+BL51</f>
        <v/>
      </c>
      <c r="BM56" s="3">
        <f>BM49+BM51</f>
        <v/>
      </c>
      <c r="BN56" s="3">
        <f>BN49+BN51</f>
        <v/>
      </c>
      <c r="BO56" s="3">
        <f>BO49+BO51</f>
        <v/>
      </c>
      <c r="BP56" s="3">
        <f>BP49+BP51</f>
        <v/>
      </c>
      <c r="BQ56" s="3">
        <f>BQ49+BQ51</f>
        <v/>
      </c>
      <c r="BR56" s="3">
        <f>BR49+BR51</f>
        <v/>
      </c>
      <c r="BS56" s="3">
        <f>BS49+BS51</f>
        <v/>
      </c>
      <c r="BT56" s="3">
        <f>BT49+BT51</f>
        <v/>
      </c>
      <c r="BU56" s="3">
        <f>BU49+BU51</f>
        <v/>
      </c>
      <c r="BV56" s="3">
        <f>BV49+BV51</f>
        <v/>
      </c>
    </row>
    <row r="58">
      <c r="A58" t="inlineStr">
        <is>
          <t>gross adds</t>
        </is>
      </c>
      <c r="B58" t="inlineStr">
        <is>
          <t>EUROPE|NITRO_A</t>
        </is>
      </c>
      <c r="C58" s="3">
        <f>MAU!C5*Params!$B$37*Params!$B$5*Params!$B$87*Params!$B$72</f>
        <v/>
      </c>
      <c r="D58" s="3">
        <f>MAU!D5*Params!$B$37*Params!$B$5*Params!$B$87*Params!$B$72</f>
        <v/>
      </c>
      <c r="E58" s="3">
        <f>MAU!E5*Params!$B$37*Params!$B$5*Params!$B$87*Params!$B$72</f>
        <v/>
      </c>
      <c r="F58" s="3">
        <f>MAU!F5*Params!$B$37*Params!$B$5*Params!$B$87*Params!$B$72</f>
        <v/>
      </c>
      <c r="G58" s="3">
        <f>MAU!G5*Params!$B$37*Params!$B$5*Params!$B$87*Params!$B$72</f>
        <v/>
      </c>
      <c r="H58" s="3">
        <f>MAU!H5*Params!$B$37*Params!$B$5*Params!$B$87*Params!$B$72</f>
        <v/>
      </c>
      <c r="I58" s="3">
        <f>MAU!I5*Params!$B$37*Params!$B$5*Params!$B$87*Params!$B$72</f>
        <v/>
      </c>
      <c r="J58" s="3">
        <f>MAU!J5*Params!$B$37*Params!$B$5*Params!$B$87*Params!$B$72</f>
        <v/>
      </c>
      <c r="K58" s="3">
        <f>MAU!K5*Params!$B$37*Params!$B$5*Params!$B$87*Params!$B$72</f>
        <v/>
      </c>
      <c r="L58" s="3">
        <f>MAU!L5*Params!$B$37*Params!$B$5*Params!$B$87*Params!$B$72</f>
        <v/>
      </c>
      <c r="M58" s="3">
        <f>MAU!M5*Params!$B$37*Params!$B$5*Params!$B$87*Params!$B$72</f>
        <v/>
      </c>
      <c r="N58" s="3">
        <f>MAU!N5*Params!$B$37*Params!$B$5*Params!$B$87*Params!$B$72</f>
        <v/>
      </c>
      <c r="O58" s="3">
        <f>MAU!O5*Params!$B$37*Params!$B$5*Params!$B$87*Params!$B$72</f>
        <v/>
      </c>
      <c r="P58" s="3">
        <f>MAU!P5*Params!$B$37*Params!$B$5*Params!$B$87*Params!$B$72</f>
        <v/>
      </c>
      <c r="Q58" s="3">
        <f>MAU!Q5*Params!$B$37*Params!$B$5*Params!$B$87*Params!$B$72</f>
        <v/>
      </c>
      <c r="R58" s="3">
        <f>MAU!R5*Params!$B$37*Params!$B$5*Params!$B$87*Params!$B$72</f>
        <v/>
      </c>
      <c r="S58" s="3">
        <f>MAU!S5*Params!$B$37*Params!$B$5*Params!$B$87*Params!$B$72</f>
        <v/>
      </c>
      <c r="T58" s="3">
        <f>MAU!T5*Params!$B$37*Params!$B$5*Params!$B$87*Params!$B$72</f>
        <v/>
      </c>
      <c r="U58" s="3">
        <f>MAU!U5*Params!$B$37*Params!$B$5*Params!$B$87*Params!$B$72</f>
        <v/>
      </c>
      <c r="V58" s="3">
        <f>MAU!V5*Params!$B$37*Params!$B$5*Params!$B$87*Params!$B$72</f>
        <v/>
      </c>
      <c r="W58" s="3">
        <f>MAU!W5*Params!$B$37*Params!$B$5*Params!$B$87*Params!$B$72</f>
        <v/>
      </c>
      <c r="X58" s="3">
        <f>MAU!X5*Params!$B$37*Params!$B$5*Params!$B$87*Params!$B$72</f>
        <v/>
      </c>
      <c r="Y58" s="3">
        <f>MAU!Y5*Params!$B$37*Params!$B$5*Params!$B$87*Params!$B$72</f>
        <v/>
      </c>
      <c r="Z58" s="3">
        <f>MAU!Z5*Params!$B$37*Params!$B$5*Params!$B$87*Params!$B$72</f>
        <v/>
      </c>
      <c r="AA58" s="3">
        <f>MAU!AA5*Params!$B$37*Params!$B$5*Params!$B$87*Params!$B$72</f>
        <v/>
      </c>
      <c r="AB58" s="3">
        <f>MAU!AB5*Params!$B$37*Params!$B$5*Params!$B$87*Params!$B$72</f>
        <v/>
      </c>
      <c r="AC58" s="3">
        <f>MAU!AC5*Params!$B$37*Params!$B$5*Params!$B$87*Params!$B$72</f>
        <v/>
      </c>
      <c r="AD58" s="3">
        <f>MAU!AD5*Params!$B$37*Params!$B$5*Params!$B$87*Params!$B$72</f>
        <v/>
      </c>
      <c r="AE58" s="3">
        <f>MAU!AE5*Params!$B$37*Params!$B$5*Params!$B$87*Params!$B$72</f>
        <v/>
      </c>
      <c r="AF58" s="3">
        <f>MAU!AF5*Params!$B$37*Params!$B$5*Params!$B$87*Params!$B$72</f>
        <v/>
      </c>
      <c r="AG58" s="3">
        <f>MAU!AG5*Params!$B$37*Params!$B$5*Params!$B$87*Params!$B$72</f>
        <v/>
      </c>
      <c r="AH58" s="3">
        <f>MAU!AH5*Params!$B$37*Params!$B$5*Params!$B$87*Params!$B$72</f>
        <v/>
      </c>
      <c r="AI58" s="3">
        <f>MAU!AI5*Params!$B$37*Params!$B$5*Params!$B$87*Params!$B$72</f>
        <v/>
      </c>
      <c r="AJ58" s="3">
        <f>MAU!AJ5*Params!$B$37*Params!$B$5*Params!$B$87*Params!$B$72</f>
        <v/>
      </c>
      <c r="AK58" s="3">
        <f>MAU!AK5*Params!$B$37*Params!$B$5*Params!$B$87*Params!$B$72</f>
        <v/>
      </c>
      <c r="AL58" s="3">
        <f>MAU!AL5*Params!$B$37*Params!$B$5*Params!$B$87*Params!$B$72</f>
        <v/>
      </c>
      <c r="AM58" s="3">
        <f>MAU!AM5*Params!$B$37*Params!$B$5*Params!$B$87*Params!$B$72</f>
        <v/>
      </c>
      <c r="AN58" s="3">
        <f>MAU!AN5*Params!$B$37*Params!$B$5*Params!$B$87*Params!$B$72</f>
        <v/>
      </c>
      <c r="AO58" s="3">
        <f>MAU!AO5*Params!$B$37*Params!$B$5*Params!$B$87*Params!$B$72</f>
        <v/>
      </c>
      <c r="AP58" s="3">
        <f>MAU!AP5*Params!$B$37*Params!$B$5*Params!$B$87*Params!$B$72</f>
        <v/>
      </c>
      <c r="AQ58" s="3">
        <f>MAU!AQ5*Params!$B$37*Params!$B$5*Params!$B$87*Params!$B$72</f>
        <v/>
      </c>
      <c r="AR58" s="3">
        <f>MAU!AR5*Params!$B$37*Params!$B$5*Params!$B$87*Params!$B$72</f>
        <v/>
      </c>
      <c r="AS58" s="3">
        <f>MAU!AS5*Params!$B$37*Params!$B$5*Params!$B$87*Params!$B$72</f>
        <v/>
      </c>
      <c r="AT58" s="3">
        <f>MAU!AT5*Params!$B$37*Params!$B$5*Params!$B$87*Params!$B$72</f>
        <v/>
      </c>
      <c r="AU58" s="3">
        <f>MAU!AU5*Params!$B$37*Params!$B$5*Params!$B$87*Params!$B$72</f>
        <v/>
      </c>
      <c r="AV58" s="3">
        <f>MAU!AV5*Params!$B$37*Params!$B$5*Params!$B$87*Params!$B$72</f>
        <v/>
      </c>
      <c r="AW58" s="3">
        <f>MAU!AW5*Params!$B$37*Params!$B$5*Params!$B$87*Params!$B$72</f>
        <v/>
      </c>
      <c r="AX58" s="3">
        <f>MAU!AX5*Params!$B$37*Params!$B$5*Params!$B$87*Params!$B$72</f>
        <v/>
      </c>
      <c r="AY58" s="3">
        <f>MAU!AY5*Params!$B$37*Params!$B$5*Params!$B$87*Params!$B$72</f>
        <v/>
      </c>
      <c r="AZ58" s="3">
        <f>MAU!AZ5*Params!$B$37*Params!$B$5*Params!$B$87*Params!$B$72</f>
        <v/>
      </c>
      <c r="BA58" s="3">
        <f>MAU!BA5*Params!$B$37*Params!$B$5*Params!$B$87*Params!$B$72</f>
        <v/>
      </c>
      <c r="BB58" s="3">
        <f>MAU!BB5*Params!$B$37*Params!$B$5*Params!$B$87*Params!$B$72</f>
        <v/>
      </c>
      <c r="BC58" s="3">
        <f>MAU!BC5*Params!$B$37*Params!$B$5*Params!$B$87*Params!$B$72</f>
        <v/>
      </c>
      <c r="BD58" s="3">
        <f>MAU!BD5*Params!$B$37*Params!$B$5*Params!$B$87*Params!$B$72</f>
        <v/>
      </c>
      <c r="BE58" s="3">
        <f>MAU!BE5*Params!$B$37*Params!$B$5*Params!$B$87*Params!$B$72</f>
        <v/>
      </c>
      <c r="BF58" s="3">
        <f>MAU!BF5*Params!$B$37*Params!$B$5*Params!$B$87*Params!$B$72</f>
        <v/>
      </c>
      <c r="BG58" s="3">
        <f>MAU!BG5*Params!$B$37*Params!$B$5*Params!$B$87*Params!$B$72</f>
        <v/>
      </c>
      <c r="BH58" s="3">
        <f>MAU!BH5*Params!$B$37*Params!$B$5*Params!$B$87*Params!$B$72</f>
        <v/>
      </c>
      <c r="BI58" s="3">
        <f>MAU!BI5*Params!$B$37*Params!$B$5*Params!$B$87*Params!$B$72</f>
        <v/>
      </c>
      <c r="BJ58" s="3">
        <f>MAU!BJ5*Params!$B$37*Params!$B$5*Params!$B$87*Params!$B$72</f>
        <v/>
      </c>
      <c r="BK58" s="3">
        <f>MAU!BK5*Params!$B$37*Params!$B$5*Params!$B$87*Params!$B$72</f>
        <v/>
      </c>
      <c r="BL58" s="3">
        <f>MAU!BL5*Params!$B$37*Params!$B$5*Params!$B$87*Params!$B$72</f>
        <v/>
      </c>
      <c r="BM58" s="3">
        <f>MAU!BM5*Params!$B$37*Params!$B$5*Params!$B$87*Params!$B$72</f>
        <v/>
      </c>
      <c r="BN58" s="3">
        <f>MAU!BN5*Params!$B$37*Params!$B$5*Params!$B$87*Params!$B$72</f>
        <v/>
      </c>
      <c r="BO58" s="3">
        <f>MAU!BO5*Params!$B$37*Params!$B$5*Params!$B$87*Params!$B$72</f>
        <v/>
      </c>
      <c r="BP58" s="3">
        <f>MAU!BP5*Params!$B$37*Params!$B$5*Params!$B$87*Params!$B$72</f>
        <v/>
      </c>
      <c r="BQ58" s="3">
        <f>MAU!BQ5*Params!$B$37*Params!$B$5*Params!$B$87*Params!$B$72</f>
        <v/>
      </c>
      <c r="BR58" s="3">
        <f>MAU!BR5*Params!$B$37*Params!$B$5*Params!$B$87*Params!$B$72</f>
        <v/>
      </c>
      <c r="BS58" s="3">
        <f>MAU!BS5*Params!$B$37*Params!$B$5*Params!$B$87*Params!$B$72</f>
        <v/>
      </c>
      <c r="BT58" s="3">
        <f>MAU!BT5*Params!$B$37*Params!$B$5*Params!$B$87*Params!$B$72</f>
        <v/>
      </c>
      <c r="BU58" s="3">
        <f>MAU!BU5*Params!$B$37*Params!$B$5*Params!$B$87*Params!$B$72</f>
        <v/>
      </c>
      <c r="BV58" s="3">
        <f>MAU!BV5*Params!$B$37*Params!$B$5*Params!$B$87*Params!$B$72</f>
        <v/>
      </c>
    </row>
    <row r="59">
      <c r="A59" t="inlineStr">
        <is>
          <t>trial starts</t>
        </is>
      </c>
      <c r="B59" t="inlineStr">
        <is>
          <t>EUROPE|NITRO_A</t>
        </is>
      </c>
      <c r="C59" s="3">
        <f>C58*Params!$B$6</f>
        <v/>
      </c>
      <c r="D59" s="3">
        <f>D58*Params!$B$6</f>
        <v/>
      </c>
      <c r="E59" s="3">
        <f>E58*Params!$B$6</f>
        <v/>
      </c>
      <c r="F59" s="3">
        <f>F58*Params!$B$6</f>
        <v/>
      </c>
      <c r="G59" s="3">
        <f>G58*Params!$B$6</f>
        <v/>
      </c>
      <c r="H59" s="3">
        <f>H58*Params!$B$6</f>
        <v/>
      </c>
      <c r="I59" s="3">
        <f>I58*Params!$B$6</f>
        <v/>
      </c>
      <c r="J59" s="3">
        <f>J58*Params!$B$6</f>
        <v/>
      </c>
      <c r="K59" s="3">
        <f>K58*Params!$B$6</f>
        <v/>
      </c>
      <c r="L59" s="3">
        <f>L58*Params!$B$6</f>
        <v/>
      </c>
      <c r="M59" s="3">
        <f>M58*Params!$B$6</f>
        <v/>
      </c>
      <c r="N59" s="3">
        <f>N58*Params!$B$6</f>
        <v/>
      </c>
      <c r="O59" s="3">
        <f>O58*Params!$B$6</f>
        <v/>
      </c>
      <c r="P59" s="3">
        <f>P58*Params!$B$6</f>
        <v/>
      </c>
      <c r="Q59" s="3">
        <f>Q58*Params!$B$6</f>
        <v/>
      </c>
      <c r="R59" s="3">
        <f>R58*Params!$B$6</f>
        <v/>
      </c>
      <c r="S59" s="3">
        <f>S58*Params!$B$6</f>
        <v/>
      </c>
      <c r="T59" s="3">
        <f>T58*Params!$B$6</f>
        <v/>
      </c>
      <c r="U59" s="3">
        <f>U58*Params!$B$6</f>
        <v/>
      </c>
      <c r="V59" s="3">
        <f>V58*Params!$B$6</f>
        <v/>
      </c>
      <c r="W59" s="3">
        <f>W58*Params!$B$6</f>
        <v/>
      </c>
      <c r="X59" s="3">
        <f>X58*Params!$B$6</f>
        <v/>
      </c>
      <c r="Y59" s="3">
        <f>Y58*Params!$B$6</f>
        <v/>
      </c>
      <c r="Z59" s="3">
        <f>Z58*Params!$B$6</f>
        <v/>
      </c>
      <c r="AA59" s="3">
        <f>AA58*Params!$B$6</f>
        <v/>
      </c>
      <c r="AB59" s="3">
        <f>AB58*Params!$B$6</f>
        <v/>
      </c>
      <c r="AC59" s="3">
        <f>AC58*Params!$B$6</f>
        <v/>
      </c>
      <c r="AD59" s="3">
        <f>AD58*Params!$B$6</f>
        <v/>
      </c>
      <c r="AE59" s="3">
        <f>AE58*Params!$B$6</f>
        <v/>
      </c>
      <c r="AF59" s="3">
        <f>AF58*Params!$B$6</f>
        <v/>
      </c>
      <c r="AG59" s="3">
        <f>AG58*Params!$B$6</f>
        <v/>
      </c>
      <c r="AH59" s="3">
        <f>AH58*Params!$B$6</f>
        <v/>
      </c>
      <c r="AI59" s="3">
        <f>AI58*Params!$B$6</f>
        <v/>
      </c>
      <c r="AJ59" s="3">
        <f>AJ58*Params!$B$6</f>
        <v/>
      </c>
      <c r="AK59" s="3">
        <f>AK58*Params!$B$6</f>
        <v/>
      </c>
      <c r="AL59" s="3">
        <f>AL58*Params!$B$6</f>
        <v/>
      </c>
      <c r="AM59" s="3">
        <f>AM58*Params!$B$6</f>
        <v/>
      </c>
      <c r="AN59" s="3">
        <f>AN58*Params!$B$6</f>
        <v/>
      </c>
      <c r="AO59" s="3">
        <f>AO58*Params!$B$6</f>
        <v/>
      </c>
      <c r="AP59" s="3">
        <f>AP58*Params!$B$6</f>
        <v/>
      </c>
      <c r="AQ59" s="3">
        <f>AQ58*Params!$B$6</f>
        <v/>
      </c>
      <c r="AR59" s="3">
        <f>AR58*Params!$B$6</f>
        <v/>
      </c>
      <c r="AS59" s="3">
        <f>AS58*Params!$B$6</f>
        <v/>
      </c>
      <c r="AT59" s="3">
        <f>AT58*Params!$B$6</f>
        <v/>
      </c>
      <c r="AU59" s="3">
        <f>AU58*Params!$B$6</f>
        <v/>
      </c>
      <c r="AV59" s="3">
        <f>AV58*Params!$B$6</f>
        <v/>
      </c>
      <c r="AW59" s="3">
        <f>AW58*Params!$B$6</f>
        <v/>
      </c>
      <c r="AX59" s="3">
        <f>AX58*Params!$B$6</f>
        <v/>
      </c>
      <c r="AY59" s="3">
        <f>AY58*Params!$B$6</f>
        <v/>
      </c>
      <c r="AZ59" s="3">
        <f>AZ58*Params!$B$6</f>
        <v/>
      </c>
      <c r="BA59" s="3">
        <f>BA58*Params!$B$6</f>
        <v/>
      </c>
      <c r="BB59" s="3">
        <f>BB58*Params!$B$6</f>
        <v/>
      </c>
      <c r="BC59" s="3">
        <f>BC58*Params!$B$6</f>
        <v/>
      </c>
      <c r="BD59" s="3">
        <f>BD58*Params!$B$6</f>
        <v/>
      </c>
      <c r="BE59" s="3">
        <f>BE58*Params!$B$6</f>
        <v/>
      </c>
      <c r="BF59" s="3">
        <f>BF58*Params!$B$6</f>
        <v/>
      </c>
      <c r="BG59" s="3">
        <f>BG58*Params!$B$6</f>
        <v/>
      </c>
      <c r="BH59" s="3">
        <f>BH58*Params!$B$6</f>
        <v/>
      </c>
      <c r="BI59" s="3">
        <f>BI58*Params!$B$6</f>
        <v/>
      </c>
      <c r="BJ59" s="3">
        <f>BJ58*Params!$B$6</f>
        <v/>
      </c>
      <c r="BK59" s="3">
        <f>BK58*Params!$B$6</f>
        <v/>
      </c>
      <c r="BL59" s="3">
        <f>BL58*Params!$B$6</f>
        <v/>
      </c>
      <c r="BM59" s="3">
        <f>BM58*Params!$B$6</f>
        <v/>
      </c>
      <c r="BN59" s="3">
        <f>BN58*Params!$B$6</f>
        <v/>
      </c>
      <c r="BO59" s="3">
        <f>BO58*Params!$B$6</f>
        <v/>
      </c>
      <c r="BP59" s="3">
        <f>BP58*Params!$B$6</f>
        <v/>
      </c>
      <c r="BQ59" s="3">
        <f>BQ58*Params!$B$6</f>
        <v/>
      </c>
      <c r="BR59" s="3">
        <f>BR58*Params!$B$6</f>
        <v/>
      </c>
      <c r="BS59" s="3">
        <f>BS58*Params!$B$6</f>
        <v/>
      </c>
      <c r="BT59" s="3">
        <f>BT58*Params!$B$6</f>
        <v/>
      </c>
      <c r="BU59" s="3">
        <f>BU58*Params!$B$6</f>
        <v/>
      </c>
      <c r="BV59" s="3">
        <f>BV58*Params!$B$6</f>
        <v/>
      </c>
    </row>
    <row r="60">
      <c r="A60" t="inlineStr">
        <is>
          <t>direct paid starts</t>
        </is>
      </c>
      <c r="B60" t="inlineStr">
        <is>
          <t>EUROPE|NITRO_A</t>
        </is>
      </c>
      <c r="C60" s="3">
        <f>C58-C59</f>
        <v/>
      </c>
      <c r="D60" s="3">
        <f>D58-D59</f>
        <v/>
      </c>
      <c r="E60" s="3">
        <f>E58-E59</f>
        <v/>
      </c>
      <c r="F60" s="3">
        <f>F58-F59</f>
        <v/>
      </c>
      <c r="G60" s="3">
        <f>G58-G59</f>
        <v/>
      </c>
      <c r="H60" s="3">
        <f>H58-H59</f>
        <v/>
      </c>
      <c r="I60" s="3">
        <f>I58-I59</f>
        <v/>
      </c>
      <c r="J60" s="3">
        <f>J58-J59</f>
        <v/>
      </c>
      <c r="K60" s="3">
        <f>K58-K59</f>
        <v/>
      </c>
      <c r="L60" s="3">
        <f>L58-L59</f>
        <v/>
      </c>
      <c r="M60" s="3">
        <f>M58-M59</f>
        <v/>
      </c>
      <c r="N60" s="3">
        <f>N58-N59</f>
        <v/>
      </c>
      <c r="O60" s="3">
        <f>O58-O59</f>
        <v/>
      </c>
      <c r="P60" s="3">
        <f>P58-P59</f>
        <v/>
      </c>
      <c r="Q60" s="3">
        <f>Q58-Q59</f>
        <v/>
      </c>
      <c r="R60" s="3">
        <f>R58-R59</f>
        <v/>
      </c>
      <c r="S60" s="3">
        <f>S58-S59</f>
        <v/>
      </c>
      <c r="T60" s="3">
        <f>T58-T59</f>
        <v/>
      </c>
      <c r="U60" s="3">
        <f>U58-U59</f>
        <v/>
      </c>
      <c r="V60" s="3">
        <f>V58-V59</f>
        <v/>
      </c>
      <c r="W60" s="3">
        <f>W58-W59</f>
        <v/>
      </c>
      <c r="X60" s="3">
        <f>X58-X59</f>
        <v/>
      </c>
      <c r="Y60" s="3">
        <f>Y58-Y59</f>
        <v/>
      </c>
      <c r="Z60" s="3">
        <f>Z58-Z59</f>
        <v/>
      </c>
      <c r="AA60" s="3">
        <f>AA58-AA59</f>
        <v/>
      </c>
      <c r="AB60" s="3">
        <f>AB58-AB59</f>
        <v/>
      </c>
      <c r="AC60" s="3">
        <f>AC58-AC59</f>
        <v/>
      </c>
      <c r="AD60" s="3">
        <f>AD58-AD59</f>
        <v/>
      </c>
      <c r="AE60" s="3">
        <f>AE58-AE59</f>
        <v/>
      </c>
      <c r="AF60" s="3">
        <f>AF58-AF59</f>
        <v/>
      </c>
      <c r="AG60" s="3">
        <f>AG58-AG59</f>
        <v/>
      </c>
      <c r="AH60" s="3">
        <f>AH58-AH59</f>
        <v/>
      </c>
      <c r="AI60" s="3">
        <f>AI58-AI59</f>
        <v/>
      </c>
      <c r="AJ60" s="3">
        <f>AJ58-AJ59</f>
        <v/>
      </c>
      <c r="AK60" s="3">
        <f>AK58-AK59</f>
        <v/>
      </c>
      <c r="AL60" s="3">
        <f>AL58-AL59</f>
        <v/>
      </c>
      <c r="AM60" s="3">
        <f>AM58-AM59</f>
        <v/>
      </c>
      <c r="AN60" s="3">
        <f>AN58-AN59</f>
        <v/>
      </c>
      <c r="AO60" s="3">
        <f>AO58-AO59</f>
        <v/>
      </c>
      <c r="AP60" s="3">
        <f>AP58-AP59</f>
        <v/>
      </c>
      <c r="AQ60" s="3">
        <f>AQ58-AQ59</f>
        <v/>
      </c>
      <c r="AR60" s="3">
        <f>AR58-AR59</f>
        <v/>
      </c>
      <c r="AS60" s="3">
        <f>AS58-AS59</f>
        <v/>
      </c>
      <c r="AT60" s="3">
        <f>AT58-AT59</f>
        <v/>
      </c>
      <c r="AU60" s="3">
        <f>AU58-AU59</f>
        <v/>
      </c>
      <c r="AV60" s="3">
        <f>AV58-AV59</f>
        <v/>
      </c>
      <c r="AW60" s="3">
        <f>AW58-AW59</f>
        <v/>
      </c>
      <c r="AX60" s="3">
        <f>AX58-AX59</f>
        <v/>
      </c>
      <c r="AY60" s="3">
        <f>AY58-AY59</f>
        <v/>
      </c>
      <c r="AZ60" s="3">
        <f>AZ58-AZ59</f>
        <v/>
      </c>
      <c r="BA60" s="3">
        <f>BA58-BA59</f>
        <v/>
      </c>
      <c r="BB60" s="3">
        <f>BB58-BB59</f>
        <v/>
      </c>
      <c r="BC60" s="3">
        <f>BC58-BC59</f>
        <v/>
      </c>
      <c r="BD60" s="3">
        <f>BD58-BD59</f>
        <v/>
      </c>
      <c r="BE60" s="3">
        <f>BE58-BE59</f>
        <v/>
      </c>
      <c r="BF60" s="3">
        <f>BF58-BF59</f>
        <v/>
      </c>
      <c r="BG60" s="3">
        <f>BG58-BG59</f>
        <v/>
      </c>
      <c r="BH60" s="3">
        <f>BH58-BH59</f>
        <v/>
      </c>
      <c r="BI60" s="3">
        <f>BI58-BI59</f>
        <v/>
      </c>
      <c r="BJ60" s="3">
        <f>BJ58-BJ59</f>
        <v/>
      </c>
      <c r="BK60" s="3">
        <f>BK58-BK59</f>
        <v/>
      </c>
      <c r="BL60" s="3">
        <f>BL58-BL59</f>
        <v/>
      </c>
      <c r="BM60" s="3">
        <f>BM58-BM59</f>
        <v/>
      </c>
      <c r="BN60" s="3">
        <f>BN58-BN59</f>
        <v/>
      </c>
      <c r="BO60" s="3">
        <f>BO58-BO59</f>
        <v/>
      </c>
      <c r="BP60" s="3">
        <f>BP58-BP59</f>
        <v/>
      </c>
      <c r="BQ60" s="3">
        <f>BQ58-BQ59</f>
        <v/>
      </c>
      <c r="BR60" s="3">
        <f>BR58-BR59</f>
        <v/>
      </c>
      <c r="BS60" s="3">
        <f>BS58-BS59</f>
        <v/>
      </c>
      <c r="BT60" s="3">
        <f>BT58-BT59</f>
        <v/>
      </c>
      <c r="BU60" s="3">
        <f>BU58-BU59</f>
        <v/>
      </c>
      <c r="BV60" s="3">
        <f>BV58-BV59</f>
        <v/>
      </c>
    </row>
    <row r="61">
      <c r="A61" t="inlineStr">
        <is>
          <t>trials ending</t>
        </is>
      </c>
      <c r="B61" t="inlineStr">
        <is>
          <t>EUROPE|NITRO_A</t>
        </is>
      </c>
      <c r="C61" s="3">
        <f>IF(C$2&gt;=Params!$B$7,INDEX($C$59:$BV$59,C$2-Params!$B$7+1),0)</f>
        <v/>
      </c>
      <c r="D61" s="3">
        <f>IF(D$2&gt;=Params!$B$7,INDEX($C$59:$BV$59,D$2-Params!$B$7+1),0)</f>
        <v/>
      </c>
      <c r="E61" s="3">
        <f>IF(E$2&gt;=Params!$B$7,INDEX($C$59:$BV$59,E$2-Params!$B$7+1),0)</f>
        <v/>
      </c>
      <c r="F61" s="3">
        <f>IF(F$2&gt;=Params!$B$7,INDEX($C$59:$BV$59,F$2-Params!$B$7+1),0)</f>
        <v/>
      </c>
      <c r="G61" s="3">
        <f>IF(G$2&gt;=Params!$B$7,INDEX($C$59:$BV$59,G$2-Params!$B$7+1),0)</f>
        <v/>
      </c>
      <c r="H61" s="3">
        <f>IF(H$2&gt;=Params!$B$7,INDEX($C$59:$BV$59,H$2-Params!$B$7+1),0)</f>
        <v/>
      </c>
      <c r="I61" s="3">
        <f>IF(I$2&gt;=Params!$B$7,INDEX($C$59:$BV$59,I$2-Params!$B$7+1),0)</f>
        <v/>
      </c>
      <c r="J61" s="3">
        <f>IF(J$2&gt;=Params!$B$7,INDEX($C$59:$BV$59,J$2-Params!$B$7+1),0)</f>
        <v/>
      </c>
      <c r="K61" s="3">
        <f>IF(K$2&gt;=Params!$B$7,INDEX($C$59:$BV$59,K$2-Params!$B$7+1),0)</f>
        <v/>
      </c>
      <c r="L61" s="3">
        <f>IF(L$2&gt;=Params!$B$7,INDEX($C$59:$BV$59,L$2-Params!$B$7+1),0)</f>
        <v/>
      </c>
      <c r="M61" s="3">
        <f>IF(M$2&gt;=Params!$B$7,INDEX($C$59:$BV$59,M$2-Params!$B$7+1),0)</f>
        <v/>
      </c>
      <c r="N61" s="3">
        <f>IF(N$2&gt;=Params!$B$7,INDEX($C$59:$BV$59,N$2-Params!$B$7+1),0)</f>
        <v/>
      </c>
      <c r="O61" s="3">
        <f>IF(O$2&gt;=Params!$B$7,INDEX($C$59:$BV$59,O$2-Params!$B$7+1),0)</f>
        <v/>
      </c>
      <c r="P61" s="3">
        <f>IF(P$2&gt;=Params!$B$7,INDEX($C$59:$BV$59,P$2-Params!$B$7+1),0)</f>
        <v/>
      </c>
      <c r="Q61" s="3">
        <f>IF(Q$2&gt;=Params!$B$7,INDEX($C$59:$BV$59,Q$2-Params!$B$7+1),0)</f>
        <v/>
      </c>
      <c r="R61" s="3">
        <f>IF(R$2&gt;=Params!$B$7,INDEX($C$59:$BV$59,R$2-Params!$B$7+1),0)</f>
        <v/>
      </c>
      <c r="S61" s="3">
        <f>IF(S$2&gt;=Params!$B$7,INDEX($C$59:$BV$59,S$2-Params!$B$7+1),0)</f>
        <v/>
      </c>
      <c r="T61" s="3">
        <f>IF(T$2&gt;=Params!$B$7,INDEX($C$59:$BV$59,T$2-Params!$B$7+1),0)</f>
        <v/>
      </c>
      <c r="U61" s="3">
        <f>IF(U$2&gt;=Params!$B$7,INDEX($C$59:$BV$59,U$2-Params!$B$7+1),0)</f>
        <v/>
      </c>
      <c r="V61" s="3">
        <f>IF(V$2&gt;=Params!$B$7,INDEX($C$59:$BV$59,V$2-Params!$B$7+1),0)</f>
        <v/>
      </c>
      <c r="W61" s="3">
        <f>IF(W$2&gt;=Params!$B$7,INDEX($C$59:$BV$59,W$2-Params!$B$7+1),0)</f>
        <v/>
      </c>
      <c r="X61" s="3">
        <f>IF(X$2&gt;=Params!$B$7,INDEX($C$59:$BV$59,X$2-Params!$B$7+1),0)</f>
        <v/>
      </c>
      <c r="Y61" s="3">
        <f>IF(Y$2&gt;=Params!$B$7,INDEX($C$59:$BV$59,Y$2-Params!$B$7+1),0)</f>
        <v/>
      </c>
      <c r="Z61" s="3">
        <f>IF(Z$2&gt;=Params!$B$7,INDEX($C$59:$BV$59,Z$2-Params!$B$7+1),0)</f>
        <v/>
      </c>
      <c r="AA61" s="3">
        <f>IF(AA$2&gt;=Params!$B$7,INDEX($C$59:$BV$59,AA$2-Params!$B$7+1),0)</f>
        <v/>
      </c>
      <c r="AB61" s="3">
        <f>IF(AB$2&gt;=Params!$B$7,INDEX($C$59:$BV$59,AB$2-Params!$B$7+1),0)</f>
        <v/>
      </c>
      <c r="AC61" s="3">
        <f>IF(AC$2&gt;=Params!$B$7,INDEX($C$59:$BV$59,AC$2-Params!$B$7+1),0)</f>
        <v/>
      </c>
      <c r="AD61" s="3">
        <f>IF(AD$2&gt;=Params!$B$7,INDEX($C$59:$BV$59,AD$2-Params!$B$7+1),0)</f>
        <v/>
      </c>
      <c r="AE61" s="3">
        <f>IF(AE$2&gt;=Params!$B$7,INDEX($C$59:$BV$59,AE$2-Params!$B$7+1),0)</f>
        <v/>
      </c>
      <c r="AF61" s="3">
        <f>IF(AF$2&gt;=Params!$B$7,INDEX($C$59:$BV$59,AF$2-Params!$B$7+1),0)</f>
        <v/>
      </c>
      <c r="AG61" s="3">
        <f>IF(AG$2&gt;=Params!$B$7,INDEX($C$59:$BV$59,AG$2-Params!$B$7+1),0)</f>
        <v/>
      </c>
      <c r="AH61" s="3">
        <f>IF(AH$2&gt;=Params!$B$7,INDEX($C$59:$BV$59,AH$2-Params!$B$7+1),0)</f>
        <v/>
      </c>
      <c r="AI61" s="3">
        <f>IF(AI$2&gt;=Params!$B$7,INDEX($C$59:$BV$59,AI$2-Params!$B$7+1),0)</f>
        <v/>
      </c>
      <c r="AJ61" s="3">
        <f>IF(AJ$2&gt;=Params!$B$7,INDEX($C$59:$BV$59,AJ$2-Params!$B$7+1),0)</f>
        <v/>
      </c>
      <c r="AK61" s="3">
        <f>IF(AK$2&gt;=Params!$B$7,INDEX($C$59:$BV$59,AK$2-Params!$B$7+1),0)</f>
        <v/>
      </c>
      <c r="AL61" s="3">
        <f>IF(AL$2&gt;=Params!$B$7,INDEX($C$59:$BV$59,AL$2-Params!$B$7+1),0)</f>
        <v/>
      </c>
      <c r="AM61" s="3">
        <f>IF(AM$2&gt;=Params!$B$7,INDEX($C$59:$BV$59,AM$2-Params!$B$7+1),0)</f>
        <v/>
      </c>
      <c r="AN61" s="3">
        <f>IF(AN$2&gt;=Params!$B$7,INDEX($C$59:$BV$59,AN$2-Params!$B$7+1),0)</f>
        <v/>
      </c>
      <c r="AO61" s="3">
        <f>IF(AO$2&gt;=Params!$B$7,INDEX($C$59:$BV$59,AO$2-Params!$B$7+1),0)</f>
        <v/>
      </c>
      <c r="AP61" s="3">
        <f>IF(AP$2&gt;=Params!$B$7,INDEX($C$59:$BV$59,AP$2-Params!$B$7+1),0)</f>
        <v/>
      </c>
      <c r="AQ61" s="3">
        <f>IF(AQ$2&gt;=Params!$B$7,INDEX($C$59:$BV$59,AQ$2-Params!$B$7+1),0)</f>
        <v/>
      </c>
      <c r="AR61" s="3">
        <f>IF(AR$2&gt;=Params!$B$7,INDEX($C$59:$BV$59,AR$2-Params!$B$7+1),0)</f>
        <v/>
      </c>
      <c r="AS61" s="3">
        <f>IF(AS$2&gt;=Params!$B$7,INDEX($C$59:$BV$59,AS$2-Params!$B$7+1),0)</f>
        <v/>
      </c>
      <c r="AT61" s="3">
        <f>IF(AT$2&gt;=Params!$B$7,INDEX($C$59:$BV$59,AT$2-Params!$B$7+1),0)</f>
        <v/>
      </c>
      <c r="AU61" s="3">
        <f>IF(AU$2&gt;=Params!$B$7,INDEX($C$59:$BV$59,AU$2-Params!$B$7+1),0)</f>
        <v/>
      </c>
      <c r="AV61" s="3">
        <f>IF(AV$2&gt;=Params!$B$7,INDEX($C$59:$BV$59,AV$2-Params!$B$7+1),0)</f>
        <v/>
      </c>
      <c r="AW61" s="3">
        <f>IF(AW$2&gt;=Params!$B$7,INDEX($C$59:$BV$59,AW$2-Params!$B$7+1),0)</f>
        <v/>
      </c>
      <c r="AX61" s="3">
        <f>IF(AX$2&gt;=Params!$B$7,INDEX($C$59:$BV$59,AX$2-Params!$B$7+1),0)</f>
        <v/>
      </c>
      <c r="AY61" s="3">
        <f>IF(AY$2&gt;=Params!$B$7,INDEX($C$59:$BV$59,AY$2-Params!$B$7+1),0)</f>
        <v/>
      </c>
      <c r="AZ61" s="3">
        <f>IF(AZ$2&gt;=Params!$B$7,INDEX($C$59:$BV$59,AZ$2-Params!$B$7+1),0)</f>
        <v/>
      </c>
      <c r="BA61" s="3">
        <f>IF(BA$2&gt;=Params!$B$7,INDEX($C$59:$BV$59,BA$2-Params!$B$7+1),0)</f>
        <v/>
      </c>
      <c r="BB61" s="3">
        <f>IF(BB$2&gt;=Params!$B$7,INDEX($C$59:$BV$59,BB$2-Params!$B$7+1),0)</f>
        <v/>
      </c>
      <c r="BC61" s="3">
        <f>IF(BC$2&gt;=Params!$B$7,INDEX($C$59:$BV$59,BC$2-Params!$B$7+1),0)</f>
        <v/>
      </c>
      <c r="BD61" s="3">
        <f>IF(BD$2&gt;=Params!$B$7,INDEX($C$59:$BV$59,BD$2-Params!$B$7+1),0)</f>
        <v/>
      </c>
      <c r="BE61" s="3">
        <f>IF(BE$2&gt;=Params!$B$7,INDEX($C$59:$BV$59,BE$2-Params!$B$7+1),0)</f>
        <v/>
      </c>
      <c r="BF61" s="3">
        <f>IF(BF$2&gt;=Params!$B$7,INDEX($C$59:$BV$59,BF$2-Params!$B$7+1),0)</f>
        <v/>
      </c>
      <c r="BG61" s="3">
        <f>IF(BG$2&gt;=Params!$B$7,INDEX($C$59:$BV$59,BG$2-Params!$B$7+1),0)</f>
        <v/>
      </c>
      <c r="BH61" s="3">
        <f>IF(BH$2&gt;=Params!$B$7,INDEX($C$59:$BV$59,BH$2-Params!$B$7+1),0)</f>
        <v/>
      </c>
      <c r="BI61" s="3">
        <f>IF(BI$2&gt;=Params!$B$7,INDEX($C$59:$BV$59,BI$2-Params!$B$7+1),0)</f>
        <v/>
      </c>
      <c r="BJ61" s="3">
        <f>IF(BJ$2&gt;=Params!$B$7,INDEX($C$59:$BV$59,BJ$2-Params!$B$7+1),0)</f>
        <v/>
      </c>
      <c r="BK61" s="3">
        <f>IF(BK$2&gt;=Params!$B$7,INDEX($C$59:$BV$59,BK$2-Params!$B$7+1),0)</f>
        <v/>
      </c>
      <c r="BL61" s="3">
        <f>IF(BL$2&gt;=Params!$B$7,INDEX($C$59:$BV$59,BL$2-Params!$B$7+1),0)</f>
        <v/>
      </c>
      <c r="BM61" s="3">
        <f>IF(BM$2&gt;=Params!$B$7,INDEX($C$59:$BV$59,BM$2-Params!$B$7+1),0)</f>
        <v/>
      </c>
      <c r="BN61" s="3">
        <f>IF(BN$2&gt;=Params!$B$7,INDEX($C$59:$BV$59,BN$2-Params!$B$7+1),0)</f>
        <v/>
      </c>
      <c r="BO61" s="3">
        <f>IF(BO$2&gt;=Params!$B$7,INDEX($C$59:$BV$59,BO$2-Params!$B$7+1),0)</f>
        <v/>
      </c>
      <c r="BP61" s="3">
        <f>IF(BP$2&gt;=Params!$B$7,INDEX($C$59:$BV$59,BP$2-Params!$B$7+1),0)</f>
        <v/>
      </c>
      <c r="BQ61" s="3">
        <f>IF(BQ$2&gt;=Params!$B$7,INDEX($C$59:$BV$59,BQ$2-Params!$B$7+1),0)</f>
        <v/>
      </c>
      <c r="BR61" s="3">
        <f>IF(BR$2&gt;=Params!$B$7,INDEX($C$59:$BV$59,BR$2-Params!$B$7+1),0)</f>
        <v/>
      </c>
      <c r="BS61" s="3">
        <f>IF(BS$2&gt;=Params!$B$7,INDEX($C$59:$BV$59,BS$2-Params!$B$7+1),0)</f>
        <v/>
      </c>
      <c r="BT61" s="3">
        <f>IF(BT$2&gt;=Params!$B$7,INDEX($C$59:$BV$59,BT$2-Params!$B$7+1),0)</f>
        <v/>
      </c>
      <c r="BU61" s="3">
        <f>IF(BU$2&gt;=Params!$B$7,INDEX($C$59:$BV$59,BU$2-Params!$B$7+1),0)</f>
        <v/>
      </c>
      <c r="BV61" s="3">
        <f>IF(BV$2&gt;=Params!$B$7,INDEX($C$59:$BV$59,BV$2-Params!$B$7+1),0)</f>
        <v/>
      </c>
    </row>
    <row r="62">
      <c r="A62" t="inlineStr">
        <is>
          <t>trials converted</t>
        </is>
      </c>
      <c r="B62" t="inlineStr">
        <is>
          <t>EUROPE|NITRO_A</t>
        </is>
      </c>
      <c r="C62" s="3">
        <f>C61*Params!$B$8</f>
        <v/>
      </c>
      <c r="D62" s="3">
        <f>D61*Params!$B$8</f>
        <v/>
      </c>
      <c r="E62" s="3">
        <f>E61*Params!$B$8</f>
        <v/>
      </c>
      <c r="F62" s="3">
        <f>F61*Params!$B$8</f>
        <v/>
      </c>
      <c r="G62" s="3">
        <f>G61*Params!$B$8</f>
        <v/>
      </c>
      <c r="H62" s="3">
        <f>H61*Params!$B$8</f>
        <v/>
      </c>
      <c r="I62" s="3">
        <f>I61*Params!$B$8</f>
        <v/>
      </c>
      <c r="J62" s="3">
        <f>J61*Params!$B$8</f>
        <v/>
      </c>
      <c r="K62" s="3">
        <f>K61*Params!$B$8</f>
        <v/>
      </c>
      <c r="L62" s="3">
        <f>L61*Params!$B$8</f>
        <v/>
      </c>
      <c r="M62" s="3">
        <f>M61*Params!$B$8</f>
        <v/>
      </c>
      <c r="N62" s="3">
        <f>N61*Params!$B$8</f>
        <v/>
      </c>
      <c r="O62" s="3">
        <f>O61*Params!$B$8</f>
        <v/>
      </c>
      <c r="P62" s="3">
        <f>P61*Params!$B$8</f>
        <v/>
      </c>
      <c r="Q62" s="3">
        <f>Q61*Params!$B$8</f>
        <v/>
      </c>
      <c r="R62" s="3">
        <f>R61*Params!$B$8</f>
        <v/>
      </c>
      <c r="S62" s="3">
        <f>S61*Params!$B$8</f>
        <v/>
      </c>
      <c r="T62" s="3">
        <f>T61*Params!$B$8</f>
        <v/>
      </c>
      <c r="U62" s="3">
        <f>U61*Params!$B$8</f>
        <v/>
      </c>
      <c r="V62" s="3">
        <f>V61*Params!$B$8</f>
        <v/>
      </c>
      <c r="W62" s="3">
        <f>W61*Params!$B$8</f>
        <v/>
      </c>
      <c r="X62" s="3">
        <f>X61*Params!$B$8</f>
        <v/>
      </c>
      <c r="Y62" s="3">
        <f>Y61*Params!$B$8</f>
        <v/>
      </c>
      <c r="Z62" s="3">
        <f>Z61*Params!$B$8</f>
        <v/>
      </c>
      <c r="AA62" s="3">
        <f>AA61*Params!$B$8</f>
        <v/>
      </c>
      <c r="AB62" s="3">
        <f>AB61*Params!$B$8</f>
        <v/>
      </c>
      <c r="AC62" s="3">
        <f>AC61*Params!$B$8</f>
        <v/>
      </c>
      <c r="AD62" s="3">
        <f>AD61*Params!$B$8</f>
        <v/>
      </c>
      <c r="AE62" s="3">
        <f>AE61*Params!$B$8</f>
        <v/>
      </c>
      <c r="AF62" s="3">
        <f>AF61*Params!$B$8</f>
        <v/>
      </c>
      <c r="AG62" s="3">
        <f>AG61*Params!$B$8</f>
        <v/>
      </c>
      <c r="AH62" s="3">
        <f>AH61*Params!$B$8</f>
        <v/>
      </c>
      <c r="AI62" s="3">
        <f>AI61*Params!$B$8</f>
        <v/>
      </c>
      <c r="AJ62" s="3">
        <f>AJ61*Params!$B$8</f>
        <v/>
      </c>
      <c r="AK62" s="3">
        <f>AK61*Params!$B$8</f>
        <v/>
      </c>
      <c r="AL62" s="3">
        <f>AL61*Params!$B$8</f>
        <v/>
      </c>
      <c r="AM62" s="3">
        <f>AM61*Params!$B$8</f>
        <v/>
      </c>
      <c r="AN62" s="3">
        <f>AN61*Params!$B$8</f>
        <v/>
      </c>
      <c r="AO62" s="3">
        <f>AO61*Params!$B$8</f>
        <v/>
      </c>
      <c r="AP62" s="3">
        <f>AP61*Params!$B$8</f>
        <v/>
      </c>
      <c r="AQ62" s="3">
        <f>AQ61*Params!$B$8</f>
        <v/>
      </c>
      <c r="AR62" s="3">
        <f>AR61*Params!$B$8</f>
        <v/>
      </c>
      <c r="AS62" s="3">
        <f>AS61*Params!$B$8</f>
        <v/>
      </c>
      <c r="AT62" s="3">
        <f>AT61*Params!$B$8</f>
        <v/>
      </c>
      <c r="AU62" s="3">
        <f>AU61*Params!$B$8</f>
        <v/>
      </c>
      <c r="AV62" s="3">
        <f>AV61*Params!$B$8</f>
        <v/>
      </c>
      <c r="AW62" s="3">
        <f>AW61*Params!$B$8</f>
        <v/>
      </c>
      <c r="AX62" s="3">
        <f>AX61*Params!$B$8</f>
        <v/>
      </c>
      <c r="AY62" s="3">
        <f>AY61*Params!$B$8</f>
        <v/>
      </c>
      <c r="AZ62" s="3">
        <f>AZ61*Params!$B$8</f>
        <v/>
      </c>
      <c r="BA62" s="3">
        <f>BA61*Params!$B$8</f>
        <v/>
      </c>
      <c r="BB62" s="3">
        <f>BB61*Params!$B$8</f>
        <v/>
      </c>
      <c r="BC62" s="3">
        <f>BC61*Params!$B$8</f>
        <v/>
      </c>
      <c r="BD62" s="3">
        <f>BD61*Params!$B$8</f>
        <v/>
      </c>
      <c r="BE62" s="3">
        <f>BE61*Params!$B$8</f>
        <v/>
      </c>
      <c r="BF62" s="3">
        <f>BF61*Params!$B$8</f>
        <v/>
      </c>
      <c r="BG62" s="3">
        <f>BG61*Params!$B$8</f>
        <v/>
      </c>
      <c r="BH62" s="3">
        <f>BH61*Params!$B$8</f>
        <v/>
      </c>
      <c r="BI62" s="3">
        <f>BI61*Params!$B$8</f>
        <v/>
      </c>
      <c r="BJ62" s="3">
        <f>BJ61*Params!$B$8</f>
        <v/>
      </c>
      <c r="BK62" s="3">
        <f>BK61*Params!$B$8</f>
        <v/>
      </c>
      <c r="BL62" s="3">
        <f>BL61*Params!$B$8</f>
        <v/>
      </c>
      <c r="BM62" s="3">
        <f>BM61*Params!$B$8</f>
        <v/>
      </c>
      <c r="BN62" s="3">
        <f>BN61*Params!$B$8</f>
        <v/>
      </c>
      <c r="BO62" s="3">
        <f>BO61*Params!$B$8</f>
        <v/>
      </c>
      <c r="BP62" s="3">
        <f>BP61*Params!$B$8</f>
        <v/>
      </c>
      <c r="BQ62" s="3">
        <f>BQ61*Params!$B$8</f>
        <v/>
      </c>
      <c r="BR62" s="3">
        <f>BR61*Params!$B$8</f>
        <v/>
      </c>
      <c r="BS62" s="3">
        <f>BS61*Params!$B$8</f>
        <v/>
      </c>
      <c r="BT62" s="3">
        <f>BT61*Params!$B$8</f>
        <v/>
      </c>
      <c r="BU62" s="3">
        <f>BU61*Params!$B$8</f>
        <v/>
      </c>
      <c r="BV62" s="3">
        <f>BV61*Params!$B$8</f>
        <v/>
      </c>
    </row>
    <row r="63">
      <c r="A63" t="inlineStr">
        <is>
          <t>trials lost</t>
        </is>
      </c>
      <c r="B63" t="inlineStr">
        <is>
          <t>EUROPE|NITRO_A</t>
        </is>
      </c>
      <c r="C63" s="3">
        <f>C61-C62</f>
        <v/>
      </c>
      <c r="D63" s="3">
        <f>D61-D62</f>
        <v/>
      </c>
      <c r="E63" s="3">
        <f>E61-E62</f>
        <v/>
      </c>
      <c r="F63" s="3">
        <f>F61-F62</f>
        <v/>
      </c>
      <c r="G63" s="3">
        <f>G61-G62</f>
        <v/>
      </c>
      <c r="H63" s="3">
        <f>H61-H62</f>
        <v/>
      </c>
      <c r="I63" s="3">
        <f>I61-I62</f>
        <v/>
      </c>
      <c r="J63" s="3">
        <f>J61-J62</f>
        <v/>
      </c>
      <c r="K63" s="3">
        <f>K61-K62</f>
        <v/>
      </c>
      <c r="L63" s="3">
        <f>L61-L62</f>
        <v/>
      </c>
      <c r="M63" s="3">
        <f>M61-M62</f>
        <v/>
      </c>
      <c r="N63" s="3">
        <f>N61-N62</f>
        <v/>
      </c>
      <c r="O63" s="3">
        <f>O61-O62</f>
        <v/>
      </c>
      <c r="P63" s="3">
        <f>P61-P62</f>
        <v/>
      </c>
      <c r="Q63" s="3">
        <f>Q61-Q62</f>
        <v/>
      </c>
      <c r="R63" s="3">
        <f>R61-R62</f>
        <v/>
      </c>
      <c r="S63" s="3">
        <f>S61-S62</f>
        <v/>
      </c>
      <c r="T63" s="3">
        <f>T61-T62</f>
        <v/>
      </c>
      <c r="U63" s="3">
        <f>U61-U62</f>
        <v/>
      </c>
      <c r="V63" s="3">
        <f>V61-V62</f>
        <v/>
      </c>
      <c r="W63" s="3">
        <f>W61-W62</f>
        <v/>
      </c>
      <c r="X63" s="3">
        <f>X61-X62</f>
        <v/>
      </c>
      <c r="Y63" s="3">
        <f>Y61-Y62</f>
        <v/>
      </c>
      <c r="Z63" s="3">
        <f>Z61-Z62</f>
        <v/>
      </c>
      <c r="AA63" s="3">
        <f>AA61-AA62</f>
        <v/>
      </c>
      <c r="AB63" s="3">
        <f>AB61-AB62</f>
        <v/>
      </c>
      <c r="AC63" s="3">
        <f>AC61-AC62</f>
        <v/>
      </c>
      <c r="AD63" s="3">
        <f>AD61-AD62</f>
        <v/>
      </c>
      <c r="AE63" s="3">
        <f>AE61-AE62</f>
        <v/>
      </c>
      <c r="AF63" s="3">
        <f>AF61-AF62</f>
        <v/>
      </c>
      <c r="AG63" s="3">
        <f>AG61-AG62</f>
        <v/>
      </c>
      <c r="AH63" s="3">
        <f>AH61-AH62</f>
        <v/>
      </c>
      <c r="AI63" s="3">
        <f>AI61-AI62</f>
        <v/>
      </c>
      <c r="AJ63" s="3">
        <f>AJ61-AJ62</f>
        <v/>
      </c>
      <c r="AK63" s="3">
        <f>AK61-AK62</f>
        <v/>
      </c>
      <c r="AL63" s="3">
        <f>AL61-AL62</f>
        <v/>
      </c>
      <c r="AM63" s="3">
        <f>AM61-AM62</f>
        <v/>
      </c>
      <c r="AN63" s="3">
        <f>AN61-AN62</f>
        <v/>
      </c>
      <c r="AO63" s="3">
        <f>AO61-AO62</f>
        <v/>
      </c>
      <c r="AP63" s="3">
        <f>AP61-AP62</f>
        <v/>
      </c>
      <c r="AQ63" s="3">
        <f>AQ61-AQ62</f>
        <v/>
      </c>
      <c r="AR63" s="3">
        <f>AR61-AR62</f>
        <v/>
      </c>
      <c r="AS63" s="3">
        <f>AS61-AS62</f>
        <v/>
      </c>
      <c r="AT63" s="3">
        <f>AT61-AT62</f>
        <v/>
      </c>
      <c r="AU63" s="3">
        <f>AU61-AU62</f>
        <v/>
      </c>
      <c r="AV63" s="3">
        <f>AV61-AV62</f>
        <v/>
      </c>
      <c r="AW63" s="3">
        <f>AW61-AW62</f>
        <v/>
      </c>
      <c r="AX63" s="3">
        <f>AX61-AX62</f>
        <v/>
      </c>
      <c r="AY63" s="3">
        <f>AY61-AY62</f>
        <v/>
      </c>
      <c r="AZ63" s="3">
        <f>AZ61-AZ62</f>
        <v/>
      </c>
      <c r="BA63" s="3">
        <f>BA61-BA62</f>
        <v/>
      </c>
      <c r="BB63" s="3">
        <f>BB61-BB62</f>
        <v/>
      </c>
      <c r="BC63" s="3">
        <f>BC61-BC62</f>
        <v/>
      </c>
      <c r="BD63" s="3">
        <f>BD61-BD62</f>
        <v/>
      </c>
      <c r="BE63" s="3">
        <f>BE61-BE62</f>
        <v/>
      </c>
      <c r="BF63" s="3">
        <f>BF61-BF62</f>
        <v/>
      </c>
      <c r="BG63" s="3">
        <f>BG61-BG62</f>
        <v/>
      </c>
      <c r="BH63" s="3">
        <f>BH61-BH62</f>
        <v/>
      </c>
      <c r="BI63" s="3">
        <f>BI61-BI62</f>
        <v/>
      </c>
      <c r="BJ63" s="3">
        <f>BJ61-BJ62</f>
        <v/>
      </c>
      <c r="BK63" s="3">
        <f>BK61-BK62</f>
        <v/>
      </c>
      <c r="BL63" s="3">
        <f>BL61-BL62</f>
        <v/>
      </c>
      <c r="BM63" s="3">
        <f>BM61-BM62</f>
        <v/>
      </c>
      <c r="BN63" s="3">
        <f>BN61-BN62</f>
        <v/>
      </c>
      <c r="BO63" s="3">
        <f>BO61-BO62</f>
        <v/>
      </c>
      <c r="BP63" s="3">
        <f>BP61-BP62</f>
        <v/>
      </c>
      <c r="BQ63" s="3">
        <f>BQ61-BQ62</f>
        <v/>
      </c>
      <c r="BR63" s="3">
        <f>BR61-BR62</f>
        <v/>
      </c>
      <c r="BS63" s="3">
        <f>BS61-BS62</f>
        <v/>
      </c>
      <c r="BT63" s="3">
        <f>BT61-BT62</f>
        <v/>
      </c>
      <c r="BU63" s="3">
        <f>BU61-BU62</f>
        <v/>
      </c>
      <c r="BV63" s="3">
        <f>BV61-BV62</f>
        <v/>
      </c>
    </row>
    <row r="64">
      <c r="A64" t="inlineStr">
        <is>
          <t>cum trial starts</t>
        </is>
      </c>
      <c r="B64" t="inlineStr">
        <is>
          <t>EUROPE|NITRO_A</t>
        </is>
      </c>
      <c r="C64" s="3">
        <f>SUM($C59:C59)</f>
        <v/>
      </c>
      <c r="D64" s="3">
        <f>SUM($C59:D59)</f>
        <v/>
      </c>
      <c r="E64" s="3">
        <f>SUM($C59:E59)</f>
        <v/>
      </c>
      <c r="F64" s="3">
        <f>SUM($C59:F59)</f>
        <v/>
      </c>
      <c r="G64" s="3">
        <f>SUM($C59:G59)</f>
        <v/>
      </c>
      <c r="H64" s="3">
        <f>SUM($C59:H59)</f>
        <v/>
      </c>
      <c r="I64" s="3">
        <f>SUM($C59:I59)</f>
        <v/>
      </c>
      <c r="J64" s="3">
        <f>SUM($C59:J59)</f>
        <v/>
      </c>
      <c r="K64" s="3">
        <f>SUM($C59:K59)</f>
        <v/>
      </c>
      <c r="L64" s="3">
        <f>SUM($C59:L59)</f>
        <v/>
      </c>
      <c r="M64" s="3">
        <f>SUM($C59:M59)</f>
        <v/>
      </c>
      <c r="N64" s="3">
        <f>SUM($C59:N59)</f>
        <v/>
      </c>
      <c r="O64" s="3">
        <f>SUM($C59:O59)</f>
        <v/>
      </c>
      <c r="P64" s="3">
        <f>SUM($C59:P59)</f>
        <v/>
      </c>
      <c r="Q64" s="3">
        <f>SUM($C59:Q59)</f>
        <v/>
      </c>
      <c r="R64" s="3">
        <f>SUM($C59:R59)</f>
        <v/>
      </c>
      <c r="S64" s="3">
        <f>SUM($C59:S59)</f>
        <v/>
      </c>
      <c r="T64" s="3">
        <f>SUM($C59:T59)</f>
        <v/>
      </c>
      <c r="U64" s="3">
        <f>SUM($C59:U59)</f>
        <v/>
      </c>
      <c r="V64" s="3">
        <f>SUM($C59:V59)</f>
        <v/>
      </c>
      <c r="W64" s="3">
        <f>SUM($C59:W59)</f>
        <v/>
      </c>
      <c r="X64" s="3">
        <f>SUM($C59:X59)</f>
        <v/>
      </c>
      <c r="Y64" s="3">
        <f>SUM($C59:Y59)</f>
        <v/>
      </c>
      <c r="Z64" s="3">
        <f>SUM($C59:Z59)</f>
        <v/>
      </c>
      <c r="AA64" s="3">
        <f>SUM($C59:AA59)</f>
        <v/>
      </c>
      <c r="AB64" s="3">
        <f>SUM($C59:AB59)</f>
        <v/>
      </c>
      <c r="AC64" s="3">
        <f>SUM($C59:AC59)</f>
        <v/>
      </c>
      <c r="AD64" s="3">
        <f>SUM($C59:AD59)</f>
        <v/>
      </c>
      <c r="AE64" s="3">
        <f>SUM($C59:AE59)</f>
        <v/>
      </c>
      <c r="AF64" s="3">
        <f>SUM($C59:AF59)</f>
        <v/>
      </c>
      <c r="AG64" s="3">
        <f>SUM($C59:AG59)</f>
        <v/>
      </c>
      <c r="AH64" s="3">
        <f>SUM($C59:AH59)</f>
        <v/>
      </c>
      <c r="AI64" s="3">
        <f>SUM($C59:AI59)</f>
        <v/>
      </c>
      <c r="AJ64" s="3">
        <f>SUM($C59:AJ59)</f>
        <v/>
      </c>
      <c r="AK64" s="3">
        <f>SUM($C59:AK59)</f>
        <v/>
      </c>
      <c r="AL64" s="3">
        <f>SUM($C59:AL59)</f>
        <v/>
      </c>
      <c r="AM64" s="3">
        <f>SUM($C59:AM59)</f>
        <v/>
      </c>
      <c r="AN64" s="3">
        <f>SUM($C59:AN59)</f>
        <v/>
      </c>
      <c r="AO64" s="3">
        <f>SUM($C59:AO59)</f>
        <v/>
      </c>
      <c r="AP64" s="3">
        <f>SUM($C59:AP59)</f>
        <v/>
      </c>
      <c r="AQ64" s="3">
        <f>SUM($C59:AQ59)</f>
        <v/>
      </c>
      <c r="AR64" s="3">
        <f>SUM($C59:AR59)</f>
        <v/>
      </c>
      <c r="AS64" s="3">
        <f>SUM($C59:AS59)</f>
        <v/>
      </c>
      <c r="AT64" s="3">
        <f>SUM($C59:AT59)</f>
        <v/>
      </c>
      <c r="AU64" s="3">
        <f>SUM($C59:AU59)</f>
        <v/>
      </c>
      <c r="AV64" s="3">
        <f>SUM($C59:AV59)</f>
        <v/>
      </c>
      <c r="AW64" s="3">
        <f>SUM($C59:AW59)</f>
        <v/>
      </c>
      <c r="AX64" s="3">
        <f>SUM($C59:AX59)</f>
        <v/>
      </c>
      <c r="AY64" s="3">
        <f>SUM($C59:AY59)</f>
        <v/>
      </c>
      <c r="AZ64" s="3">
        <f>SUM($C59:AZ59)</f>
        <v/>
      </c>
      <c r="BA64" s="3">
        <f>SUM($C59:BA59)</f>
        <v/>
      </c>
      <c r="BB64" s="3">
        <f>SUM($C59:BB59)</f>
        <v/>
      </c>
      <c r="BC64" s="3">
        <f>SUM($C59:BC59)</f>
        <v/>
      </c>
      <c r="BD64" s="3">
        <f>SUM($C59:BD59)</f>
        <v/>
      </c>
      <c r="BE64" s="3">
        <f>SUM($C59:BE59)</f>
        <v/>
      </c>
      <c r="BF64" s="3">
        <f>SUM($C59:BF59)</f>
        <v/>
      </c>
      <c r="BG64" s="3">
        <f>SUM($C59:BG59)</f>
        <v/>
      </c>
      <c r="BH64" s="3">
        <f>SUM($C59:BH59)</f>
        <v/>
      </c>
      <c r="BI64" s="3">
        <f>SUM($C59:BI59)</f>
        <v/>
      </c>
      <c r="BJ64" s="3">
        <f>SUM($C59:BJ59)</f>
        <v/>
      </c>
      <c r="BK64" s="3">
        <f>SUM($C59:BK59)</f>
        <v/>
      </c>
      <c r="BL64" s="3">
        <f>SUM($C59:BL59)</f>
        <v/>
      </c>
      <c r="BM64" s="3">
        <f>SUM($C59:BM59)</f>
        <v/>
      </c>
      <c r="BN64" s="3">
        <f>SUM($C59:BN59)</f>
        <v/>
      </c>
      <c r="BO64" s="3">
        <f>SUM($C59:BO59)</f>
        <v/>
      </c>
      <c r="BP64" s="3">
        <f>SUM($C59:BP59)</f>
        <v/>
      </c>
      <c r="BQ64" s="3">
        <f>SUM($C59:BQ59)</f>
        <v/>
      </c>
      <c r="BR64" s="3">
        <f>SUM($C59:BR59)</f>
        <v/>
      </c>
      <c r="BS64" s="3">
        <f>SUM($C59:BS59)</f>
        <v/>
      </c>
      <c r="BT64" s="3">
        <f>SUM($C59:BT59)</f>
        <v/>
      </c>
      <c r="BU64" s="3">
        <f>SUM($C59:BU59)</f>
        <v/>
      </c>
      <c r="BV64" s="3">
        <f>SUM($C59:BV59)</f>
        <v/>
      </c>
    </row>
    <row r="65">
      <c r="A65" t="inlineStr">
        <is>
          <t>cum trials ending</t>
        </is>
      </c>
      <c r="B65" t="inlineStr">
        <is>
          <t>EUROPE|NITRO_A</t>
        </is>
      </c>
      <c r="C65" s="3">
        <f>SUM($C61:C61)</f>
        <v/>
      </c>
      <c r="D65" s="3">
        <f>SUM($C61:D61)</f>
        <v/>
      </c>
      <c r="E65" s="3">
        <f>SUM($C61:E61)</f>
        <v/>
      </c>
      <c r="F65" s="3">
        <f>SUM($C61:F61)</f>
        <v/>
      </c>
      <c r="G65" s="3">
        <f>SUM($C61:G61)</f>
        <v/>
      </c>
      <c r="H65" s="3">
        <f>SUM($C61:H61)</f>
        <v/>
      </c>
      <c r="I65" s="3">
        <f>SUM($C61:I61)</f>
        <v/>
      </c>
      <c r="J65" s="3">
        <f>SUM($C61:J61)</f>
        <v/>
      </c>
      <c r="K65" s="3">
        <f>SUM($C61:K61)</f>
        <v/>
      </c>
      <c r="L65" s="3">
        <f>SUM($C61:L61)</f>
        <v/>
      </c>
      <c r="M65" s="3">
        <f>SUM($C61:M61)</f>
        <v/>
      </c>
      <c r="N65" s="3">
        <f>SUM($C61:N61)</f>
        <v/>
      </c>
      <c r="O65" s="3">
        <f>SUM($C61:O61)</f>
        <v/>
      </c>
      <c r="P65" s="3">
        <f>SUM($C61:P61)</f>
        <v/>
      </c>
      <c r="Q65" s="3">
        <f>SUM($C61:Q61)</f>
        <v/>
      </c>
      <c r="R65" s="3">
        <f>SUM($C61:R61)</f>
        <v/>
      </c>
      <c r="S65" s="3">
        <f>SUM($C61:S61)</f>
        <v/>
      </c>
      <c r="T65" s="3">
        <f>SUM($C61:T61)</f>
        <v/>
      </c>
      <c r="U65" s="3">
        <f>SUM($C61:U61)</f>
        <v/>
      </c>
      <c r="V65" s="3">
        <f>SUM($C61:V61)</f>
        <v/>
      </c>
      <c r="W65" s="3">
        <f>SUM($C61:W61)</f>
        <v/>
      </c>
      <c r="X65" s="3">
        <f>SUM($C61:X61)</f>
        <v/>
      </c>
      <c r="Y65" s="3">
        <f>SUM($C61:Y61)</f>
        <v/>
      </c>
      <c r="Z65" s="3">
        <f>SUM($C61:Z61)</f>
        <v/>
      </c>
      <c r="AA65" s="3">
        <f>SUM($C61:AA61)</f>
        <v/>
      </c>
      <c r="AB65" s="3">
        <f>SUM($C61:AB61)</f>
        <v/>
      </c>
      <c r="AC65" s="3">
        <f>SUM($C61:AC61)</f>
        <v/>
      </c>
      <c r="AD65" s="3">
        <f>SUM($C61:AD61)</f>
        <v/>
      </c>
      <c r="AE65" s="3">
        <f>SUM($C61:AE61)</f>
        <v/>
      </c>
      <c r="AF65" s="3">
        <f>SUM($C61:AF61)</f>
        <v/>
      </c>
      <c r="AG65" s="3">
        <f>SUM($C61:AG61)</f>
        <v/>
      </c>
      <c r="AH65" s="3">
        <f>SUM($C61:AH61)</f>
        <v/>
      </c>
      <c r="AI65" s="3">
        <f>SUM($C61:AI61)</f>
        <v/>
      </c>
      <c r="AJ65" s="3">
        <f>SUM($C61:AJ61)</f>
        <v/>
      </c>
      <c r="AK65" s="3">
        <f>SUM($C61:AK61)</f>
        <v/>
      </c>
      <c r="AL65" s="3">
        <f>SUM($C61:AL61)</f>
        <v/>
      </c>
      <c r="AM65" s="3">
        <f>SUM($C61:AM61)</f>
        <v/>
      </c>
      <c r="AN65" s="3">
        <f>SUM($C61:AN61)</f>
        <v/>
      </c>
      <c r="AO65" s="3">
        <f>SUM($C61:AO61)</f>
        <v/>
      </c>
      <c r="AP65" s="3">
        <f>SUM($C61:AP61)</f>
        <v/>
      </c>
      <c r="AQ65" s="3">
        <f>SUM($C61:AQ61)</f>
        <v/>
      </c>
      <c r="AR65" s="3">
        <f>SUM($C61:AR61)</f>
        <v/>
      </c>
      <c r="AS65" s="3">
        <f>SUM($C61:AS61)</f>
        <v/>
      </c>
      <c r="AT65" s="3">
        <f>SUM($C61:AT61)</f>
        <v/>
      </c>
      <c r="AU65" s="3">
        <f>SUM($C61:AU61)</f>
        <v/>
      </c>
      <c r="AV65" s="3">
        <f>SUM($C61:AV61)</f>
        <v/>
      </c>
      <c r="AW65" s="3">
        <f>SUM($C61:AW61)</f>
        <v/>
      </c>
      <c r="AX65" s="3">
        <f>SUM($C61:AX61)</f>
        <v/>
      </c>
      <c r="AY65" s="3">
        <f>SUM($C61:AY61)</f>
        <v/>
      </c>
      <c r="AZ65" s="3">
        <f>SUM($C61:AZ61)</f>
        <v/>
      </c>
      <c r="BA65" s="3">
        <f>SUM($C61:BA61)</f>
        <v/>
      </c>
      <c r="BB65" s="3">
        <f>SUM($C61:BB61)</f>
        <v/>
      </c>
      <c r="BC65" s="3">
        <f>SUM($C61:BC61)</f>
        <v/>
      </c>
      <c r="BD65" s="3">
        <f>SUM($C61:BD61)</f>
        <v/>
      </c>
      <c r="BE65" s="3">
        <f>SUM($C61:BE61)</f>
        <v/>
      </c>
      <c r="BF65" s="3">
        <f>SUM($C61:BF61)</f>
        <v/>
      </c>
      <c r="BG65" s="3">
        <f>SUM($C61:BG61)</f>
        <v/>
      </c>
      <c r="BH65" s="3">
        <f>SUM($C61:BH61)</f>
        <v/>
      </c>
      <c r="BI65" s="3">
        <f>SUM($C61:BI61)</f>
        <v/>
      </c>
      <c r="BJ65" s="3">
        <f>SUM($C61:BJ61)</f>
        <v/>
      </c>
      <c r="BK65" s="3">
        <f>SUM($C61:BK61)</f>
        <v/>
      </c>
      <c r="BL65" s="3">
        <f>SUM($C61:BL61)</f>
        <v/>
      </c>
      <c r="BM65" s="3">
        <f>SUM($C61:BM61)</f>
        <v/>
      </c>
      <c r="BN65" s="3">
        <f>SUM($C61:BN61)</f>
        <v/>
      </c>
      <c r="BO65" s="3">
        <f>SUM($C61:BO61)</f>
        <v/>
      </c>
      <c r="BP65" s="3">
        <f>SUM($C61:BP61)</f>
        <v/>
      </c>
      <c r="BQ65" s="3">
        <f>SUM($C61:BQ61)</f>
        <v/>
      </c>
      <c r="BR65" s="3">
        <f>SUM($C61:BR61)</f>
        <v/>
      </c>
      <c r="BS65" s="3">
        <f>SUM($C61:BS61)</f>
        <v/>
      </c>
      <c r="BT65" s="3">
        <f>SUM($C61:BT61)</f>
        <v/>
      </c>
      <c r="BU65" s="3">
        <f>SUM($C61:BU61)</f>
        <v/>
      </c>
      <c r="BV65" s="3">
        <f>SUM($C61:BV61)</f>
        <v/>
      </c>
    </row>
    <row r="66">
      <c r="A66" t="inlineStr">
        <is>
          <t>trials active</t>
        </is>
      </c>
      <c r="B66" t="inlineStr">
        <is>
          <t>EUROPE|NITRO_A</t>
        </is>
      </c>
      <c r="C66" s="3">
        <f>C64-C65</f>
        <v/>
      </c>
      <c r="D66" s="3">
        <f>D64-D65</f>
        <v/>
      </c>
      <c r="E66" s="3">
        <f>E64-E65</f>
        <v/>
      </c>
      <c r="F66" s="3">
        <f>F64-F65</f>
        <v/>
      </c>
      <c r="G66" s="3">
        <f>G64-G65</f>
        <v/>
      </c>
      <c r="H66" s="3">
        <f>H64-H65</f>
        <v/>
      </c>
      <c r="I66" s="3">
        <f>I64-I65</f>
        <v/>
      </c>
      <c r="J66" s="3">
        <f>J64-J65</f>
        <v/>
      </c>
      <c r="K66" s="3">
        <f>K64-K65</f>
        <v/>
      </c>
      <c r="L66" s="3">
        <f>L64-L65</f>
        <v/>
      </c>
      <c r="M66" s="3">
        <f>M64-M65</f>
        <v/>
      </c>
      <c r="N66" s="3">
        <f>N64-N65</f>
        <v/>
      </c>
      <c r="O66" s="3">
        <f>O64-O65</f>
        <v/>
      </c>
      <c r="P66" s="3">
        <f>P64-P65</f>
        <v/>
      </c>
      <c r="Q66" s="3">
        <f>Q64-Q65</f>
        <v/>
      </c>
      <c r="R66" s="3">
        <f>R64-R65</f>
        <v/>
      </c>
      <c r="S66" s="3">
        <f>S64-S65</f>
        <v/>
      </c>
      <c r="T66" s="3">
        <f>T64-T65</f>
        <v/>
      </c>
      <c r="U66" s="3">
        <f>U64-U65</f>
        <v/>
      </c>
      <c r="V66" s="3">
        <f>V64-V65</f>
        <v/>
      </c>
      <c r="W66" s="3">
        <f>W64-W65</f>
        <v/>
      </c>
      <c r="X66" s="3">
        <f>X64-X65</f>
        <v/>
      </c>
      <c r="Y66" s="3">
        <f>Y64-Y65</f>
        <v/>
      </c>
      <c r="Z66" s="3">
        <f>Z64-Z65</f>
        <v/>
      </c>
      <c r="AA66" s="3">
        <f>AA64-AA65</f>
        <v/>
      </c>
      <c r="AB66" s="3">
        <f>AB64-AB65</f>
        <v/>
      </c>
      <c r="AC66" s="3">
        <f>AC64-AC65</f>
        <v/>
      </c>
      <c r="AD66" s="3">
        <f>AD64-AD65</f>
        <v/>
      </c>
      <c r="AE66" s="3">
        <f>AE64-AE65</f>
        <v/>
      </c>
      <c r="AF66" s="3">
        <f>AF64-AF65</f>
        <v/>
      </c>
      <c r="AG66" s="3">
        <f>AG64-AG65</f>
        <v/>
      </c>
      <c r="AH66" s="3">
        <f>AH64-AH65</f>
        <v/>
      </c>
      <c r="AI66" s="3">
        <f>AI64-AI65</f>
        <v/>
      </c>
      <c r="AJ66" s="3">
        <f>AJ64-AJ65</f>
        <v/>
      </c>
      <c r="AK66" s="3">
        <f>AK64-AK65</f>
        <v/>
      </c>
      <c r="AL66" s="3">
        <f>AL64-AL65</f>
        <v/>
      </c>
      <c r="AM66" s="3">
        <f>AM64-AM65</f>
        <v/>
      </c>
      <c r="AN66" s="3">
        <f>AN64-AN65</f>
        <v/>
      </c>
      <c r="AO66" s="3">
        <f>AO64-AO65</f>
        <v/>
      </c>
      <c r="AP66" s="3">
        <f>AP64-AP65</f>
        <v/>
      </c>
      <c r="AQ66" s="3">
        <f>AQ64-AQ65</f>
        <v/>
      </c>
      <c r="AR66" s="3">
        <f>AR64-AR65</f>
        <v/>
      </c>
      <c r="AS66" s="3">
        <f>AS64-AS65</f>
        <v/>
      </c>
      <c r="AT66" s="3">
        <f>AT64-AT65</f>
        <v/>
      </c>
      <c r="AU66" s="3">
        <f>AU64-AU65</f>
        <v/>
      </c>
      <c r="AV66" s="3">
        <f>AV64-AV65</f>
        <v/>
      </c>
      <c r="AW66" s="3">
        <f>AW64-AW65</f>
        <v/>
      </c>
      <c r="AX66" s="3">
        <f>AX64-AX65</f>
        <v/>
      </c>
      <c r="AY66" s="3">
        <f>AY64-AY65</f>
        <v/>
      </c>
      <c r="AZ66" s="3">
        <f>AZ64-AZ65</f>
        <v/>
      </c>
      <c r="BA66" s="3">
        <f>BA64-BA65</f>
        <v/>
      </c>
      <c r="BB66" s="3">
        <f>BB64-BB65</f>
        <v/>
      </c>
      <c r="BC66" s="3">
        <f>BC64-BC65</f>
        <v/>
      </c>
      <c r="BD66" s="3">
        <f>BD64-BD65</f>
        <v/>
      </c>
      <c r="BE66" s="3">
        <f>BE64-BE65</f>
        <v/>
      </c>
      <c r="BF66" s="3">
        <f>BF64-BF65</f>
        <v/>
      </c>
      <c r="BG66" s="3">
        <f>BG64-BG65</f>
        <v/>
      </c>
      <c r="BH66" s="3">
        <f>BH64-BH65</f>
        <v/>
      </c>
      <c r="BI66" s="3">
        <f>BI64-BI65</f>
        <v/>
      </c>
      <c r="BJ66" s="3">
        <f>BJ64-BJ65</f>
        <v/>
      </c>
      <c r="BK66" s="3">
        <f>BK64-BK65</f>
        <v/>
      </c>
      <c r="BL66" s="3">
        <f>BL64-BL65</f>
        <v/>
      </c>
      <c r="BM66" s="3">
        <f>BM64-BM65</f>
        <v/>
      </c>
      <c r="BN66" s="3">
        <f>BN64-BN65</f>
        <v/>
      </c>
      <c r="BO66" s="3">
        <f>BO64-BO65</f>
        <v/>
      </c>
      <c r="BP66" s="3">
        <f>BP64-BP65</f>
        <v/>
      </c>
      <c r="BQ66" s="3">
        <f>BQ64-BQ65</f>
        <v/>
      </c>
      <c r="BR66" s="3">
        <f>BR64-BR65</f>
        <v/>
      </c>
      <c r="BS66" s="3">
        <f>BS64-BS65</f>
        <v/>
      </c>
      <c r="BT66" s="3">
        <f>BT64-BT65</f>
        <v/>
      </c>
      <c r="BU66" s="3">
        <f>BU64-BU65</f>
        <v/>
      </c>
      <c r="BV66" s="3">
        <f>BV64-BV65</f>
        <v/>
      </c>
    </row>
    <row r="67">
      <c r="A67" t="inlineStr">
        <is>
          <t>paid starts</t>
        </is>
      </c>
      <c r="B67" t="inlineStr">
        <is>
          <t>EUROPE|NITRO_A</t>
        </is>
      </c>
      <c r="C67" s="3">
        <f>C60+C62</f>
        <v/>
      </c>
      <c r="D67" s="3">
        <f>D60+D62</f>
        <v/>
      </c>
      <c r="E67" s="3">
        <f>E60+E62</f>
        <v/>
      </c>
      <c r="F67" s="3">
        <f>F60+F62</f>
        <v/>
      </c>
      <c r="G67" s="3">
        <f>G60+G62</f>
        <v/>
      </c>
      <c r="H67" s="3">
        <f>H60+H62</f>
        <v/>
      </c>
      <c r="I67" s="3">
        <f>I60+I62</f>
        <v/>
      </c>
      <c r="J67" s="3">
        <f>J60+J62</f>
        <v/>
      </c>
      <c r="K67" s="3">
        <f>K60+K62</f>
        <v/>
      </c>
      <c r="L67" s="3">
        <f>L60+L62</f>
        <v/>
      </c>
      <c r="M67" s="3">
        <f>M60+M62</f>
        <v/>
      </c>
      <c r="N67" s="3">
        <f>N60+N62</f>
        <v/>
      </c>
      <c r="O67" s="3">
        <f>O60+O62</f>
        <v/>
      </c>
      <c r="P67" s="3">
        <f>P60+P62</f>
        <v/>
      </c>
      <c r="Q67" s="3">
        <f>Q60+Q62</f>
        <v/>
      </c>
      <c r="R67" s="3">
        <f>R60+R62</f>
        <v/>
      </c>
      <c r="S67" s="3">
        <f>S60+S62</f>
        <v/>
      </c>
      <c r="T67" s="3">
        <f>T60+T62</f>
        <v/>
      </c>
      <c r="U67" s="3">
        <f>U60+U62</f>
        <v/>
      </c>
      <c r="V67" s="3">
        <f>V60+V62</f>
        <v/>
      </c>
      <c r="W67" s="3">
        <f>W60+W62</f>
        <v/>
      </c>
      <c r="X67" s="3">
        <f>X60+X62</f>
        <v/>
      </c>
      <c r="Y67" s="3">
        <f>Y60+Y62</f>
        <v/>
      </c>
      <c r="Z67" s="3">
        <f>Z60+Z62</f>
        <v/>
      </c>
      <c r="AA67" s="3">
        <f>AA60+AA62</f>
        <v/>
      </c>
      <c r="AB67" s="3">
        <f>AB60+AB62</f>
        <v/>
      </c>
      <c r="AC67" s="3">
        <f>AC60+AC62</f>
        <v/>
      </c>
      <c r="AD67" s="3">
        <f>AD60+AD62</f>
        <v/>
      </c>
      <c r="AE67" s="3">
        <f>AE60+AE62</f>
        <v/>
      </c>
      <c r="AF67" s="3">
        <f>AF60+AF62</f>
        <v/>
      </c>
      <c r="AG67" s="3">
        <f>AG60+AG62</f>
        <v/>
      </c>
      <c r="AH67" s="3">
        <f>AH60+AH62</f>
        <v/>
      </c>
      <c r="AI67" s="3">
        <f>AI60+AI62</f>
        <v/>
      </c>
      <c r="AJ67" s="3">
        <f>AJ60+AJ62</f>
        <v/>
      </c>
      <c r="AK67" s="3">
        <f>AK60+AK62</f>
        <v/>
      </c>
      <c r="AL67" s="3">
        <f>AL60+AL62</f>
        <v/>
      </c>
      <c r="AM67" s="3">
        <f>AM60+AM62</f>
        <v/>
      </c>
      <c r="AN67" s="3">
        <f>AN60+AN62</f>
        <v/>
      </c>
      <c r="AO67" s="3">
        <f>AO60+AO62</f>
        <v/>
      </c>
      <c r="AP67" s="3">
        <f>AP60+AP62</f>
        <v/>
      </c>
      <c r="AQ67" s="3">
        <f>AQ60+AQ62</f>
        <v/>
      </c>
      <c r="AR67" s="3">
        <f>AR60+AR62</f>
        <v/>
      </c>
      <c r="AS67" s="3">
        <f>AS60+AS62</f>
        <v/>
      </c>
      <c r="AT67" s="3">
        <f>AT60+AT62</f>
        <v/>
      </c>
      <c r="AU67" s="3">
        <f>AU60+AU62</f>
        <v/>
      </c>
      <c r="AV67" s="3">
        <f>AV60+AV62</f>
        <v/>
      </c>
      <c r="AW67" s="3">
        <f>AW60+AW62</f>
        <v/>
      </c>
      <c r="AX67" s="3">
        <f>AX60+AX62</f>
        <v/>
      </c>
      <c r="AY67" s="3">
        <f>AY60+AY62</f>
        <v/>
      </c>
      <c r="AZ67" s="3">
        <f>AZ60+AZ62</f>
        <v/>
      </c>
      <c r="BA67" s="3">
        <f>BA60+BA62</f>
        <v/>
      </c>
      <c r="BB67" s="3">
        <f>BB60+BB62</f>
        <v/>
      </c>
      <c r="BC67" s="3">
        <f>BC60+BC62</f>
        <v/>
      </c>
      <c r="BD67" s="3">
        <f>BD60+BD62</f>
        <v/>
      </c>
      <c r="BE67" s="3">
        <f>BE60+BE62</f>
        <v/>
      </c>
      <c r="BF67" s="3">
        <f>BF60+BF62</f>
        <v/>
      </c>
      <c r="BG67" s="3">
        <f>BG60+BG62</f>
        <v/>
      </c>
      <c r="BH67" s="3">
        <f>BH60+BH62</f>
        <v/>
      </c>
      <c r="BI67" s="3">
        <f>BI60+BI62</f>
        <v/>
      </c>
      <c r="BJ67" s="3">
        <f>BJ60+BJ62</f>
        <v/>
      </c>
      <c r="BK67" s="3">
        <f>BK60+BK62</f>
        <v/>
      </c>
      <c r="BL67" s="3">
        <f>BL60+BL62</f>
        <v/>
      </c>
      <c r="BM67" s="3">
        <f>BM60+BM62</f>
        <v/>
      </c>
      <c r="BN67" s="3">
        <f>BN60+BN62</f>
        <v/>
      </c>
      <c r="BO67" s="3">
        <f>BO60+BO62</f>
        <v/>
      </c>
      <c r="BP67" s="3">
        <f>BP60+BP62</f>
        <v/>
      </c>
      <c r="BQ67" s="3">
        <f>BQ60+BQ62</f>
        <v/>
      </c>
      <c r="BR67" s="3">
        <f>BR60+BR62</f>
        <v/>
      </c>
      <c r="BS67" s="3">
        <f>BS60+BS62</f>
        <v/>
      </c>
      <c r="BT67" s="3">
        <f>BT60+BT62</f>
        <v/>
      </c>
      <c r="BU67" s="3">
        <f>BU60+BU62</f>
        <v/>
      </c>
      <c r="BV67" s="3">
        <f>BV60+BV62</f>
        <v/>
      </c>
    </row>
    <row r="69">
      <c r="A69" t="inlineStr">
        <is>
          <t>gross adds</t>
        </is>
      </c>
      <c r="B69" t="inlineStr">
        <is>
          <t>EUROPE|BASIC_M</t>
        </is>
      </c>
      <c r="C69" s="3">
        <f>MAU!C5*Params!$B$37*Params!$B$5*Params!$B$87*Params!$B$73</f>
        <v/>
      </c>
      <c r="D69" s="3">
        <f>MAU!D5*Params!$B$37*Params!$B$5*Params!$B$87*Params!$B$73</f>
        <v/>
      </c>
      <c r="E69" s="3">
        <f>MAU!E5*Params!$B$37*Params!$B$5*Params!$B$87*Params!$B$73</f>
        <v/>
      </c>
      <c r="F69" s="3">
        <f>MAU!F5*Params!$B$37*Params!$B$5*Params!$B$87*Params!$B$73</f>
        <v/>
      </c>
      <c r="G69" s="3">
        <f>MAU!G5*Params!$B$37*Params!$B$5*Params!$B$87*Params!$B$73</f>
        <v/>
      </c>
      <c r="H69" s="3">
        <f>MAU!H5*Params!$B$37*Params!$B$5*Params!$B$87*Params!$B$73</f>
        <v/>
      </c>
      <c r="I69" s="3">
        <f>MAU!I5*Params!$B$37*Params!$B$5*Params!$B$87*Params!$B$73</f>
        <v/>
      </c>
      <c r="J69" s="3">
        <f>MAU!J5*Params!$B$37*Params!$B$5*Params!$B$87*Params!$B$73</f>
        <v/>
      </c>
      <c r="K69" s="3">
        <f>MAU!K5*Params!$B$37*Params!$B$5*Params!$B$87*Params!$B$73</f>
        <v/>
      </c>
      <c r="L69" s="3">
        <f>MAU!L5*Params!$B$37*Params!$B$5*Params!$B$87*Params!$B$73</f>
        <v/>
      </c>
      <c r="M69" s="3">
        <f>MAU!M5*Params!$B$37*Params!$B$5*Params!$B$87*Params!$B$73</f>
        <v/>
      </c>
      <c r="N69" s="3">
        <f>MAU!N5*Params!$B$37*Params!$B$5*Params!$B$87*Params!$B$73</f>
        <v/>
      </c>
      <c r="O69" s="3">
        <f>MAU!O5*Params!$B$37*Params!$B$5*Params!$B$87*Params!$B$73</f>
        <v/>
      </c>
      <c r="P69" s="3">
        <f>MAU!P5*Params!$B$37*Params!$B$5*Params!$B$87*Params!$B$73</f>
        <v/>
      </c>
      <c r="Q69" s="3">
        <f>MAU!Q5*Params!$B$37*Params!$B$5*Params!$B$87*Params!$B$73</f>
        <v/>
      </c>
      <c r="R69" s="3">
        <f>MAU!R5*Params!$B$37*Params!$B$5*Params!$B$87*Params!$B$73</f>
        <v/>
      </c>
      <c r="S69" s="3">
        <f>MAU!S5*Params!$B$37*Params!$B$5*Params!$B$87*Params!$B$73</f>
        <v/>
      </c>
      <c r="T69" s="3">
        <f>MAU!T5*Params!$B$37*Params!$B$5*Params!$B$87*Params!$B$73</f>
        <v/>
      </c>
      <c r="U69" s="3">
        <f>MAU!U5*Params!$B$37*Params!$B$5*Params!$B$87*Params!$B$73</f>
        <v/>
      </c>
      <c r="V69" s="3">
        <f>MAU!V5*Params!$B$37*Params!$B$5*Params!$B$87*Params!$B$73</f>
        <v/>
      </c>
      <c r="W69" s="3">
        <f>MAU!W5*Params!$B$37*Params!$B$5*Params!$B$87*Params!$B$73</f>
        <v/>
      </c>
      <c r="X69" s="3">
        <f>MAU!X5*Params!$B$37*Params!$B$5*Params!$B$87*Params!$B$73</f>
        <v/>
      </c>
      <c r="Y69" s="3">
        <f>MAU!Y5*Params!$B$37*Params!$B$5*Params!$B$87*Params!$B$73</f>
        <v/>
      </c>
      <c r="Z69" s="3">
        <f>MAU!Z5*Params!$B$37*Params!$B$5*Params!$B$87*Params!$B$73</f>
        <v/>
      </c>
      <c r="AA69" s="3">
        <f>MAU!AA5*Params!$B$37*Params!$B$5*Params!$B$87*Params!$B$73</f>
        <v/>
      </c>
      <c r="AB69" s="3">
        <f>MAU!AB5*Params!$B$37*Params!$B$5*Params!$B$87*Params!$B$73</f>
        <v/>
      </c>
      <c r="AC69" s="3">
        <f>MAU!AC5*Params!$B$37*Params!$B$5*Params!$B$87*Params!$B$73</f>
        <v/>
      </c>
      <c r="AD69" s="3">
        <f>MAU!AD5*Params!$B$37*Params!$B$5*Params!$B$87*Params!$B$73</f>
        <v/>
      </c>
      <c r="AE69" s="3">
        <f>MAU!AE5*Params!$B$37*Params!$B$5*Params!$B$87*Params!$B$73</f>
        <v/>
      </c>
      <c r="AF69" s="3">
        <f>MAU!AF5*Params!$B$37*Params!$B$5*Params!$B$87*Params!$B$73</f>
        <v/>
      </c>
      <c r="AG69" s="3">
        <f>MAU!AG5*Params!$B$37*Params!$B$5*Params!$B$87*Params!$B$73</f>
        <v/>
      </c>
      <c r="AH69" s="3">
        <f>MAU!AH5*Params!$B$37*Params!$B$5*Params!$B$87*Params!$B$73</f>
        <v/>
      </c>
      <c r="AI69" s="3">
        <f>MAU!AI5*Params!$B$37*Params!$B$5*Params!$B$87*Params!$B$73</f>
        <v/>
      </c>
      <c r="AJ69" s="3">
        <f>MAU!AJ5*Params!$B$37*Params!$B$5*Params!$B$87*Params!$B$73</f>
        <v/>
      </c>
      <c r="AK69" s="3">
        <f>MAU!AK5*Params!$B$37*Params!$B$5*Params!$B$87*Params!$B$73</f>
        <v/>
      </c>
      <c r="AL69" s="3">
        <f>MAU!AL5*Params!$B$37*Params!$B$5*Params!$B$87*Params!$B$73</f>
        <v/>
      </c>
      <c r="AM69" s="3">
        <f>MAU!AM5*Params!$B$37*Params!$B$5*Params!$B$87*Params!$B$73</f>
        <v/>
      </c>
      <c r="AN69" s="3">
        <f>MAU!AN5*Params!$B$37*Params!$B$5*Params!$B$87*Params!$B$73</f>
        <v/>
      </c>
      <c r="AO69" s="3">
        <f>MAU!AO5*Params!$B$37*Params!$B$5*Params!$B$87*Params!$B$73</f>
        <v/>
      </c>
      <c r="AP69" s="3">
        <f>MAU!AP5*Params!$B$37*Params!$B$5*Params!$B$87*Params!$B$73</f>
        <v/>
      </c>
      <c r="AQ69" s="3">
        <f>MAU!AQ5*Params!$B$37*Params!$B$5*Params!$B$87*Params!$B$73</f>
        <v/>
      </c>
      <c r="AR69" s="3">
        <f>MAU!AR5*Params!$B$37*Params!$B$5*Params!$B$87*Params!$B$73</f>
        <v/>
      </c>
      <c r="AS69" s="3">
        <f>MAU!AS5*Params!$B$37*Params!$B$5*Params!$B$87*Params!$B$73</f>
        <v/>
      </c>
      <c r="AT69" s="3">
        <f>MAU!AT5*Params!$B$37*Params!$B$5*Params!$B$87*Params!$B$73</f>
        <v/>
      </c>
      <c r="AU69" s="3">
        <f>MAU!AU5*Params!$B$37*Params!$B$5*Params!$B$87*Params!$B$73</f>
        <v/>
      </c>
      <c r="AV69" s="3">
        <f>MAU!AV5*Params!$B$37*Params!$B$5*Params!$B$87*Params!$B$73</f>
        <v/>
      </c>
      <c r="AW69" s="3">
        <f>MAU!AW5*Params!$B$37*Params!$B$5*Params!$B$87*Params!$B$73</f>
        <v/>
      </c>
      <c r="AX69" s="3">
        <f>MAU!AX5*Params!$B$37*Params!$B$5*Params!$B$87*Params!$B$73</f>
        <v/>
      </c>
      <c r="AY69" s="3">
        <f>MAU!AY5*Params!$B$37*Params!$B$5*Params!$B$87*Params!$B$73</f>
        <v/>
      </c>
      <c r="AZ69" s="3">
        <f>MAU!AZ5*Params!$B$37*Params!$B$5*Params!$B$87*Params!$B$73</f>
        <v/>
      </c>
      <c r="BA69" s="3">
        <f>MAU!BA5*Params!$B$37*Params!$B$5*Params!$B$87*Params!$B$73</f>
        <v/>
      </c>
      <c r="BB69" s="3">
        <f>MAU!BB5*Params!$B$37*Params!$B$5*Params!$B$87*Params!$B$73</f>
        <v/>
      </c>
      <c r="BC69" s="3">
        <f>MAU!BC5*Params!$B$37*Params!$B$5*Params!$B$87*Params!$B$73</f>
        <v/>
      </c>
      <c r="BD69" s="3">
        <f>MAU!BD5*Params!$B$37*Params!$B$5*Params!$B$87*Params!$B$73</f>
        <v/>
      </c>
      <c r="BE69" s="3">
        <f>MAU!BE5*Params!$B$37*Params!$B$5*Params!$B$87*Params!$B$73</f>
        <v/>
      </c>
      <c r="BF69" s="3">
        <f>MAU!BF5*Params!$B$37*Params!$B$5*Params!$B$87*Params!$B$73</f>
        <v/>
      </c>
      <c r="BG69" s="3">
        <f>MAU!BG5*Params!$B$37*Params!$B$5*Params!$B$87*Params!$B$73</f>
        <v/>
      </c>
      <c r="BH69" s="3">
        <f>MAU!BH5*Params!$B$37*Params!$B$5*Params!$B$87*Params!$B$73</f>
        <v/>
      </c>
      <c r="BI69" s="3">
        <f>MAU!BI5*Params!$B$37*Params!$B$5*Params!$B$87*Params!$B$73</f>
        <v/>
      </c>
      <c r="BJ69" s="3">
        <f>MAU!BJ5*Params!$B$37*Params!$B$5*Params!$B$87*Params!$B$73</f>
        <v/>
      </c>
      <c r="BK69" s="3">
        <f>MAU!BK5*Params!$B$37*Params!$B$5*Params!$B$87*Params!$B$73</f>
        <v/>
      </c>
      <c r="BL69" s="3">
        <f>MAU!BL5*Params!$B$37*Params!$B$5*Params!$B$87*Params!$B$73</f>
        <v/>
      </c>
      <c r="BM69" s="3">
        <f>MAU!BM5*Params!$B$37*Params!$B$5*Params!$B$87*Params!$B$73</f>
        <v/>
      </c>
      <c r="BN69" s="3">
        <f>MAU!BN5*Params!$B$37*Params!$B$5*Params!$B$87*Params!$B$73</f>
        <v/>
      </c>
      <c r="BO69" s="3">
        <f>MAU!BO5*Params!$B$37*Params!$B$5*Params!$B$87*Params!$B$73</f>
        <v/>
      </c>
      <c r="BP69" s="3">
        <f>MAU!BP5*Params!$B$37*Params!$B$5*Params!$B$87*Params!$B$73</f>
        <v/>
      </c>
      <c r="BQ69" s="3">
        <f>MAU!BQ5*Params!$B$37*Params!$B$5*Params!$B$87*Params!$B$73</f>
        <v/>
      </c>
      <c r="BR69" s="3">
        <f>MAU!BR5*Params!$B$37*Params!$B$5*Params!$B$87*Params!$B$73</f>
        <v/>
      </c>
      <c r="BS69" s="3">
        <f>MAU!BS5*Params!$B$37*Params!$B$5*Params!$B$87*Params!$B$73</f>
        <v/>
      </c>
      <c r="BT69" s="3">
        <f>MAU!BT5*Params!$B$37*Params!$B$5*Params!$B$87*Params!$B$73</f>
        <v/>
      </c>
      <c r="BU69" s="3">
        <f>MAU!BU5*Params!$B$37*Params!$B$5*Params!$B$87*Params!$B$73</f>
        <v/>
      </c>
      <c r="BV69" s="3">
        <f>MAU!BV5*Params!$B$37*Params!$B$5*Params!$B$87*Params!$B$73</f>
        <v/>
      </c>
    </row>
    <row r="70">
      <c r="A70" t="inlineStr">
        <is>
          <t>trial starts</t>
        </is>
      </c>
      <c r="B70" t="inlineStr">
        <is>
          <t>EUROPE|BASIC_M</t>
        </is>
      </c>
      <c r="C70" s="3">
        <f>C69*Params!$B$6</f>
        <v/>
      </c>
      <c r="D70" s="3">
        <f>D69*Params!$B$6</f>
        <v/>
      </c>
      <c r="E70" s="3">
        <f>E69*Params!$B$6</f>
        <v/>
      </c>
      <c r="F70" s="3">
        <f>F69*Params!$B$6</f>
        <v/>
      </c>
      <c r="G70" s="3">
        <f>G69*Params!$B$6</f>
        <v/>
      </c>
      <c r="H70" s="3">
        <f>H69*Params!$B$6</f>
        <v/>
      </c>
      <c r="I70" s="3">
        <f>I69*Params!$B$6</f>
        <v/>
      </c>
      <c r="J70" s="3">
        <f>J69*Params!$B$6</f>
        <v/>
      </c>
      <c r="K70" s="3">
        <f>K69*Params!$B$6</f>
        <v/>
      </c>
      <c r="L70" s="3">
        <f>L69*Params!$B$6</f>
        <v/>
      </c>
      <c r="M70" s="3">
        <f>M69*Params!$B$6</f>
        <v/>
      </c>
      <c r="N70" s="3">
        <f>N69*Params!$B$6</f>
        <v/>
      </c>
      <c r="O70" s="3">
        <f>O69*Params!$B$6</f>
        <v/>
      </c>
      <c r="P70" s="3">
        <f>P69*Params!$B$6</f>
        <v/>
      </c>
      <c r="Q70" s="3">
        <f>Q69*Params!$B$6</f>
        <v/>
      </c>
      <c r="R70" s="3">
        <f>R69*Params!$B$6</f>
        <v/>
      </c>
      <c r="S70" s="3">
        <f>S69*Params!$B$6</f>
        <v/>
      </c>
      <c r="T70" s="3">
        <f>T69*Params!$B$6</f>
        <v/>
      </c>
      <c r="U70" s="3">
        <f>U69*Params!$B$6</f>
        <v/>
      </c>
      <c r="V70" s="3">
        <f>V69*Params!$B$6</f>
        <v/>
      </c>
      <c r="W70" s="3">
        <f>W69*Params!$B$6</f>
        <v/>
      </c>
      <c r="X70" s="3">
        <f>X69*Params!$B$6</f>
        <v/>
      </c>
      <c r="Y70" s="3">
        <f>Y69*Params!$B$6</f>
        <v/>
      </c>
      <c r="Z70" s="3">
        <f>Z69*Params!$B$6</f>
        <v/>
      </c>
      <c r="AA70" s="3">
        <f>AA69*Params!$B$6</f>
        <v/>
      </c>
      <c r="AB70" s="3">
        <f>AB69*Params!$B$6</f>
        <v/>
      </c>
      <c r="AC70" s="3">
        <f>AC69*Params!$B$6</f>
        <v/>
      </c>
      <c r="AD70" s="3">
        <f>AD69*Params!$B$6</f>
        <v/>
      </c>
      <c r="AE70" s="3">
        <f>AE69*Params!$B$6</f>
        <v/>
      </c>
      <c r="AF70" s="3">
        <f>AF69*Params!$B$6</f>
        <v/>
      </c>
      <c r="AG70" s="3">
        <f>AG69*Params!$B$6</f>
        <v/>
      </c>
      <c r="AH70" s="3">
        <f>AH69*Params!$B$6</f>
        <v/>
      </c>
      <c r="AI70" s="3">
        <f>AI69*Params!$B$6</f>
        <v/>
      </c>
      <c r="AJ70" s="3">
        <f>AJ69*Params!$B$6</f>
        <v/>
      </c>
      <c r="AK70" s="3">
        <f>AK69*Params!$B$6</f>
        <v/>
      </c>
      <c r="AL70" s="3">
        <f>AL69*Params!$B$6</f>
        <v/>
      </c>
      <c r="AM70" s="3">
        <f>AM69*Params!$B$6</f>
        <v/>
      </c>
      <c r="AN70" s="3">
        <f>AN69*Params!$B$6</f>
        <v/>
      </c>
      <c r="AO70" s="3">
        <f>AO69*Params!$B$6</f>
        <v/>
      </c>
      <c r="AP70" s="3">
        <f>AP69*Params!$B$6</f>
        <v/>
      </c>
      <c r="AQ70" s="3">
        <f>AQ69*Params!$B$6</f>
        <v/>
      </c>
      <c r="AR70" s="3">
        <f>AR69*Params!$B$6</f>
        <v/>
      </c>
      <c r="AS70" s="3">
        <f>AS69*Params!$B$6</f>
        <v/>
      </c>
      <c r="AT70" s="3">
        <f>AT69*Params!$B$6</f>
        <v/>
      </c>
      <c r="AU70" s="3">
        <f>AU69*Params!$B$6</f>
        <v/>
      </c>
      <c r="AV70" s="3">
        <f>AV69*Params!$B$6</f>
        <v/>
      </c>
      <c r="AW70" s="3">
        <f>AW69*Params!$B$6</f>
        <v/>
      </c>
      <c r="AX70" s="3">
        <f>AX69*Params!$B$6</f>
        <v/>
      </c>
      <c r="AY70" s="3">
        <f>AY69*Params!$B$6</f>
        <v/>
      </c>
      <c r="AZ70" s="3">
        <f>AZ69*Params!$B$6</f>
        <v/>
      </c>
      <c r="BA70" s="3">
        <f>BA69*Params!$B$6</f>
        <v/>
      </c>
      <c r="BB70" s="3">
        <f>BB69*Params!$B$6</f>
        <v/>
      </c>
      <c r="BC70" s="3">
        <f>BC69*Params!$B$6</f>
        <v/>
      </c>
      <c r="BD70" s="3">
        <f>BD69*Params!$B$6</f>
        <v/>
      </c>
      <c r="BE70" s="3">
        <f>BE69*Params!$B$6</f>
        <v/>
      </c>
      <c r="BF70" s="3">
        <f>BF69*Params!$B$6</f>
        <v/>
      </c>
      <c r="BG70" s="3">
        <f>BG69*Params!$B$6</f>
        <v/>
      </c>
      <c r="BH70" s="3">
        <f>BH69*Params!$B$6</f>
        <v/>
      </c>
      <c r="BI70" s="3">
        <f>BI69*Params!$B$6</f>
        <v/>
      </c>
      <c r="BJ70" s="3">
        <f>BJ69*Params!$B$6</f>
        <v/>
      </c>
      <c r="BK70" s="3">
        <f>BK69*Params!$B$6</f>
        <v/>
      </c>
      <c r="BL70" s="3">
        <f>BL69*Params!$B$6</f>
        <v/>
      </c>
      <c r="BM70" s="3">
        <f>BM69*Params!$B$6</f>
        <v/>
      </c>
      <c r="BN70" s="3">
        <f>BN69*Params!$B$6</f>
        <v/>
      </c>
      <c r="BO70" s="3">
        <f>BO69*Params!$B$6</f>
        <v/>
      </c>
      <c r="BP70" s="3">
        <f>BP69*Params!$B$6</f>
        <v/>
      </c>
      <c r="BQ70" s="3">
        <f>BQ69*Params!$B$6</f>
        <v/>
      </c>
      <c r="BR70" s="3">
        <f>BR69*Params!$B$6</f>
        <v/>
      </c>
      <c r="BS70" s="3">
        <f>BS69*Params!$B$6</f>
        <v/>
      </c>
      <c r="BT70" s="3">
        <f>BT69*Params!$B$6</f>
        <v/>
      </c>
      <c r="BU70" s="3">
        <f>BU69*Params!$B$6</f>
        <v/>
      </c>
      <c r="BV70" s="3">
        <f>BV69*Params!$B$6</f>
        <v/>
      </c>
    </row>
    <row r="71">
      <c r="A71" t="inlineStr">
        <is>
          <t>direct paid starts</t>
        </is>
      </c>
      <c r="B71" t="inlineStr">
        <is>
          <t>EUROPE|BASIC_M</t>
        </is>
      </c>
      <c r="C71" s="3">
        <f>C69-C70</f>
        <v/>
      </c>
      <c r="D71" s="3">
        <f>D69-D70</f>
        <v/>
      </c>
      <c r="E71" s="3">
        <f>E69-E70</f>
        <v/>
      </c>
      <c r="F71" s="3">
        <f>F69-F70</f>
        <v/>
      </c>
      <c r="G71" s="3">
        <f>G69-G70</f>
        <v/>
      </c>
      <c r="H71" s="3">
        <f>H69-H70</f>
        <v/>
      </c>
      <c r="I71" s="3">
        <f>I69-I70</f>
        <v/>
      </c>
      <c r="J71" s="3">
        <f>J69-J70</f>
        <v/>
      </c>
      <c r="K71" s="3">
        <f>K69-K70</f>
        <v/>
      </c>
      <c r="L71" s="3">
        <f>L69-L70</f>
        <v/>
      </c>
      <c r="M71" s="3">
        <f>M69-M70</f>
        <v/>
      </c>
      <c r="N71" s="3">
        <f>N69-N70</f>
        <v/>
      </c>
      <c r="O71" s="3">
        <f>O69-O70</f>
        <v/>
      </c>
      <c r="P71" s="3">
        <f>P69-P70</f>
        <v/>
      </c>
      <c r="Q71" s="3">
        <f>Q69-Q70</f>
        <v/>
      </c>
      <c r="R71" s="3">
        <f>R69-R70</f>
        <v/>
      </c>
      <c r="S71" s="3">
        <f>S69-S70</f>
        <v/>
      </c>
      <c r="T71" s="3">
        <f>T69-T70</f>
        <v/>
      </c>
      <c r="U71" s="3">
        <f>U69-U70</f>
        <v/>
      </c>
      <c r="V71" s="3">
        <f>V69-V70</f>
        <v/>
      </c>
      <c r="W71" s="3">
        <f>W69-W70</f>
        <v/>
      </c>
      <c r="X71" s="3">
        <f>X69-X70</f>
        <v/>
      </c>
      <c r="Y71" s="3">
        <f>Y69-Y70</f>
        <v/>
      </c>
      <c r="Z71" s="3">
        <f>Z69-Z70</f>
        <v/>
      </c>
      <c r="AA71" s="3">
        <f>AA69-AA70</f>
        <v/>
      </c>
      <c r="AB71" s="3">
        <f>AB69-AB70</f>
        <v/>
      </c>
      <c r="AC71" s="3">
        <f>AC69-AC70</f>
        <v/>
      </c>
      <c r="AD71" s="3">
        <f>AD69-AD70</f>
        <v/>
      </c>
      <c r="AE71" s="3">
        <f>AE69-AE70</f>
        <v/>
      </c>
      <c r="AF71" s="3">
        <f>AF69-AF70</f>
        <v/>
      </c>
      <c r="AG71" s="3">
        <f>AG69-AG70</f>
        <v/>
      </c>
      <c r="AH71" s="3">
        <f>AH69-AH70</f>
        <v/>
      </c>
      <c r="AI71" s="3">
        <f>AI69-AI70</f>
        <v/>
      </c>
      <c r="AJ71" s="3">
        <f>AJ69-AJ70</f>
        <v/>
      </c>
      <c r="AK71" s="3">
        <f>AK69-AK70</f>
        <v/>
      </c>
      <c r="AL71" s="3">
        <f>AL69-AL70</f>
        <v/>
      </c>
      <c r="AM71" s="3">
        <f>AM69-AM70</f>
        <v/>
      </c>
      <c r="AN71" s="3">
        <f>AN69-AN70</f>
        <v/>
      </c>
      <c r="AO71" s="3">
        <f>AO69-AO70</f>
        <v/>
      </c>
      <c r="AP71" s="3">
        <f>AP69-AP70</f>
        <v/>
      </c>
      <c r="AQ71" s="3">
        <f>AQ69-AQ70</f>
        <v/>
      </c>
      <c r="AR71" s="3">
        <f>AR69-AR70</f>
        <v/>
      </c>
      <c r="AS71" s="3">
        <f>AS69-AS70</f>
        <v/>
      </c>
      <c r="AT71" s="3">
        <f>AT69-AT70</f>
        <v/>
      </c>
      <c r="AU71" s="3">
        <f>AU69-AU70</f>
        <v/>
      </c>
      <c r="AV71" s="3">
        <f>AV69-AV70</f>
        <v/>
      </c>
      <c r="AW71" s="3">
        <f>AW69-AW70</f>
        <v/>
      </c>
      <c r="AX71" s="3">
        <f>AX69-AX70</f>
        <v/>
      </c>
      <c r="AY71" s="3">
        <f>AY69-AY70</f>
        <v/>
      </c>
      <c r="AZ71" s="3">
        <f>AZ69-AZ70</f>
        <v/>
      </c>
      <c r="BA71" s="3">
        <f>BA69-BA70</f>
        <v/>
      </c>
      <c r="BB71" s="3">
        <f>BB69-BB70</f>
        <v/>
      </c>
      <c r="BC71" s="3">
        <f>BC69-BC70</f>
        <v/>
      </c>
      <c r="BD71" s="3">
        <f>BD69-BD70</f>
        <v/>
      </c>
      <c r="BE71" s="3">
        <f>BE69-BE70</f>
        <v/>
      </c>
      <c r="BF71" s="3">
        <f>BF69-BF70</f>
        <v/>
      </c>
      <c r="BG71" s="3">
        <f>BG69-BG70</f>
        <v/>
      </c>
      <c r="BH71" s="3">
        <f>BH69-BH70</f>
        <v/>
      </c>
      <c r="BI71" s="3">
        <f>BI69-BI70</f>
        <v/>
      </c>
      <c r="BJ71" s="3">
        <f>BJ69-BJ70</f>
        <v/>
      </c>
      <c r="BK71" s="3">
        <f>BK69-BK70</f>
        <v/>
      </c>
      <c r="BL71" s="3">
        <f>BL69-BL70</f>
        <v/>
      </c>
      <c r="BM71" s="3">
        <f>BM69-BM70</f>
        <v/>
      </c>
      <c r="BN71" s="3">
        <f>BN69-BN70</f>
        <v/>
      </c>
      <c r="BO71" s="3">
        <f>BO69-BO70</f>
        <v/>
      </c>
      <c r="BP71" s="3">
        <f>BP69-BP70</f>
        <v/>
      </c>
      <c r="BQ71" s="3">
        <f>BQ69-BQ70</f>
        <v/>
      </c>
      <c r="BR71" s="3">
        <f>BR69-BR70</f>
        <v/>
      </c>
      <c r="BS71" s="3">
        <f>BS69-BS70</f>
        <v/>
      </c>
      <c r="BT71" s="3">
        <f>BT69-BT70</f>
        <v/>
      </c>
      <c r="BU71" s="3">
        <f>BU69-BU70</f>
        <v/>
      </c>
      <c r="BV71" s="3">
        <f>BV69-BV70</f>
        <v/>
      </c>
    </row>
    <row r="72">
      <c r="A72" t="inlineStr">
        <is>
          <t>trials ending</t>
        </is>
      </c>
      <c r="B72" t="inlineStr">
        <is>
          <t>EUROPE|BASIC_M</t>
        </is>
      </c>
      <c r="C72" s="3">
        <f>IF(C$2&gt;=Params!$B$7,INDEX($C$70:$BV$70,C$2-Params!$B$7+1),0)</f>
        <v/>
      </c>
      <c r="D72" s="3">
        <f>IF(D$2&gt;=Params!$B$7,INDEX($C$70:$BV$70,D$2-Params!$B$7+1),0)</f>
        <v/>
      </c>
      <c r="E72" s="3">
        <f>IF(E$2&gt;=Params!$B$7,INDEX($C$70:$BV$70,E$2-Params!$B$7+1),0)</f>
        <v/>
      </c>
      <c r="F72" s="3">
        <f>IF(F$2&gt;=Params!$B$7,INDEX($C$70:$BV$70,F$2-Params!$B$7+1),0)</f>
        <v/>
      </c>
      <c r="G72" s="3">
        <f>IF(G$2&gt;=Params!$B$7,INDEX($C$70:$BV$70,G$2-Params!$B$7+1),0)</f>
        <v/>
      </c>
      <c r="H72" s="3">
        <f>IF(H$2&gt;=Params!$B$7,INDEX($C$70:$BV$70,H$2-Params!$B$7+1),0)</f>
        <v/>
      </c>
      <c r="I72" s="3">
        <f>IF(I$2&gt;=Params!$B$7,INDEX($C$70:$BV$70,I$2-Params!$B$7+1),0)</f>
        <v/>
      </c>
      <c r="J72" s="3">
        <f>IF(J$2&gt;=Params!$B$7,INDEX($C$70:$BV$70,J$2-Params!$B$7+1),0)</f>
        <v/>
      </c>
      <c r="K72" s="3">
        <f>IF(K$2&gt;=Params!$B$7,INDEX($C$70:$BV$70,K$2-Params!$B$7+1),0)</f>
        <v/>
      </c>
      <c r="L72" s="3">
        <f>IF(L$2&gt;=Params!$B$7,INDEX($C$70:$BV$70,L$2-Params!$B$7+1),0)</f>
        <v/>
      </c>
      <c r="M72" s="3">
        <f>IF(M$2&gt;=Params!$B$7,INDEX($C$70:$BV$70,M$2-Params!$B$7+1),0)</f>
        <v/>
      </c>
      <c r="N72" s="3">
        <f>IF(N$2&gt;=Params!$B$7,INDEX($C$70:$BV$70,N$2-Params!$B$7+1),0)</f>
        <v/>
      </c>
      <c r="O72" s="3">
        <f>IF(O$2&gt;=Params!$B$7,INDEX($C$70:$BV$70,O$2-Params!$B$7+1),0)</f>
        <v/>
      </c>
      <c r="P72" s="3">
        <f>IF(P$2&gt;=Params!$B$7,INDEX($C$70:$BV$70,P$2-Params!$B$7+1),0)</f>
        <v/>
      </c>
      <c r="Q72" s="3">
        <f>IF(Q$2&gt;=Params!$B$7,INDEX($C$70:$BV$70,Q$2-Params!$B$7+1),0)</f>
        <v/>
      </c>
      <c r="R72" s="3">
        <f>IF(R$2&gt;=Params!$B$7,INDEX($C$70:$BV$70,R$2-Params!$B$7+1),0)</f>
        <v/>
      </c>
      <c r="S72" s="3">
        <f>IF(S$2&gt;=Params!$B$7,INDEX($C$70:$BV$70,S$2-Params!$B$7+1),0)</f>
        <v/>
      </c>
      <c r="T72" s="3">
        <f>IF(T$2&gt;=Params!$B$7,INDEX($C$70:$BV$70,T$2-Params!$B$7+1),0)</f>
        <v/>
      </c>
      <c r="U72" s="3">
        <f>IF(U$2&gt;=Params!$B$7,INDEX($C$70:$BV$70,U$2-Params!$B$7+1),0)</f>
        <v/>
      </c>
      <c r="V72" s="3">
        <f>IF(V$2&gt;=Params!$B$7,INDEX($C$70:$BV$70,V$2-Params!$B$7+1),0)</f>
        <v/>
      </c>
      <c r="W72" s="3">
        <f>IF(W$2&gt;=Params!$B$7,INDEX($C$70:$BV$70,W$2-Params!$B$7+1),0)</f>
        <v/>
      </c>
      <c r="X72" s="3">
        <f>IF(X$2&gt;=Params!$B$7,INDEX($C$70:$BV$70,X$2-Params!$B$7+1),0)</f>
        <v/>
      </c>
      <c r="Y72" s="3">
        <f>IF(Y$2&gt;=Params!$B$7,INDEX($C$70:$BV$70,Y$2-Params!$B$7+1),0)</f>
        <v/>
      </c>
      <c r="Z72" s="3">
        <f>IF(Z$2&gt;=Params!$B$7,INDEX($C$70:$BV$70,Z$2-Params!$B$7+1),0)</f>
        <v/>
      </c>
      <c r="AA72" s="3">
        <f>IF(AA$2&gt;=Params!$B$7,INDEX($C$70:$BV$70,AA$2-Params!$B$7+1),0)</f>
        <v/>
      </c>
      <c r="AB72" s="3">
        <f>IF(AB$2&gt;=Params!$B$7,INDEX($C$70:$BV$70,AB$2-Params!$B$7+1),0)</f>
        <v/>
      </c>
      <c r="AC72" s="3">
        <f>IF(AC$2&gt;=Params!$B$7,INDEX($C$70:$BV$70,AC$2-Params!$B$7+1),0)</f>
        <v/>
      </c>
      <c r="AD72" s="3">
        <f>IF(AD$2&gt;=Params!$B$7,INDEX($C$70:$BV$70,AD$2-Params!$B$7+1),0)</f>
        <v/>
      </c>
      <c r="AE72" s="3">
        <f>IF(AE$2&gt;=Params!$B$7,INDEX($C$70:$BV$70,AE$2-Params!$B$7+1),0)</f>
        <v/>
      </c>
      <c r="AF72" s="3">
        <f>IF(AF$2&gt;=Params!$B$7,INDEX($C$70:$BV$70,AF$2-Params!$B$7+1),0)</f>
        <v/>
      </c>
      <c r="AG72" s="3">
        <f>IF(AG$2&gt;=Params!$B$7,INDEX($C$70:$BV$70,AG$2-Params!$B$7+1),0)</f>
        <v/>
      </c>
      <c r="AH72" s="3">
        <f>IF(AH$2&gt;=Params!$B$7,INDEX($C$70:$BV$70,AH$2-Params!$B$7+1),0)</f>
        <v/>
      </c>
      <c r="AI72" s="3">
        <f>IF(AI$2&gt;=Params!$B$7,INDEX($C$70:$BV$70,AI$2-Params!$B$7+1),0)</f>
        <v/>
      </c>
      <c r="AJ72" s="3">
        <f>IF(AJ$2&gt;=Params!$B$7,INDEX($C$70:$BV$70,AJ$2-Params!$B$7+1),0)</f>
        <v/>
      </c>
      <c r="AK72" s="3">
        <f>IF(AK$2&gt;=Params!$B$7,INDEX($C$70:$BV$70,AK$2-Params!$B$7+1),0)</f>
        <v/>
      </c>
      <c r="AL72" s="3">
        <f>IF(AL$2&gt;=Params!$B$7,INDEX($C$70:$BV$70,AL$2-Params!$B$7+1),0)</f>
        <v/>
      </c>
      <c r="AM72" s="3">
        <f>IF(AM$2&gt;=Params!$B$7,INDEX($C$70:$BV$70,AM$2-Params!$B$7+1),0)</f>
        <v/>
      </c>
      <c r="AN72" s="3">
        <f>IF(AN$2&gt;=Params!$B$7,INDEX($C$70:$BV$70,AN$2-Params!$B$7+1),0)</f>
        <v/>
      </c>
      <c r="AO72" s="3">
        <f>IF(AO$2&gt;=Params!$B$7,INDEX($C$70:$BV$70,AO$2-Params!$B$7+1),0)</f>
        <v/>
      </c>
      <c r="AP72" s="3">
        <f>IF(AP$2&gt;=Params!$B$7,INDEX($C$70:$BV$70,AP$2-Params!$B$7+1),0)</f>
        <v/>
      </c>
      <c r="AQ72" s="3">
        <f>IF(AQ$2&gt;=Params!$B$7,INDEX($C$70:$BV$70,AQ$2-Params!$B$7+1),0)</f>
        <v/>
      </c>
      <c r="AR72" s="3">
        <f>IF(AR$2&gt;=Params!$B$7,INDEX($C$70:$BV$70,AR$2-Params!$B$7+1),0)</f>
        <v/>
      </c>
      <c r="AS72" s="3">
        <f>IF(AS$2&gt;=Params!$B$7,INDEX($C$70:$BV$70,AS$2-Params!$B$7+1),0)</f>
        <v/>
      </c>
      <c r="AT72" s="3">
        <f>IF(AT$2&gt;=Params!$B$7,INDEX($C$70:$BV$70,AT$2-Params!$B$7+1),0)</f>
        <v/>
      </c>
      <c r="AU72" s="3">
        <f>IF(AU$2&gt;=Params!$B$7,INDEX($C$70:$BV$70,AU$2-Params!$B$7+1),0)</f>
        <v/>
      </c>
      <c r="AV72" s="3">
        <f>IF(AV$2&gt;=Params!$B$7,INDEX($C$70:$BV$70,AV$2-Params!$B$7+1),0)</f>
        <v/>
      </c>
      <c r="AW72" s="3">
        <f>IF(AW$2&gt;=Params!$B$7,INDEX($C$70:$BV$70,AW$2-Params!$B$7+1),0)</f>
        <v/>
      </c>
      <c r="AX72" s="3">
        <f>IF(AX$2&gt;=Params!$B$7,INDEX($C$70:$BV$70,AX$2-Params!$B$7+1),0)</f>
        <v/>
      </c>
      <c r="AY72" s="3">
        <f>IF(AY$2&gt;=Params!$B$7,INDEX($C$70:$BV$70,AY$2-Params!$B$7+1),0)</f>
        <v/>
      </c>
      <c r="AZ72" s="3">
        <f>IF(AZ$2&gt;=Params!$B$7,INDEX($C$70:$BV$70,AZ$2-Params!$B$7+1),0)</f>
        <v/>
      </c>
      <c r="BA72" s="3">
        <f>IF(BA$2&gt;=Params!$B$7,INDEX($C$70:$BV$70,BA$2-Params!$B$7+1),0)</f>
        <v/>
      </c>
      <c r="BB72" s="3">
        <f>IF(BB$2&gt;=Params!$B$7,INDEX($C$70:$BV$70,BB$2-Params!$B$7+1),0)</f>
        <v/>
      </c>
      <c r="BC72" s="3">
        <f>IF(BC$2&gt;=Params!$B$7,INDEX($C$70:$BV$70,BC$2-Params!$B$7+1),0)</f>
        <v/>
      </c>
      <c r="BD72" s="3">
        <f>IF(BD$2&gt;=Params!$B$7,INDEX($C$70:$BV$70,BD$2-Params!$B$7+1),0)</f>
        <v/>
      </c>
      <c r="BE72" s="3">
        <f>IF(BE$2&gt;=Params!$B$7,INDEX($C$70:$BV$70,BE$2-Params!$B$7+1),0)</f>
        <v/>
      </c>
      <c r="BF72" s="3">
        <f>IF(BF$2&gt;=Params!$B$7,INDEX($C$70:$BV$70,BF$2-Params!$B$7+1),0)</f>
        <v/>
      </c>
      <c r="BG72" s="3">
        <f>IF(BG$2&gt;=Params!$B$7,INDEX($C$70:$BV$70,BG$2-Params!$B$7+1),0)</f>
        <v/>
      </c>
      <c r="BH72" s="3">
        <f>IF(BH$2&gt;=Params!$B$7,INDEX($C$70:$BV$70,BH$2-Params!$B$7+1),0)</f>
        <v/>
      </c>
      <c r="BI72" s="3">
        <f>IF(BI$2&gt;=Params!$B$7,INDEX($C$70:$BV$70,BI$2-Params!$B$7+1),0)</f>
        <v/>
      </c>
      <c r="BJ72" s="3">
        <f>IF(BJ$2&gt;=Params!$B$7,INDEX($C$70:$BV$70,BJ$2-Params!$B$7+1),0)</f>
        <v/>
      </c>
      <c r="BK72" s="3">
        <f>IF(BK$2&gt;=Params!$B$7,INDEX($C$70:$BV$70,BK$2-Params!$B$7+1),0)</f>
        <v/>
      </c>
      <c r="BL72" s="3">
        <f>IF(BL$2&gt;=Params!$B$7,INDEX($C$70:$BV$70,BL$2-Params!$B$7+1),0)</f>
        <v/>
      </c>
      <c r="BM72" s="3">
        <f>IF(BM$2&gt;=Params!$B$7,INDEX($C$70:$BV$70,BM$2-Params!$B$7+1),0)</f>
        <v/>
      </c>
      <c r="BN72" s="3">
        <f>IF(BN$2&gt;=Params!$B$7,INDEX($C$70:$BV$70,BN$2-Params!$B$7+1),0)</f>
        <v/>
      </c>
      <c r="BO72" s="3">
        <f>IF(BO$2&gt;=Params!$B$7,INDEX($C$70:$BV$70,BO$2-Params!$B$7+1),0)</f>
        <v/>
      </c>
      <c r="BP72" s="3">
        <f>IF(BP$2&gt;=Params!$B$7,INDEX($C$70:$BV$70,BP$2-Params!$B$7+1),0)</f>
        <v/>
      </c>
      <c r="BQ72" s="3">
        <f>IF(BQ$2&gt;=Params!$B$7,INDEX($C$70:$BV$70,BQ$2-Params!$B$7+1),0)</f>
        <v/>
      </c>
      <c r="BR72" s="3">
        <f>IF(BR$2&gt;=Params!$B$7,INDEX($C$70:$BV$70,BR$2-Params!$B$7+1),0)</f>
        <v/>
      </c>
      <c r="BS72" s="3">
        <f>IF(BS$2&gt;=Params!$B$7,INDEX($C$70:$BV$70,BS$2-Params!$B$7+1),0)</f>
        <v/>
      </c>
      <c r="BT72" s="3">
        <f>IF(BT$2&gt;=Params!$B$7,INDEX($C$70:$BV$70,BT$2-Params!$B$7+1),0)</f>
        <v/>
      </c>
      <c r="BU72" s="3">
        <f>IF(BU$2&gt;=Params!$B$7,INDEX($C$70:$BV$70,BU$2-Params!$B$7+1),0)</f>
        <v/>
      </c>
      <c r="BV72" s="3">
        <f>IF(BV$2&gt;=Params!$B$7,INDEX($C$70:$BV$70,BV$2-Params!$B$7+1),0)</f>
        <v/>
      </c>
    </row>
    <row r="73">
      <c r="A73" t="inlineStr">
        <is>
          <t>trials converted</t>
        </is>
      </c>
      <c r="B73" t="inlineStr">
        <is>
          <t>EUROPE|BASIC_M</t>
        </is>
      </c>
      <c r="C73" s="3">
        <f>C72*Params!$B$8</f>
        <v/>
      </c>
      <c r="D73" s="3">
        <f>D72*Params!$B$8</f>
        <v/>
      </c>
      <c r="E73" s="3">
        <f>E72*Params!$B$8</f>
        <v/>
      </c>
      <c r="F73" s="3">
        <f>F72*Params!$B$8</f>
        <v/>
      </c>
      <c r="G73" s="3">
        <f>G72*Params!$B$8</f>
        <v/>
      </c>
      <c r="H73" s="3">
        <f>H72*Params!$B$8</f>
        <v/>
      </c>
      <c r="I73" s="3">
        <f>I72*Params!$B$8</f>
        <v/>
      </c>
      <c r="J73" s="3">
        <f>J72*Params!$B$8</f>
        <v/>
      </c>
      <c r="K73" s="3">
        <f>K72*Params!$B$8</f>
        <v/>
      </c>
      <c r="L73" s="3">
        <f>L72*Params!$B$8</f>
        <v/>
      </c>
      <c r="M73" s="3">
        <f>M72*Params!$B$8</f>
        <v/>
      </c>
      <c r="N73" s="3">
        <f>N72*Params!$B$8</f>
        <v/>
      </c>
      <c r="O73" s="3">
        <f>O72*Params!$B$8</f>
        <v/>
      </c>
      <c r="P73" s="3">
        <f>P72*Params!$B$8</f>
        <v/>
      </c>
      <c r="Q73" s="3">
        <f>Q72*Params!$B$8</f>
        <v/>
      </c>
      <c r="R73" s="3">
        <f>R72*Params!$B$8</f>
        <v/>
      </c>
      <c r="S73" s="3">
        <f>S72*Params!$B$8</f>
        <v/>
      </c>
      <c r="T73" s="3">
        <f>T72*Params!$B$8</f>
        <v/>
      </c>
      <c r="U73" s="3">
        <f>U72*Params!$B$8</f>
        <v/>
      </c>
      <c r="V73" s="3">
        <f>V72*Params!$B$8</f>
        <v/>
      </c>
      <c r="W73" s="3">
        <f>W72*Params!$B$8</f>
        <v/>
      </c>
      <c r="X73" s="3">
        <f>X72*Params!$B$8</f>
        <v/>
      </c>
      <c r="Y73" s="3">
        <f>Y72*Params!$B$8</f>
        <v/>
      </c>
      <c r="Z73" s="3">
        <f>Z72*Params!$B$8</f>
        <v/>
      </c>
      <c r="AA73" s="3">
        <f>AA72*Params!$B$8</f>
        <v/>
      </c>
      <c r="AB73" s="3">
        <f>AB72*Params!$B$8</f>
        <v/>
      </c>
      <c r="AC73" s="3">
        <f>AC72*Params!$B$8</f>
        <v/>
      </c>
      <c r="AD73" s="3">
        <f>AD72*Params!$B$8</f>
        <v/>
      </c>
      <c r="AE73" s="3">
        <f>AE72*Params!$B$8</f>
        <v/>
      </c>
      <c r="AF73" s="3">
        <f>AF72*Params!$B$8</f>
        <v/>
      </c>
      <c r="AG73" s="3">
        <f>AG72*Params!$B$8</f>
        <v/>
      </c>
      <c r="AH73" s="3">
        <f>AH72*Params!$B$8</f>
        <v/>
      </c>
      <c r="AI73" s="3">
        <f>AI72*Params!$B$8</f>
        <v/>
      </c>
      <c r="AJ73" s="3">
        <f>AJ72*Params!$B$8</f>
        <v/>
      </c>
      <c r="AK73" s="3">
        <f>AK72*Params!$B$8</f>
        <v/>
      </c>
      <c r="AL73" s="3">
        <f>AL72*Params!$B$8</f>
        <v/>
      </c>
      <c r="AM73" s="3">
        <f>AM72*Params!$B$8</f>
        <v/>
      </c>
      <c r="AN73" s="3">
        <f>AN72*Params!$B$8</f>
        <v/>
      </c>
      <c r="AO73" s="3">
        <f>AO72*Params!$B$8</f>
        <v/>
      </c>
      <c r="AP73" s="3">
        <f>AP72*Params!$B$8</f>
        <v/>
      </c>
      <c r="AQ73" s="3">
        <f>AQ72*Params!$B$8</f>
        <v/>
      </c>
      <c r="AR73" s="3">
        <f>AR72*Params!$B$8</f>
        <v/>
      </c>
      <c r="AS73" s="3">
        <f>AS72*Params!$B$8</f>
        <v/>
      </c>
      <c r="AT73" s="3">
        <f>AT72*Params!$B$8</f>
        <v/>
      </c>
      <c r="AU73" s="3">
        <f>AU72*Params!$B$8</f>
        <v/>
      </c>
      <c r="AV73" s="3">
        <f>AV72*Params!$B$8</f>
        <v/>
      </c>
      <c r="AW73" s="3">
        <f>AW72*Params!$B$8</f>
        <v/>
      </c>
      <c r="AX73" s="3">
        <f>AX72*Params!$B$8</f>
        <v/>
      </c>
      <c r="AY73" s="3">
        <f>AY72*Params!$B$8</f>
        <v/>
      </c>
      <c r="AZ73" s="3">
        <f>AZ72*Params!$B$8</f>
        <v/>
      </c>
      <c r="BA73" s="3">
        <f>BA72*Params!$B$8</f>
        <v/>
      </c>
      <c r="BB73" s="3">
        <f>BB72*Params!$B$8</f>
        <v/>
      </c>
      <c r="BC73" s="3">
        <f>BC72*Params!$B$8</f>
        <v/>
      </c>
      <c r="BD73" s="3">
        <f>BD72*Params!$B$8</f>
        <v/>
      </c>
      <c r="BE73" s="3">
        <f>BE72*Params!$B$8</f>
        <v/>
      </c>
      <c r="BF73" s="3">
        <f>BF72*Params!$B$8</f>
        <v/>
      </c>
      <c r="BG73" s="3">
        <f>BG72*Params!$B$8</f>
        <v/>
      </c>
      <c r="BH73" s="3">
        <f>BH72*Params!$B$8</f>
        <v/>
      </c>
      <c r="BI73" s="3">
        <f>BI72*Params!$B$8</f>
        <v/>
      </c>
      <c r="BJ73" s="3">
        <f>BJ72*Params!$B$8</f>
        <v/>
      </c>
      <c r="BK73" s="3">
        <f>BK72*Params!$B$8</f>
        <v/>
      </c>
      <c r="BL73" s="3">
        <f>BL72*Params!$B$8</f>
        <v/>
      </c>
      <c r="BM73" s="3">
        <f>BM72*Params!$B$8</f>
        <v/>
      </c>
      <c r="BN73" s="3">
        <f>BN72*Params!$B$8</f>
        <v/>
      </c>
      <c r="BO73" s="3">
        <f>BO72*Params!$B$8</f>
        <v/>
      </c>
      <c r="BP73" s="3">
        <f>BP72*Params!$B$8</f>
        <v/>
      </c>
      <c r="BQ73" s="3">
        <f>BQ72*Params!$B$8</f>
        <v/>
      </c>
      <c r="BR73" s="3">
        <f>BR72*Params!$B$8</f>
        <v/>
      </c>
      <c r="BS73" s="3">
        <f>BS72*Params!$B$8</f>
        <v/>
      </c>
      <c r="BT73" s="3">
        <f>BT72*Params!$B$8</f>
        <v/>
      </c>
      <c r="BU73" s="3">
        <f>BU72*Params!$B$8</f>
        <v/>
      </c>
      <c r="BV73" s="3">
        <f>BV72*Params!$B$8</f>
        <v/>
      </c>
    </row>
    <row r="74">
      <c r="A74" t="inlineStr">
        <is>
          <t>trials lost</t>
        </is>
      </c>
      <c r="B74" t="inlineStr">
        <is>
          <t>EUROPE|BASIC_M</t>
        </is>
      </c>
      <c r="C74" s="3">
        <f>C72-C73</f>
        <v/>
      </c>
      <c r="D74" s="3">
        <f>D72-D73</f>
        <v/>
      </c>
      <c r="E74" s="3">
        <f>E72-E73</f>
        <v/>
      </c>
      <c r="F74" s="3">
        <f>F72-F73</f>
        <v/>
      </c>
      <c r="G74" s="3">
        <f>G72-G73</f>
        <v/>
      </c>
      <c r="H74" s="3">
        <f>H72-H73</f>
        <v/>
      </c>
      <c r="I74" s="3">
        <f>I72-I73</f>
        <v/>
      </c>
      <c r="J74" s="3">
        <f>J72-J73</f>
        <v/>
      </c>
      <c r="K74" s="3">
        <f>K72-K73</f>
        <v/>
      </c>
      <c r="L74" s="3">
        <f>L72-L73</f>
        <v/>
      </c>
      <c r="M74" s="3">
        <f>M72-M73</f>
        <v/>
      </c>
      <c r="N74" s="3">
        <f>N72-N73</f>
        <v/>
      </c>
      <c r="O74" s="3">
        <f>O72-O73</f>
        <v/>
      </c>
      <c r="P74" s="3">
        <f>P72-P73</f>
        <v/>
      </c>
      <c r="Q74" s="3">
        <f>Q72-Q73</f>
        <v/>
      </c>
      <c r="R74" s="3">
        <f>R72-R73</f>
        <v/>
      </c>
      <c r="S74" s="3">
        <f>S72-S73</f>
        <v/>
      </c>
      <c r="T74" s="3">
        <f>T72-T73</f>
        <v/>
      </c>
      <c r="U74" s="3">
        <f>U72-U73</f>
        <v/>
      </c>
      <c r="V74" s="3">
        <f>V72-V73</f>
        <v/>
      </c>
      <c r="W74" s="3">
        <f>W72-W73</f>
        <v/>
      </c>
      <c r="X74" s="3">
        <f>X72-X73</f>
        <v/>
      </c>
      <c r="Y74" s="3">
        <f>Y72-Y73</f>
        <v/>
      </c>
      <c r="Z74" s="3">
        <f>Z72-Z73</f>
        <v/>
      </c>
      <c r="AA74" s="3">
        <f>AA72-AA73</f>
        <v/>
      </c>
      <c r="AB74" s="3">
        <f>AB72-AB73</f>
        <v/>
      </c>
      <c r="AC74" s="3">
        <f>AC72-AC73</f>
        <v/>
      </c>
      <c r="AD74" s="3">
        <f>AD72-AD73</f>
        <v/>
      </c>
      <c r="AE74" s="3">
        <f>AE72-AE73</f>
        <v/>
      </c>
      <c r="AF74" s="3">
        <f>AF72-AF73</f>
        <v/>
      </c>
      <c r="AG74" s="3">
        <f>AG72-AG73</f>
        <v/>
      </c>
      <c r="AH74" s="3">
        <f>AH72-AH73</f>
        <v/>
      </c>
      <c r="AI74" s="3">
        <f>AI72-AI73</f>
        <v/>
      </c>
      <c r="AJ74" s="3">
        <f>AJ72-AJ73</f>
        <v/>
      </c>
      <c r="AK74" s="3">
        <f>AK72-AK73</f>
        <v/>
      </c>
      <c r="AL74" s="3">
        <f>AL72-AL73</f>
        <v/>
      </c>
      <c r="AM74" s="3">
        <f>AM72-AM73</f>
        <v/>
      </c>
      <c r="AN74" s="3">
        <f>AN72-AN73</f>
        <v/>
      </c>
      <c r="AO74" s="3">
        <f>AO72-AO73</f>
        <v/>
      </c>
      <c r="AP74" s="3">
        <f>AP72-AP73</f>
        <v/>
      </c>
      <c r="AQ74" s="3">
        <f>AQ72-AQ73</f>
        <v/>
      </c>
      <c r="AR74" s="3">
        <f>AR72-AR73</f>
        <v/>
      </c>
      <c r="AS74" s="3">
        <f>AS72-AS73</f>
        <v/>
      </c>
      <c r="AT74" s="3">
        <f>AT72-AT73</f>
        <v/>
      </c>
      <c r="AU74" s="3">
        <f>AU72-AU73</f>
        <v/>
      </c>
      <c r="AV74" s="3">
        <f>AV72-AV73</f>
        <v/>
      </c>
      <c r="AW74" s="3">
        <f>AW72-AW73</f>
        <v/>
      </c>
      <c r="AX74" s="3">
        <f>AX72-AX73</f>
        <v/>
      </c>
      <c r="AY74" s="3">
        <f>AY72-AY73</f>
        <v/>
      </c>
      <c r="AZ74" s="3">
        <f>AZ72-AZ73</f>
        <v/>
      </c>
      <c r="BA74" s="3">
        <f>BA72-BA73</f>
        <v/>
      </c>
      <c r="BB74" s="3">
        <f>BB72-BB73</f>
        <v/>
      </c>
      <c r="BC74" s="3">
        <f>BC72-BC73</f>
        <v/>
      </c>
      <c r="BD74" s="3">
        <f>BD72-BD73</f>
        <v/>
      </c>
      <c r="BE74" s="3">
        <f>BE72-BE73</f>
        <v/>
      </c>
      <c r="BF74" s="3">
        <f>BF72-BF73</f>
        <v/>
      </c>
      <c r="BG74" s="3">
        <f>BG72-BG73</f>
        <v/>
      </c>
      <c r="BH74" s="3">
        <f>BH72-BH73</f>
        <v/>
      </c>
      <c r="BI74" s="3">
        <f>BI72-BI73</f>
        <v/>
      </c>
      <c r="BJ74" s="3">
        <f>BJ72-BJ73</f>
        <v/>
      </c>
      <c r="BK74" s="3">
        <f>BK72-BK73</f>
        <v/>
      </c>
      <c r="BL74" s="3">
        <f>BL72-BL73</f>
        <v/>
      </c>
      <c r="BM74" s="3">
        <f>BM72-BM73</f>
        <v/>
      </c>
      <c r="BN74" s="3">
        <f>BN72-BN73</f>
        <v/>
      </c>
      <c r="BO74" s="3">
        <f>BO72-BO73</f>
        <v/>
      </c>
      <c r="BP74" s="3">
        <f>BP72-BP73</f>
        <v/>
      </c>
      <c r="BQ74" s="3">
        <f>BQ72-BQ73</f>
        <v/>
      </c>
      <c r="BR74" s="3">
        <f>BR72-BR73</f>
        <v/>
      </c>
      <c r="BS74" s="3">
        <f>BS72-BS73</f>
        <v/>
      </c>
      <c r="BT74" s="3">
        <f>BT72-BT73</f>
        <v/>
      </c>
      <c r="BU74" s="3">
        <f>BU72-BU73</f>
        <v/>
      </c>
      <c r="BV74" s="3">
        <f>BV72-BV73</f>
        <v/>
      </c>
    </row>
    <row r="75">
      <c r="A75" t="inlineStr">
        <is>
          <t>cum trial starts</t>
        </is>
      </c>
      <c r="B75" t="inlineStr">
        <is>
          <t>EUROPE|BASIC_M</t>
        </is>
      </c>
      <c r="C75" s="3">
        <f>SUM($C70:C70)</f>
        <v/>
      </c>
      <c r="D75" s="3">
        <f>SUM($C70:D70)</f>
        <v/>
      </c>
      <c r="E75" s="3">
        <f>SUM($C70:E70)</f>
        <v/>
      </c>
      <c r="F75" s="3">
        <f>SUM($C70:F70)</f>
        <v/>
      </c>
      <c r="G75" s="3">
        <f>SUM($C70:G70)</f>
        <v/>
      </c>
      <c r="H75" s="3">
        <f>SUM($C70:H70)</f>
        <v/>
      </c>
      <c r="I75" s="3">
        <f>SUM($C70:I70)</f>
        <v/>
      </c>
      <c r="J75" s="3">
        <f>SUM($C70:J70)</f>
        <v/>
      </c>
      <c r="K75" s="3">
        <f>SUM($C70:K70)</f>
        <v/>
      </c>
      <c r="L75" s="3">
        <f>SUM($C70:L70)</f>
        <v/>
      </c>
      <c r="M75" s="3">
        <f>SUM($C70:M70)</f>
        <v/>
      </c>
      <c r="N75" s="3">
        <f>SUM($C70:N70)</f>
        <v/>
      </c>
      <c r="O75" s="3">
        <f>SUM($C70:O70)</f>
        <v/>
      </c>
      <c r="P75" s="3">
        <f>SUM($C70:P70)</f>
        <v/>
      </c>
      <c r="Q75" s="3">
        <f>SUM($C70:Q70)</f>
        <v/>
      </c>
      <c r="R75" s="3">
        <f>SUM($C70:R70)</f>
        <v/>
      </c>
      <c r="S75" s="3">
        <f>SUM($C70:S70)</f>
        <v/>
      </c>
      <c r="T75" s="3">
        <f>SUM($C70:T70)</f>
        <v/>
      </c>
      <c r="U75" s="3">
        <f>SUM($C70:U70)</f>
        <v/>
      </c>
      <c r="V75" s="3">
        <f>SUM($C70:V70)</f>
        <v/>
      </c>
      <c r="W75" s="3">
        <f>SUM($C70:W70)</f>
        <v/>
      </c>
      <c r="X75" s="3">
        <f>SUM($C70:X70)</f>
        <v/>
      </c>
      <c r="Y75" s="3">
        <f>SUM($C70:Y70)</f>
        <v/>
      </c>
      <c r="Z75" s="3">
        <f>SUM($C70:Z70)</f>
        <v/>
      </c>
      <c r="AA75" s="3">
        <f>SUM($C70:AA70)</f>
        <v/>
      </c>
      <c r="AB75" s="3">
        <f>SUM($C70:AB70)</f>
        <v/>
      </c>
      <c r="AC75" s="3">
        <f>SUM($C70:AC70)</f>
        <v/>
      </c>
      <c r="AD75" s="3">
        <f>SUM($C70:AD70)</f>
        <v/>
      </c>
      <c r="AE75" s="3">
        <f>SUM($C70:AE70)</f>
        <v/>
      </c>
      <c r="AF75" s="3">
        <f>SUM($C70:AF70)</f>
        <v/>
      </c>
      <c r="AG75" s="3">
        <f>SUM($C70:AG70)</f>
        <v/>
      </c>
      <c r="AH75" s="3">
        <f>SUM($C70:AH70)</f>
        <v/>
      </c>
      <c r="AI75" s="3">
        <f>SUM($C70:AI70)</f>
        <v/>
      </c>
      <c r="AJ75" s="3">
        <f>SUM($C70:AJ70)</f>
        <v/>
      </c>
      <c r="AK75" s="3">
        <f>SUM($C70:AK70)</f>
        <v/>
      </c>
      <c r="AL75" s="3">
        <f>SUM($C70:AL70)</f>
        <v/>
      </c>
      <c r="AM75" s="3">
        <f>SUM($C70:AM70)</f>
        <v/>
      </c>
      <c r="AN75" s="3">
        <f>SUM($C70:AN70)</f>
        <v/>
      </c>
      <c r="AO75" s="3">
        <f>SUM($C70:AO70)</f>
        <v/>
      </c>
      <c r="AP75" s="3">
        <f>SUM($C70:AP70)</f>
        <v/>
      </c>
      <c r="AQ75" s="3">
        <f>SUM($C70:AQ70)</f>
        <v/>
      </c>
      <c r="AR75" s="3">
        <f>SUM($C70:AR70)</f>
        <v/>
      </c>
      <c r="AS75" s="3">
        <f>SUM($C70:AS70)</f>
        <v/>
      </c>
      <c r="AT75" s="3">
        <f>SUM($C70:AT70)</f>
        <v/>
      </c>
      <c r="AU75" s="3">
        <f>SUM($C70:AU70)</f>
        <v/>
      </c>
      <c r="AV75" s="3">
        <f>SUM($C70:AV70)</f>
        <v/>
      </c>
      <c r="AW75" s="3">
        <f>SUM($C70:AW70)</f>
        <v/>
      </c>
      <c r="AX75" s="3">
        <f>SUM($C70:AX70)</f>
        <v/>
      </c>
      <c r="AY75" s="3">
        <f>SUM($C70:AY70)</f>
        <v/>
      </c>
      <c r="AZ75" s="3">
        <f>SUM($C70:AZ70)</f>
        <v/>
      </c>
      <c r="BA75" s="3">
        <f>SUM($C70:BA70)</f>
        <v/>
      </c>
      <c r="BB75" s="3">
        <f>SUM($C70:BB70)</f>
        <v/>
      </c>
      <c r="BC75" s="3">
        <f>SUM($C70:BC70)</f>
        <v/>
      </c>
      <c r="BD75" s="3">
        <f>SUM($C70:BD70)</f>
        <v/>
      </c>
      <c r="BE75" s="3">
        <f>SUM($C70:BE70)</f>
        <v/>
      </c>
      <c r="BF75" s="3">
        <f>SUM($C70:BF70)</f>
        <v/>
      </c>
      <c r="BG75" s="3">
        <f>SUM($C70:BG70)</f>
        <v/>
      </c>
      <c r="BH75" s="3">
        <f>SUM($C70:BH70)</f>
        <v/>
      </c>
      <c r="BI75" s="3">
        <f>SUM($C70:BI70)</f>
        <v/>
      </c>
      <c r="BJ75" s="3">
        <f>SUM($C70:BJ70)</f>
        <v/>
      </c>
      <c r="BK75" s="3">
        <f>SUM($C70:BK70)</f>
        <v/>
      </c>
      <c r="BL75" s="3">
        <f>SUM($C70:BL70)</f>
        <v/>
      </c>
      <c r="BM75" s="3">
        <f>SUM($C70:BM70)</f>
        <v/>
      </c>
      <c r="BN75" s="3">
        <f>SUM($C70:BN70)</f>
        <v/>
      </c>
      <c r="BO75" s="3">
        <f>SUM($C70:BO70)</f>
        <v/>
      </c>
      <c r="BP75" s="3">
        <f>SUM($C70:BP70)</f>
        <v/>
      </c>
      <c r="BQ75" s="3">
        <f>SUM($C70:BQ70)</f>
        <v/>
      </c>
      <c r="BR75" s="3">
        <f>SUM($C70:BR70)</f>
        <v/>
      </c>
      <c r="BS75" s="3">
        <f>SUM($C70:BS70)</f>
        <v/>
      </c>
      <c r="BT75" s="3">
        <f>SUM($C70:BT70)</f>
        <v/>
      </c>
      <c r="BU75" s="3">
        <f>SUM($C70:BU70)</f>
        <v/>
      </c>
      <c r="BV75" s="3">
        <f>SUM($C70:BV70)</f>
        <v/>
      </c>
    </row>
    <row r="76">
      <c r="A76" t="inlineStr">
        <is>
          <t>cum trials ending</t>
        </is>
      </c>
      <c r="B76" t="inlineStr">
        <is>
          <t>EUROPE|BASIC_M</t>
        </is>
      </c>
      <c r="C76" s="3">
        <f>SUM($C72:C72)</f>
        <v/>
      </c>
      <c r="D76" s="3">
        <f>SUM($C72:D72)</f>
        <v/>
      </c>
      <c r="E76" s="3">
        <f>SUM($C72:E72)</f>
        <v/>
      </c>
      <c r="F76" s="3">
        <f>SUM($C72:F72)</f>
        <v/>
      </c>
      <c r="G76" s="3">
        <f>SUM($C72:G72)</f>
        <v/>
      </c>
      <c r="H76" s="3">
        <f>SUM($C72:H72)</f>
        <v/>
      </c>
      <c r="I76" s="3">
        <f>SUM($C72:I72)</f>
        <v/>
      </c>
      <c r="J76" s="3">
        <f>SUM($C72:J72)</f>
        <v/>
      </c>
      <c r="K76" s="3">
        <f>SUM($C72:K72)</f>
        <v/>
      </c>
      <c r="L76" s="3">
        <f>SUM($C72:L72)</f>
        <v/>
      </c>
      <c r="M76" s="3">
        <f>SUM($C72:M72)</f>
        <v/>
      </c>
      <c r="N76" s="3">
        <f>SUM($C72:N72)</f>
        <v/>
      </c>
      <c r="O76" s="3">
        <f>SUM($C72:O72)</f>
        <v/>
      </c>
      <c r="P76" s="3">
        <f>SUM($C72:P72)</f>
        <v/>
      </c>
      <c r="Q76" s="3">
        <f>SUM($C72:Q72)</f>
        <v/>
      </c>
      <c r="R76" s="3">
        <f>SUM($C72:R72)</f>
        <v/>
      </c>
      <c r="S76" s="3">
        <f>SUM($C72:S72)</f>
        <v/>
      </c>
      <c r="T76" s="3">
        <f>SUM($C72:T72)</f>
        <v/>
      </c>
      <c r="U76" s="3">
        <f>SUM($C72:U72)</f>
        <v/>
      </c>
      <c r="V76" s="3">
        <f>SUM($C72:V72)</f>
        <v/>
      </c>
      <c r="W76" s="3">
        <f>SUM($C72:W72)</f>
        <v/>
      </c>
      <c r="X76" s="3">
        <f>SUM($C72:X72)</f>
        <v/>
      </c>
      <c r="Y76" s="3">
        <f>SUM($C72:Y72)</f>
        <v/>
      </c>
      <c r="Z76" s="3">
        <f>SUM($C72:Z72)</f>
        <v/>
      </c>
      <c r="AA76" s="3">
        <f>SUM($C72:AA72)</f>
        <v/>
      </c>
      <c r="AB76" s="3">
        <f>SUM($C72:AB72)</f>
        <v/>
      </c>
      <c r="AC76" s="3">
        <f>SUM($C72:AC72)</f>
        <v/>
      </c>
      <c r="AD76" s="3">
        <f>SUM($C72:AD72)</f>
        <v/>
      </c>
      <c r="AE76" s="3">
        <f>SUM($C72:AE72)</f>
        <v/>
      </c>
      <c r="AF76" s="3">
        <f>SUM($C72:AF72)</f>
        <v/>
      </c>
      <c r="AG76" s="3">
        <f>SUM($C72:AG72)</f>
        <v/>
      </c>
      <c r="AH76" s="3">
        <f>SUM($C72:AH72)</f>
        <v/>
      </c>
      <c r="AI76" s="3">
        <f>SUM($C72:AI72)</f>
        <v/>
      </c>
      <c r="AJ76" s="3">
        <f>SUM($C72:AJ72)</f>
        <v/>
      </c>
      <c r="AK76" s="3">
        <f>SUM($C72:AK72)</f>
        <v/>
      </c>
      <c r="AL76" s="3">
        <f>SUM($C72:AL72)</f>
        <v/>
      </c>
      <c r="AM76" s="3">
        <f>SUM($C72:AM72)</f>
        <v/>
      </c>
      <c r="AN76" s="3">
        <f>SUM($C72:AN72)</f>
        <v/>
      </c>
      <c r="AO76" s="3">
        <f>SUM($C72:AO72)</f>
        <v/>
      </c>
      <c r="AP76" s="3">
        <f>SUM($C72:AP72)</f>
        <v/>
      </c>
      <c r="AQ76" s="3">
        <f>SUM($C72:AQ72)</f>
        <v/>
      </c>
      <c r="AR76" s="3">
        <f>SUM($C72:AR72)</f>
        <v/>
      </c>
      <c r="AS76" s="3">
        <f>SUM($C72:AS72)</f>
        <v/>
      </c>
      <c r="AT76" s="3">
        <f>SUM($C72:AT72)</f>
        <v/>
      </c>
      <c r="AU76" s="3">
        <f>SUM($C72:AU72)</f>
        <v/>
      </c>
      <c r="AV76" s="3">
        <f>SUM($C72:AV72)</f>
        <v/>
      </c>
      <c r="AW76" s="3">
        <f>SUM($C72:AW72)</f>
        <v/>
      </c>
      <c r="AX76" s="3">
        <f>SUM($C72:AX72)</f>
        <v/>
      </c>
      <c r="AY76" s="3">
        <f>SUM($C72:AY72)</f>
        <v/>
      </c>
      <c r="AZ76" s="3">
        <f>SUM($C72:AZ72)</f>
        <v/>
      </c>
      <c r="BA76" s="3">
        <f>SUM($C72:BA72)</f>
        <v/>
      </c>
      <c r="BB76" s="3">
        <f>SUM($C72:BB72)</f>
        <v/>
      </c>
      <c r="BC76" s="3">
        <f>SUM($C72:BC72)</f>
        <v/>
      </c>
      <c r="BD76" s="3">
        <f>SUM($C72:BD72)</f>
        <v/>
      </c>
      <c r="BE76" s="3">
        <f>SUM($C72:BE72)</f>
        <v/>
      </c>
      <c r="BF76" s="3">
        <f>SUM($C72:BF72)</f>
        <v/>
      </c>
      <c r="BG76" s="3">
        <f>SUM($C72:BG72)</f>
        <v/>
      </c>
      <c r="BH76" s="3">
        <f>SUM($C72:BH72)</f>
        <v/>
      </c>
      <c r="BI76" s="3">
        <f>SUM($C72:BI72)</f>
        <v/>
      </c>
      <c r="BJ76" s="3">
        <f>SUM($C72:BJ72)</f>
        <v/>
      </c>
      <c r="BK76" s="3">
        <f>SUM($C72:BK72)</f>
        <v/>
      </c>
      <c r="BL76" s="3">
        <f>SUM($C72:BL72)</f>
        <v/>
      </c>
      <c r="BM76" s="3">
        <f>SUM($C72:BM72)</f>
        <v/>
      </c>
      <c r="BN76" s="3">
        <f>SUM($C72:BN72)</f>
        <v/>
      </c>
      <c r="BO76" s="3">
        <f>SUM($C72:BO72)</f>
        <v/>
      </c>
      <c r="BP76" s="3">
        <f>SUM($C72:BP72)</f>
        <v/>
      </c>
      <c r="BQ76" s="3">
        <f>SUM($C72:BQ72)</f>
        <v/>
      </c>
      <c r="BR76" s="3">
        <f>SUM($C72:BR72)</f>
        <v/>
      </c>
      <c r="BS76" s="3">
        <f>SUM($C72:BS72)</f>
        <v/>
      </c>
      <c r="BT76" s="3">
        <f>SUM($C72:BT72)</f>
        <v/>
      </c>
      <c r="BU76" s="3">
        <f>SUM($C72:BU72)</f>
        <v/>
      </c>
      <c r="BV76" s="3">
        <f>SUM($C72:BV72)</f>
        <v/>
      </c>
    </row>
    <row r="77">
      <c r="A77" t="inlineStr">
        <is>
          <t>trials active</t>
        </is>
      </c>
      <c r="B77" t="inlineStr">
        <is>
          <t>EUROPE|BASIC_M</t>
        </is>
      </c>
      <c r="C77" s="3">
        <f>C75-C76</f>
        <v/>
      </c>
      <c r="D77" s="3">
        <f>D75-D76</f>
        <v/>
      </c>
      <c r="E77" s="3">
        <f>E75-E76</f>
        <v/>
      </c>
      <c r="F77" s="3">
        <f>F75-F76</f>
        <v/>
      </c>
      <c r="G77" s="3">
        <f>G75-G76</f>
        <v/>
      </c>
      <c r="H77" s="3">
        <f>H75-H76</f>
        <v/>
      </c>
      <c r="I77" s="3">
        <f>I75-I76</f>
        <v/>
      </c>
      <c r="J77" s="3">
        <f>J75-J76</f>
        <v/>
      </c>
      <c r="K77" s="3">
        <f>K75-K76</f>
        <v/>
      </c>
      <c r="L77" s="3">
        <f>L75-L76</f>
        <v/>
      </c>
      <c r="M77" s="3">
        <f>M75-M76</f>
        <v/>
      </c>
      <c r="N77" s="3">
        <f>N75-N76</f>
        <v/>
      </c>
      <c r="O77" s="3">
        <f>O75-O76</f>
        <v/>
      </c>
      <c r="P77" s="3">
        <f>P75-P76</f>
        <v/>
      </c>
      <c r="Q77" s="3">
        <f>Q75-Q76</f>
        <v/>
      </c>
      <c r="R77" s="3">
        <f>R75-R76</f>
        <v/>
      </c>
      <c r="S77" s="3">
        <f>S75-S76</f>
        <v/>
      </c>
      <c r="T77" s="3">
        <f>T75-T76</f>
        <v/>
      </c>
      <c r="U77" s="3">
        <f>U75-U76</f>
        <v/>
      </c>
      <c r="V77" s="3">
        <f>V75-V76</f>
        <v/>
      </c>
      <c r="W77" s="3">
        <f>W75-W76</f>
        <v/>
      </c>
      <c r="X77" s="3">
        <f>X75-X76</f>
        <v/>
      </c>
      <c r="Y77" s="3">
        <f>Y75-Y76</f>
        <v/>
      </c>
      <c r="Z77" s="3">
        <f>Z75-Z76</f>
        <v/>
      </c>
      <c r="AA77" s="3">
        <f>AA75-AA76</f>
        <v/>
      </c>
      <c r="AB77" s="3">
        <f>AB75-AB76</f>
        <v/>
      </c>
      <c r="AC77" s="3">
        <f>AC75-AC76</f>
        <v/>
      </c>
      <c r="AD77" s="3">
        <f>AD75-AD76</f>
        <v/>
      </c>
      <c r="AE77" s="3">
        <f>AE75-AE76</f>
        <v/>
      </c>
      <c r="AF77" s="3">
        <f>AF75-AF76</f>
        <v/>
      </c>
      <c r="AG77" s="3">
        <f>AG75-AG76</f>
        <v/>
      </c>
      <c r="AH77" s="3">
        <f>AH75-AH76</f>
        <v/>
      </c>
      <c r="AI77" s="3">
        <f>AI75-AI76</f>
        <v/>
      </c>
      <c r="AJ77" s="3">
        <f>AJ75-AJ76</f>
        <v/>
      </c>
      <c r="AK77" s="3">
        <f>AK75-AK76</f>
        <v/>
      </c>
      <c r="AL77" s="3">
        <f>AL75-AL76</f>
        <v/>
      </c>
      <c r="AM77" s="3">
        <f>AM75-AM76</f>
        <v/>
      </c>
      <c r="AN77" s="3">
        <f>AN75-AN76</f>
        <v/>
      </c>
      <c r="AO77" s="3">
        <f>AO75-AO76</f>
        <v/>
      </c>
      <c r="AP77" s="3">
        <f>AP75-AP76</f>
        <v/>
      </c>
      <c r="AQ77" s="3">
        <f>AQ75-AQ76</f>
        <v/>
      </c>
      <c r="AR77" s="3">
        <f>AR75-AR76</f>
        <v/>
      </c>
      <c r="AS77" s="3">
        <f>AS75-AS76</f>
        <v/>
      </c>
      <c r="AT77" s="3">
        <f>AT75-AT76</f>
        <v/>
      </c>
      <c r="AU77" s="3">
        <f>AU75-AU76</f>
        <v/>
      </c>
      <c r="AV77" s="3">
        <f>AV75-AV76</f>
        <v/>
      </c>
      <c r="AW77" s="3">
        <f>AW75-AW76</f>
        <v/>
      </c>
      <c r="AX77" s="3">
        <f>AX75-AX76</f>
        <v/>
      </c>
      <c r="AY77" s="3">
        <f>AY75-AY76</f>
        <v/>
      </c>
      <c r="AZ77" s="3">
        <f>AZ75-AZ76</f>
        <v/>
      </c>
      <c r="BA77" s="3">
        <f>BA75-BA76</f>
        <v/>
      </c>
      <c r="BB77" s="3">
        <f>BB75-BB76</f>
        <v/>
      </c>
      <c r="BC77" s="3">
        <f>BC75-BC76</f>
        <v/>
      </c>
      <c r="BD77" s="3">
        <f>BD75-BD76</f>
        <v/>
      </c>
      <c r="BE77" s="3">
        <f>BE75-BE76</f>
        <v/>
      </c>
      <c r="BF77" s="3">
        <f>BF75-BF76</f>
        <v/>
      </c>
      <c r="BG77" s="3">
        <f>BG75-BG76</f>
        <v/>
      </c>
      <c r="BH77" s="3">
        <f>BH75-BH76</f>
        <v/>
      </c>
      <c r="BI77" s="3">
        <f>BI75-BI76</f>
        <v/>
      </c>
      <c r="BJ77" s="3">
        <f>BJ75-BJ76</f>
        <v/>
      </c>
      <c r="BK77" s="3">
        <f>BK75-BK76</f>
        <v/>
      </c>
      <c r="BL77" s="3">
        <f>BL75-BL76</f>
        <v/>
      </c>
      <c r="BM77" s="3">
        <f>BM75-BM76</f>
        <v/>
      </c>
      <c r="BN77" s="3">
        <f>BN75-BN76</f>
        <v/>
      </c>
      <c r="BO77" s="3">
        <f>BO75-BO76</f>
        <v/>
      </c>
      <c r="BP77" s="3">
        <f>BP75-BP76</f>
        <v/>
      </c>
      <c r="BQ77" s="3">
        <f>BQ75-BQ76</f>
        <v/>
      </c>
      <c r="BR77" s="3">
        <f>BR75-BR76</f>
        <v/>
      </c>
      <c r="BS77" s="3">
        <f>BS75-BS76</f>
        <v/>
      </c>
      <c r="BT77" s="3">
        <f>BT75-BT76</f>
        <v/>
      </c>
      <c r="BU77" s="3">
        <f>BU75-BU76</f>
        <v/>
      </c>
      <c r="BV77" s="3">
        <f>BV75-BV76</f>
        <v/>
      </c>
    </row>
    <row r="78">
      <c r="A78" t="inlineStr">
        <is>
          <t>paid starts</t>
        </is>
      </c>
      <c r="B78" t="inlineStr">
        <is>
          <t>EUROPE|BASIC_M</t>
        </is>
      </c>
      <c r="C78" s="3">
        <f>C71+C73</f>
        <v/>
      </c>
      <c r="D78" s="3">
        <f>D71+D73</f>
        <v/>
      </c>
      <c r="E78" s="3">
        <f>E71+E73</f>
        <v/>
      </c>
      <c r="F78" s="3">
        <f>F71+F73</f>
        <v/>
      </c>
      <c r="G78" s="3">
        <f>G71+G73</f>
        <v/>
      </c>
      <c r="H78" s="3">
        <f>H71+H73</f>
        <v/>
      </c>
      <c r="I78" s="3">
        <f>I71+I73</f>
        <v/>
      </c>
      <c r="J78" s="3">
        <f>J71+J73</f>
        <v/>
      </c>
      <c r="K78" s="3">
        <f>K71+K73</f>
        <v/>
      </c>
      <c r="L78" s="3">
        <f>L71+L73</f>
        <v/>
      </c>
      <c r="M78" s="3">
        <f>M71+M73</f>
        <v/>
      </c>
      <c r="N78" s="3">
        <f>N71+N73</f>
        <v/>
      </c>
      <c r="O78" s="3">
        <f>O71+O73</f>
        <v/>
      </c>
      <c r="P78" s="3">
        <f>P71+P73</f>
        <v/>
      </c>
      <c r="Q78" s="3">
        <f>Q71+Q73</f>
        <v/>
      </c>
      <c r="R78" s="3">
        <f>R71+R73</f>
        <v/>
      </c>
      <c r="S78" s="3">
        <f>S71+S73</f>
        <v/>
      </c>
      <c r="T78" s="3">
        <f>T71+T73</f>
        <v/>
      </c>
      <c r="U78" s="3">
        <f>U71+U73</f>
        <v/>
      </c>
      <c r="V78" s="3">
        <f>V71+V73</f>
        <v/>
      </c>
      <c r="W78" s="3">
        <f>W71+W73</f>
        <v/>
      </c>
      <c r="X78" s="3">
        <f>X71+X73</f>
        <v/>
      </c>
      <c r="Y78" s="3">
        <f>Y71+Y73</f>
        <v/>
      </c>
      <c r="Z78" s="3">
        <f>Z71+Z73</f>
        <v/>
      </c>
      <c r="AA78" s="3">
        <f>AA71+AA73</f>
        <v/>
      </c>
      <c r="AB78" s="3">
        <f>AB71+AB73</f>
        <v/>
      </c>
      <c r="AC78" s="3">
        <f>AC71+AC73</f>
        <v/>
      </c>
      <c r="AD78" s="3">
        <f>AD71+AD73</f>
        <v/>
      </c>
      <c r="AE78" s="3">
        <f>AE71+AE73</f>
        <v/>
      </c>
      <c r="AF78" s="3">
        <f>AF71+AF73</f>
        <v/>
      </c>
      <c r="AG78" s="3">
        <f>AG71+AG73</f>
        <v/>
      </c>
      <c r="AH78" s="3">
        <f>AH71+AH73</f>
        <v/>
      </c>
      <c r="AI78" s="3">
        <f>AI71+AI73</f>
        <v/>
      </c>
      <c r="AJ78" s="3">
        <f>AJ71+AJ73</f>
        <v/>
      </c>
      <c r="AK78" s="3">
        <f>AK71+AK73</f>
        <v/>
      </c>
      <c r="AL78" s="3">
        <f>AL71+AL73</f>
        <v/>
      </c>
      <c r="AM78" s="3">
        <f>AM71+AM73</f>
        <v/>
      </c>
      <c r="AN78" s="3">
        <f>AN71+AN73</f>
        <v/>
      </c>
      <c r="AO78" s="3">
        <f>AO71+AO73</f>
        <v/>
      </c>
      <c r="AP78" s="3">
        <f>AP71+AP73</f>
        <v/>
      </c>
      <c r="AQ78" s="3">
        <f>AQ71+AQ73</f>
        <v/>
      </c>
      <c r="AR78" s="3">
        <f>AR71+AR73</f>
        <v/>
      </c>
      <c r="AS78" s="3">
        <f>AS71+AS73</f>
        <v/>
      </c>
      <c r="AT78" s="3">
        <f>AT71+AT73</f>
        <v/>
      </c>
      <c r="AU78" s="3">
        <f>AU71+AU73</f>
        <v/>
      </c>
      <c r="AV78" s="3">
        <f>AV71+AV73</f>
        <v/>
      </c>
      <c r="AW78" s="3">
        <f>AW71+AW73</f>
        <v/>
      </c>
      <c r="AX78" s="3">
        <f>AX71+AX73</f>
        <v/>
      </c>
      <c r="AY78" s="3">
        <f>AY71+AY73</f>
        <v/>
      </c>
      <c r="AZ78" s="3">
        <f>AZ71+AZ73</f>
        <v/>
      </c>
      <c r="BA78" s="3">
        <f>BA71+BA73</f>
        <v/>
      </c>
      <c r="BB78" s="3">
        <f>BB71+BB73</f>
        <v/>
      </c>
      <c r="BC78" s="3">
        <f>BC71+BC73</f>
        <v/>
      </c>
      <c r="BD78" s="3">
        <f>BD71+BD73</f>
        <v/>
      </c>
      <c r="BE78" s="3">
        <f>BE71+BE73</f>
        <v/>
      </c>
      <c r="BF78" s="3">
        <f>BF71+BF73</f>
        <v/>
      </c>
      <c r="BG78" s="3">
        <f>BG71+BG73</f>
        <v/>
      </c>
      <c r="BH78" s="3">
        <f>BH71+BH73</f>
        <v/>
      </c>
      <c r="BI78" s="3">
        <f>BI71+BI73</f>
        <v/>
      </c>
      <c r="BJ78" s="3">
        <f>BJ71+BJ73</f>
        <v/>
      </c>
      <c r="BK78" s="3">
        <f>BK71+BK73</f>
        <v/>
      </c>
      <c r="BL78" s="3">
        <f>BL71+BL73</f>
        <v/>
      </c>
      <c r="BM78" s="3">
        <f>BM71+BM73</f>
        <v/>
      </c>
      <c r="BN78" s="3">
        <f>BN71+BN73</f>
        <v/>
      </c>
      <c r="BO78" s="3">
        <f>BO71+BO73</f>
        <v/>
      </c>
      <c r="BP78" s="3">
        <f>BP71+BP73</f>
        <v/>
      </c>
      <c r="BQ78" s="3">
        <f>BQ71+BQ73</f>
        <v/>
      </c>
      <c r="BR78" s="3">
        <f>BR71+BR73</f>
        <v/>
      </c>
      <c r="BS78" s="3">
        <f>BS71+BS73</f>
        <v/>
      </c>
      <c r="BT78" s="3">
        <f>BT71+BT73</f>
        <v/>
      </c>
      <c r="BU78" s="3">
        <f>BU71+BU73</f>
        <v/>
      </c>
      <c r="BV78" s="3">
        <f>BV71+BV73</f>
        <v/>
      </c>
    </row>
    <row r="80">
      <c r="A80" t="inlineStr">
        <is>
          <t>gross adds</t>
        </is>
      </c>
      <c r="B80" t="inlineStr">
        <is>
          <t>EUROPE|BASIC_A</t>
        </is>
      </c>
      <c r="C80" s="3">
        <f>MAU!C5*Params!$B$37*Params!$B$5*Params!$B$87*Params!$B$74</f>
        <v/>
      </c>
      <c r="D80" s="3">
        <f>MAU!D5*Params!$B$37*Params!$B$5*Params!$B$87*Params!$B$74</f>
        <v/>
      </c>
      <c r="E80" s="3">
        <f>MAU!E5*Params!$B$37*Params!$B$5*Params!$B$87*Params!$B$74</f>
        <v/>
      </c>
      <c r="F80" s="3">
        <f>MAU!F5*Params!$B$37*Params!$B$5*Params!$B$87*Params!$B$74</f>
        <v/>
      </c>
      <c r="G80" s="3">
        <f>MAU!G5*Params!$B$37*Params!$B$5*Params!$B$87*Params!$B$74</f>
        <v/>
      </c>
      <c r="H80" s="3">
        <f>MAU!H5*Params!$B$37*Params!$B$5*Params!$B$87*Params!$B$74</f>
        <v/>
      </c>
      <c r="I80" s="3">
        <f>MAU!I5*Params!$B$37*Params!$B$5*Params!$B$87*Params!$B$74</f>
        <v/>
      </c>
      <c r="J80" s="3">
        <f>MAU!J5*Params!$B$37*Params!$B$5*Params!$B$87*Params!$B$74</f>
        <v/>
      </c>
      <c r="K80" s="3">
        <f>MAU!K5*Params!$B$37*Params!$B$5*Params!$B$87*Params!$B$74</f>
        <v/>
      </c>
      <c r="L80" s="3">
        <f>MAU!L5*Params!$B$37*Params!$B$5*Params!$B$87*Params!$B$74</f>
        <v/>
      </c>
      <c r="M80" s="3">
        <f>MAU!M5*Params!$B$37*Params!$B$5*Params!$B$87*Params!$B$74</f>
        <v/>
      </c>
      <c r="N80" s="3">
        <f>MAU!N5*Params!$B$37*Params!$B$5*Params!$B$87*Params!$B$74</f>
        <v/>
      </c>
      <c r="O80" s="3">
        <f>MAU!O5*Params!$B$37*Params!$B$5*Params!$B$87*Params!$B$74</f>
        <v/>
      </c>
      <c r="P80" s="3">
        <f>MAU!P5*Params!$B$37*Params!$B$5*Params!$B$87*Params!$B$74</f>
        <v/>
      </c>
      <c r="Q80" s="3">
        <f>MAU!Q5*Params!$B$37*Params!$B$5*Params!$B$87*Params!$B$74</f>
        <v/>
      </c>
      <c r="R80" s="3">
        <f>MAU!R5*Params!$B$37*Params!$B$5*Params!$B$87*Params!$B$74</f>
        <v/>
      </c>
      <c r="S80" s="3">
        <f>MAU!S5*Params!$B$37*Params!$B$5*Params!$B$87*Params!$B$74</f>
        <v/>
      </c>
      <c r="T80" s="3">
        <f>MAU!T5*Params!$B$37*Params!$B$5*Params!$B$87*Params!$B$74</f>
        <v/>
      </c>
      <c r="U80" s="3">
        <f>MAU!U5*Params!$B$37*Params!$B$5*Params!$B$87*Params!$B$74</f>
        <v/>
      </c>
      <c r="V80" s="3">
        <f>MAU!V5*Params!$B$37*Params!$B$5*Params!$B$87*Params!$B$74</f>
        <v/>
      </c>
      <c r="W80" s="3">
        <f>MAU!W5*Params!$B$37*Params!$B$5*Params!$B$87*Params!$B$74</f>
        <v/>
      </c>
      <c r="X80" s="3">
        <f>MAU!X5*Params!$B$37*Params!$B$5*Params!$B$87*Params!$B$74</f>
        <v/>
      </c>
      <c r="Y80" s="3">
        <f>MAU!Y5*Params!$B$37*Params!$B$5*Params!$B$87*Params!$B$74</f>
        <v/>
      </c>
      <c r="Z80" s="3">
        <f>MAU!Z5*Params!$B$37*Params!$B$5*Params!$B$87*Params!$B$74</f>
        <v/>
      </c>
      <c r="AA80" s="3">
        <f>MAU!AA5*Params!$B$37*Params!$B$5*Params!$B$87*Params!$B$74</f>
        <v/>
      </c>
      <c r="AB80" s="3">
        <f>MAU!AB5*Params!$B$37*Params!$B$5*Params!$B$87*Params!$B$74</f>
        <v/>
      </c>
      <c r="AC80" s="3">
        <f>MAU!AC5*Params!$B$37*Params!$B$5*Params!$B$87*Params!$B$74</f>
        <v/>
      </c>
      <c r="AD80" s="3">
        <f>MAU!AD5*Params!$B$37*Params!$B$5*Params!$B$87*Params!$B$74</f>
        <v/>
      </c>
      <c r="AE80" s="3">
        <f>MAU!AE5*Params!$B$37*Params!$B$5*Params!$B$87*Params!$B$74</f>
        <v/>
      </c>
      <c r="AF80" s="3">
        <f>MAU!AF5*Params!$B$37*Params!$B$5*Params!$B$87*Params!$B$74</f>
        <v/>
      </c>
      <c r="AG80" s="3">
        <f>MAU!AG5*Params!$B$37*Params!$B$5*Params!$B$87*Params!$B$74</f>
        <v/>
      </c>
      <c r="AH80" s="3">
        <f>MAU!AH5*Params!$B$37*Params!$B$5*Params!$B$87*Params!$B$74</f>
        <v/>
      </c>
      <c r="AI80" s="3">
        <f>MAU!AI5*Params!$B$37*Params!$B$5*Params!$B$87*Params!$B$74</f>
        <v/>
      </c>
      <c r="AJ80" s="3">
        <f>MAU!AJ5*Params!$B$37*Params!$B$5*Params!$B$87*Params!$B$74</f>
        <v/>
      </c>
      <c r="AK80" s="3">
        <f>MAU!AK5*Params!$B$37*Params!$B$5*Params!$B$87*Params!$B$74</f>
        <v/>
      </c>
      <c r="AL80" s="3">
        <f>MAU!AL5*Params!$B$37*Params!$B$5*Params!$B$87*Params!$B$74</f>
        <v/>
      </c>
      <c r="AM80" s="3">
        <f>MAU!AM5*Params!$B$37*Params!$B$5*Params!$B$87*Params!$B$74</f>
        <v/>
      </c>
      <c r="AN80" s="3">
        <f>MAU!AN5*Params!$B$37*Params!$B$5*Params!$B$87*Params!$B$74</f>
        <v/>
      </c>
      <c r="AO80" s="3">
        <f>MAU!AO5*Params!$B$37*Params!$B$5*Params!$B$87*Params!$B$74</f>
        <v/>
      </c>
      <c r="AP80" s="3">
        <f>MAU!AP5*Params!$B$37*Params!$B$5*Params!$B$87*Params!$B$74</f>
        <v/>
      </c>
      <c r="AQ80" s="3">
        <f>MAU!AQ5*Params!$B$37*Params!$B$5*Params!$B$87*Params!$B$74</f>
        <v/>
      </c>
      <c r="AR80" s="3">
        <f>MAU!AR5*Params!$B$37*Params!$B$5*Params!$B$87*Params!$B$74</f>
        <v/>
      </c>
      <c r="AS80" s="3">
        <f>MAU!AS5*Params!$B$37*Params!$B$5*Params!$B$87*Params!$B$74</f>
        <v/>
      </c>
      <c r="AT80" s="3">
        <f>MAU!AT5*Params!$B$37*Params!$B$5*Params!$B$87*Params!$B$74</f>
        <v/>
      </c>
      <c r="AU80" s="3">
        <f>MAU!AU5*Params!$B$37*Params!$B$5*Params!$B$87*Params!$B$74</f>
        <v/>
      </c>
      <c r="AV80" s="3">
        <f>MAU!AV5*Params!$B$37*Params!$B$5*Params!$B$87*Params!$B$74</f>
        <v/>
      </c>
      <c r="AW80" s="3">
        <f>MAU!AW5*Params!$B$37*Params!$B$5*Params!$B$87*Params!$B$74</f>
        <v/>
      </c>
      <c r="AX80" s="3">
        <f>MAU!AX5*Params!$B$37*Params!$B$5*Params!$B$87*Params!$B$74</f>
        <v/>
      </c>
      <c r="AY80" s="3">
        <f>MAU!AY5*Params!$B$37*Params!$B$5*Params!$B$87*Params!$B$74</f>
        <v/>
      </c>
      <c r="AZ80" s="3">
        <f>MAU!AZ5*Params!$B$37*Params!$B$5*Params!$B$87*Params!$B$74</f>
        <v/>
      </c>
      <c r="BA80" s="3">
        <f>MAU!BA5*Params!$B$37*Params!$B$5*Params!$B$87*Params!$B$74</f>
        <v/>
      </c>
      <c r="BB80" s="3">
        <f>MAU!BB5*Params!$B$37*Params!$B$5*Params!$B$87*Params!$B$74</f>
        <v/>
      </c>
      <c r="BC80" s="3">
        <f>MAU!BC5*Params!$B$37*Params!$B$5*Params!$B$87*Params!$B$74</f>
        <v/>
      </c>
      <c r="BD80" s="3">
        <f>MAU!BD5*Params!$B$37*Params!$B$5*Params!$B$87*Params!$B$74</f>
        <v/>
      </c>
      <c r="BE80" s="3">
        <f>MAU!BE5*Params!$B$37*Params!$B$5*Params!$B$87*Params!$B$74</f>
        <v/>
      </c>
      <c r="BF80" s="3">
        <f>MAU!BF5*Params!$B$37*Params!$B$5*Params!$B$87*Params!$B$74</f>
        <v/>
      </c>
      <c r="BG80" s="3">
        <f>MAU!BG5*Params!$B$37*Params!$B$5*Params!$B$87*Params!$B$74</f>
        <v/>
      </c>
      <c r="BH80" s="3">
        <f>MAU!BH5*Params!$B$37*Params!$B$5*Params!$B$87*Params!$B$74</f>
        <v/>
      </c>
      <c r="BI80" s="3">
        <f>MAU!BI5*Params!$B$37*Params!$B$5*Params!$B$87*Params!$B$74</f>
        <v/>
      </c>
      <c r="BJ80" s="3">
        <f>MAU!BJ5*Params!$B$37*Params!$B$5*Params!$B$87*Params!$B$74</f>
        <v/>
      </c>
      <c r="BK80" s="3">
        <f>MAU!BK5*Params!$B$37*Params!$B$5*Params!$B$87*Params!$B$74</f>
        <v/>
      </c>
      <c r="BL80" s="3">
        <f>MAU!BL5*Params!$B$37*Params!$B$5*Params!$B$87*Params!$B$74</f>
        <v/>
      </c>
      <c r="BM80" s="3">
        <f>MAU!BM5*Params!$B$37*Params!$B$5*Params!$B$87*Params!$B$74</f>
        <v/>
      </c>
      <c r="BN80" s="3">
        <f>MAU!BN5*Params!$B$37*Params!$B$5*Params!$B$87*Params!$B$74</f>
        <v/>
      </c>
      <c r="BO80" s="3">
        <f>MAU!BO5*Params!$B$37*Params!$B$5*Params!$B$87*Params!$B$74</f>
        <v/>
      </c>
      <c r="BP80" s="3">
        <f>MAU!BP5*Params!$B$37*Params!$B$5*Params!$B$87*Params!$B$74</f>
        <v/>
      </c>
      <c r="BQ80" s="3">
        <f>MAU!BQ5*Params!$B$37*Params!$B$5*Params!$B$87*Params!$B$74</f>
        <v/>
      </c>
      <c r="BR80" s="3">
        <f>MAU!BR5*Params!$B$37*Params!$B$5*Params!$B$87*Params!$B$74</f>
        <v/>
      </c>
      <c r="BS80" s="3">
        <f>MAU!BS5*Params!$B$37*Params!$B$5*Params!$B$87*Params!$B$74</f>
        <v/>
      </c>
      <c r="BT80" s="3">
        <f>MAU!BT5*Params!$B$37*Params!$B$5*Params!$B$87*Params!$B$74</f>
        <v/>
      </c>
      <c r="BU80" s="3">
        <f>MAU!BU5*Params!$B$37*Params!$B$5*Params!$B$87*Params!$B$74</f>
        <v/>
      </c>
      <c r="BV80" s="3">
        <f>MAU!BV5*Params!$B$37*Params!$B$5*Params!$B$87*Params!$B$74</f>
        <v/>
      </c>
    </row>
    <row r="81">
      <c r="A81" t="inlineStr">
        <is>
          <t>trial starts</t>
        </is>
      </c>
      <c r="B81" t="inlineStr">
        <is>
          <t>EUROPE|BASIC_A</t>
        </is>
      </c>
      <c r="C81" s="3">
        <f>C80*Params!$B$6</f>
        <v/>
      </c>
      <c r="D81" s="3">
        <f>D80*Params!$B$6</f>
        <v/>
      </c>
      <c r="E81" s="3">
        <f>E80*Params!$B$6</f>
        <v/>
      </c>
      <c r="F81" s="3">
        <f>F80*Params!$B$6</f>
        <v/>
      </c>
      <c r="G81" s="3">
        <f>G80*Params!$B$6</f>
        <v/>
      </c>
      <c r="H81" s="3">
        <f>H80*Params!$B$6</f>
        <v/>
      </c>
      <c r="I81" s="3">
        <f>I80*Params!$B$6</f>
        <v/>
      </c>
      <c r="J81" s="3">
        <f>J80*Params!$B$6</f>
        <v/>
      </c>
      <c r="K81" s="3">
        <f>K80*Params!$B$6</f>
        <v/>
      </c>
      <c r="L81" s="3">
        <f>L80*Params!$B$6</f>
        <v/>
      </c>
      <c r="M81" s="3">
        <f>M80*Params!$B$6</f>
        <v/>
      </c>
      <c r="N81" s="3">
        <f>N80*Params!$B$6</f>
        <v/>
      </c>
      <c r="O81" s="3">
        <f>O80*Params!$B$6</f>
        <v/>
      </c>
      <c r="P81" s="3">
        <f>P80*Params!$B$6</f>
        <v/>
      </c>
      <c r="Q81" s="3">
        <f>Q80*Params!$B$6</f>
        <v/>
      </c>
      <c r="R81" s="3">
        <f>R80*Params!$B$6</f>
        <v/>
      </c>
      <c r="S81" s="3">
        <f>S80*Params!$B$6</f>
        <v/>
      </c>
      <c r="T81" s="3">
        <f>T80*Params!$B$6</f>
        <v/>
      </c>
      <c r="U81" s="3">
        <f>U80*Params!$B$6</f>
        <v/>
      </c>
      <c r="V81" s="3">
        <f>V80*Params!$B$6</f>
        <v/>
      </c>
      <c r="W81" s="3">
        <f>W80*Params!$B$6</f>
        <v/>
      </c>
      <c r="X81" s="3">
        <f>X80*Params!$B$6</f>
        <v/>
      </c>
      <c r="Y81" s="3">
        <f>Y80*Params!$B$6</f>
        <v/>
      </c>
      <c r="Z81" s="3">
        <f>Z80*Params!$B$6</f>
        <v/>
      </c>
      <c r="AA81" s="3">
        <f>AA80*Params!$B$6</f>
        <v/>
      </c>
      <c r="AB81" s="3">
        <f>AB80*Params!$B$6</f>
        <v/>
      </c>
      <c r="AC81" s="3">
        <f>AC80*Params!$B$6</f>
        <v/>
      </c>
      <c r="AD81" s="3">
        <f>AD80*Params!$B$6</f>
        <v/>
      </c>
      <c r="AE81" s="3">
        <f>AE80*Params!$B$6</f>
        <v/>
      </c>
      <c r="AF81" s="3">
        <f>AF80*Params!$B$6</f>
        <v/>
      </c>
      <c r="AG81" s="3">
        <f>AG80*Params!$B$6</f>
        <v/>
      </c>
      <c r="AH81" s="3">
        <f>AH80*Params!$B$6</f>
        <v/>
      </c>
      <c r="AI81" s="3">
        <f>AI80*Params!$B$6</f>
        <v/>
      </c>
      <c r="AJ81" s="3">
        <f>AJ80*Params!$B$6</f>
        <v/>
      </c>
      <c r="AK81" s="3">
        <f>AK80*Params!$B$6</f>
        <v/>
      </c>
      <c r="AL81" s="3">
        <f>AL80*Params!$B$6</f>
        <v/>
      </c>
      <c r="AM81" s="3">
        <f>AM80*Params!$B$6</f>
        <v/>
      </c>
      <c r="AN81" s="3">
        <f>AN80*Params!$B$6</f>
        <v/>
      </c>
      <c r="AO81" s="3">
        <f>AO80*Params!$B$6</f>
        <v/>
      </c>
      <c r="AP81" s="3">
        <f>AP80*Params!$B$6</f>
        <v/>
      </c>
      <c r="AQ81" s="3">
        <f>AQ80*Params!$B$6</f>
        <v/>
      </c>
      <c r="AR81" s="3">
        <f>AR80*Params!$B$6</f>
        <v/>
      </c>
      <c r="AS81" s="3">
        <f>AS80*Params!$B$6</f>
        <v/>
      </c>
      <c r="AT81" s="3">
        <f>AT80*Params!$B$6</f>
        <v/>
      </c>
      <c r="AU81" s="3">
        <f>AU80*Params!$B$6</f>
        <v/>
      </c>
      <c r="AV81" s="3">
        <f>AV80*Params!$B$6</f>
        <v/>
      </c>
      <c r="AW81" s="3">
        <f>AW80*Params!$B$6</f>
        <v/>
      </c>
      <c r="AX81" s="3">
        <f>AX80*Params!$B$6</f>
        <v/>
      </c>
      <c r="AY81" s="3">
        <f>AY80*Params!$B$6</f>
        <v/>
      </c>
      <c r="AZ81" s="3">
        <f>AZ80*Params!$B$6</f>
        <v/>
      </c>
      <c r="BA81" s="3">
        <f>BA80*Params!$B$6</f>
        <v/>
      </c>
      <c r="BB81" s="3">
        <f>BB80*Params!$B$6</f>
        <v/>
      </c>
      <c r="BC81" s="3">
        <f>BC80*Params!$B$6</f>
        <v/>
      </c>
      <c r="BD81" s="3">
        <f>BD80*Params!$B$6</f>
        <v/>
      </c>
      <c r="BE81" s="3">
        <f>BE80*Params!$B$6</f>
        <v/>
      </c>
      <c r="BF81" s="3">
        <f>BF80*Params!$B$6</f>
        <v/>
      </c>
      <c r="BG81" s="3">
        <f>BG80*Params!$B$6</f>
        <v/>
      </c>
      <c r="BH81" s="3">
        <f>BH80*Params!$B$6</f>
        <v/>
      </c>
      <c r="BI81" s="3">
        <f>BI80*Params!$B$6</f>
        <v/>
      </c>
      <c r="BJ81" s="3">
        <f>BJ80*Params!$B$6</f>
        <v/>
      </c>
      <c r="BK81" s="3">
        <f>BK80*Params!$B$6</f>
        <v/>
      </c>
      <c r="BL81" s="3">
        <f>BL80*Params!$B$6</f>
        <v/>
      </c>
      <c r="BM81" s="3">
        <f>BM80*Params!$B$6</f>
        <v/>
      </c>
      <c r="BN81" s="3">
        <f>BN80*Params!$B$6</f>
        <v/>
      </c>
      <c r="BO81" s="3">
        <f>BO80*Params!$B$6</f>
        <v/>
      </c>
      <c r="BP81" s="3">
        <f>BP80*Params!$B$6</f>
        <v/>
      </c>
      <c r="BQ81" s="3">
        <f>BQ80*Params!$B$6</f>
        <v/>
      </c>
      <c r="BR81" s="3">
        <f>BR80*Params!$B$6</f>
        <v/>
      </c>
      <c r="BS81" s="3">
        <f>BS80*Params!$B$6</f>
        <v/>
      </c>
      <c r="BT81" s="3">
        <f>BT80*Params!$B$6</f>
        <v/>
      </c>
      <c r="BU81" s="3">
        <f>BU80*Params!$B$6</f>
        <v/>
      </c>
      <c r="BV81" s="3">
        <f>BV80*Params!$B$6</f>
        <v/>
      </c>
    </row>
    <row r="82">
      <c r="A82" t="inlineStr">
        <is>
          <t>direct paid starts</t>
        </is>
      </c>
      <c r="B82" t="inlineStr">
        <is>
          <t>EUROPE|BASIC_A</t>
        </is>
      </c>
      <c r="C82" s="3">
        <f>C80-C81</f>
        <v/>
      </c>
      <c r="D82" s="3">
        <f>D80-D81</f>
        <v/>
      </c>
      <c r="E82" s="3">
        <f>E80-E81</f>
        <v/>
      </c>
      <c r="F82" s="3">
        <f>F80-F81</f>
        <v/>
      </c>
      <c r="G82" s="3">
        <f>G80-G81</f>
        <v/>
      </c>
      <c r="H82" s="3">
        <f>H80-H81</f>
        <v/>
      </c>
      <c r="I82" s="3">
        <f>I80-I81</f>
        <v/>
      </c>
      <c r="J82" s="3">
        <f>J80-J81</f>
        <v/>
      </c>
      <c r="K82" s="3">
        <f>K80-K81</f>
        <v/>
      </c>
      <c r="L82" s="3">
        <f>L80-L81</f>
        <v/>
      </c>
      <c r="M82" s="3">
        <f>M80-M81</f>
        <v/>
      </c>
      <c r="N82" s="3">
        <f>N80-N81</f>
        <v/>
      </c>
      <c r="O82" s="3">
        <f>O80-O81</f>
        <v/>
      </c>
      <c r="P82" s="3">
        <f>P80-P81</f>
        <v/>
      </c>
      <c r="Q82" s="3">
        <f>Q80-Q81</f>
        <v/>
      </c>
      <c r="R82" s="3">
        <f>R80-R81</f>
        <v/>
      </c>
      <c r="S82" s="3">
        <f>S80-S81</f>
        <v/>
      </c>
      <c r="T82" s="3">
        <f>T80-T81</f>
        <v/>
      </c>
      <c r="U82" s="3">
        <f>U80-U81</f>
        <v/>
      </c>
      <c r="V82" s="3">
        <f>V80-V81</f>
        <v/>
      </c>
      <c r="W82" s="3">
        <f>W80-W81</f>
        <v/>
      </c>
      <c r="X82" s="3">
        <f>X80-X81</f>
        <v/>
      </c>
      <c r="Y82" s="3">
        <f>Y80-Y81</f>
        <v/>
      </c>
      <c r="Z82" s="3">
        <f>Z80-Z81</f>
        <v/>
      </c>
      <c r="AA82" s="3">
        <f>AA80-AA81</f>
        <v/>
      </c>
      <c r="AB82" s="3">
        <f>AB80-AB81</f>
        <v/>
      </c>
      <c r="AC82" s="3">
        <f>AC80-AC81</f>
        <v/>
      </c>
      <c r="AD82" s="3">
        <f>AD80-AD81</f>
        <v/>
      </c>
      <c r="AE82" s="3">
        <f>AE80-AE81</f>
        <v/>
      </c>
      <c r="AF82" s="3">
        <f>AF80-AF81</f>
        <v/>
      </c>
      <c r="AG82" s="3">
        <f>AG80-AG81</f>
        <v/>
      </c>
      <c r="AH82" s="3">
        <f>AH80-AH81</f>
        <v/>
      </c>
      <c r="AI82" s="3">
        <f>AI80-AI81</f>
        <v/>
      </c>
      <c r="AJ82" s="3">
        <f>AJ80-AJ81</f>
        <v/>
      </c>
      <c r="AK82" s="3">
        <f>AK80-AK81</f>
        <v/>
      </c>
      <c r="AL82" s="3">
        <f>AL80-AL81</f>
        <v/>
      </c>
      <c r="AM82" s="3">
        <f>AM80-AM81</f>
        <v/>
      </c>
      <c r="AN82" s="3">
        <f>AN80-AN81</f>
        <v/>
      </c>
      <c r="AO82" s="3">
        <f>AO80-AO81</f>
        <v/>
      </c>
      <c r="AP82" s="3">
        <f>AP80-AP81</f>
        <v/>
      </c>
      <c r="AQ82" s="3">
        <f>AQ80-AQ81</f>
        <v/>
      </c>
      <c r="AR82" s="3">
        <f>AR80-AR81</f>
        <v/>
      </c>
      <c r="AS82" s="3">
        <f>AS80-AS81</f>
        <v/>
      </c>
      <c r="AT82" s="3">
        <f>AT80-AT81</f>
        <v/>
      </c>
      <c r="AU82" s="3">
        <f>AU80-AU81</f>
        <v/>
      </c>
      <c r="AV82" s="3">
        <f>AV80-AV81</f>
        <v/>
      </c>
      <c r="AW82" s="3">
        <f>AW80-AW81</f>
        <v/>
      </c>
      <c r="AX82" s="3">
        <f>AX80-AX81</f>
        <v/>
      </c>
      <c r="AY82" s="3">
        <f>AY80-AY81</f>
        <v/>
      </c>
      <c r="AZ82" s="3">
        <f>AZ80-AZ81</f>
        <v/>
      </c>
      <c r="BA82" s="3">
        <f>BA80-BA81</f>
        <v/>
      </c>
      <c r="BB82" s="3">
        <f>BB80-BB81</f>
        <v/>
      </c>
      <c r="BC82" s="3">
        <f>BC80-BC81</f>
        <v/>
      </c>
      <c r="BD82" s="3">
        <f>BD80-BD81</f>
        <v/>
      </c>
      <c r="BE82" s="3">
        <f>BE80-BE81</f>
        <v/>
      </c>
      <c r="BF82" s="3">
        <f>BF80-BF81</f>
        <v/>
      </c>
      <c r="BG82" s="3">
        <f>BG80-BG81</f>
        <v/>
      </c>
      <c r="BH82" s="3">
        <f>BH80-BH81</f>
        <v/>
      </c>
      <c r="BI82" s="3">
        <f>BI80-BI81</f>
        <v/>
      </c>
      <c r="BJ82" s="3">
        <f>BJ80-BJ81</f>
        <v/>
      </c>
      <c r="BK82" s="3">
        <f>BK80-BK81</f>
        <v/>
      </c>
      <c r="BL82" s="3">
        <f>BL80-BL81</f>
        <v/>
      </c>
      <c r="BM82" s="3">
        <f>BM80-BM81</f>
        <v/>
      </c>
      <c r="BN82" s="3">
        <f>BN80-BN81</f>
        <v/>
      </c>
      <c r="BO82" s="3">
        <f>BO80-BO81</f>
        <v/>
      </c>
      <c r="BP82" s="3">
        <f>BP80-BP81</f>
        <v/>
      </c>
      <c r="BQ82" s="3">
        <f>BQ80-BQ81</f>
        <v/>
      </c>
      <c r="BR82" s="3">
        <f>BR80-BR81</f>
        <v/>
      </c>
      <c r="BS82" s="3">
        <f>BS80-BS81</f>
        <v/>
      </c>
      <c r="BT82" s="3">
        <f>BT80-BT81</f>
        <v/>
      </c>
      <c r="BU82" s="3">
        <f>BU80-BU81</f>
        <v/>
      </c>
      <c r="BV82" s="3">
        <f>BV80-BV81</f>
        <v/>
      </c>
    </row>
    <row r="83">
      <c r="A83" t="inlineStr">
        <is>
          <t>trials ending</t>
        </is>
      </c>
      <c r="B83" t="inlineStr">
        <is>
          <t>EUROPE|BASIC_A</t>
        </is>
      </c>
      <c r="C83" s="3">
        <f>IF(C$2&gt;=Params!$B$7,INDEX($C$81:$BV$81,C$2-Params!$B$7+1),0)</f>
        <v/>
      </c>
      <c r="D83" s="3">
        <f>IF(D$2&gt;=Params!$B$7,INDEX($C$81:$BV$81,D$2-Params!$B$7+1),0)</f>
        <v/>
      </c>
      <c r="E83" s="3">
        <f>IF(E$2&gt;=Params!$B$7,INDEX($C$81:$BV$81,E$2-Params!$B$7+1),0)</f>
        <v/>
      </c>
      <c r="F83" s="3">
        <f>IF(F$2&gt;=Params!$B$7,INDEX($C$81:$BV$81,F$2-Params!$B$7+1),0)</f>
        <v/>
      </c>
      <c r="G83" s="3">
        <f>IF(G$2&gt;=Params!$B$7,INDEX($C$81:$BV$81,G$2-Params!$B$7+1),0)</f>
        <v/>
      </c>
      <c r="H83" s="3">
        <f>IF(H$2&gt;=Params!$B$7,INDEX($C$81:$BV$81,H$2-Params!$B$7+1),0)</f>
        <v/>
      </c>
      <c r="I83" s="3">
        <f>IF(I$2&gt;=Params!$B$7,INDEX($C$81:$BV$81,I$2-Params!$B$7+1),0)</f>
        <v/>
      </c>
      <c r="J83" s="3">
        <f>IF(J$2&gt;=Params!$B$7,INDEX($C$81:$BV$81,J$2-Params!$B$7+1),0)</f>
        <v/>
      </c>
      <c r="K83" s="3">
        <f>IF(K$2&gt;=Params!$B$7,INDEX($C$81:$BV$81,K$2-Params!$B$7+1),0)</f>
        <v/>
      </c>
      <c r="L83" s="3">
        <f>IF(L$2&gt;=Params!$B$7,INDEX($C$81:$BV$81,L$2-Params!$B$7+1),0)</f>
        <v/>
      </c>
      <c r="M83" s="3">
        <f>IF(M$2&gt;=Params!$B$7,INDEX($C$81:$BV$81,M$2-Params!$B$7+1),0)</f>
        <v/>
      </c>
      <c r="N83" s="3">
        <f>IF(N$2&gt;=Params!$B$7,INDEX($C$81:$BV$81,N$2-Params!$B$7+1),0)</f>
        <v/>
      </c>
      <c r="O83" s="3">
        <f>IF(O$2&gt;=Params!$B$7,INDEX($C$81:$BV$81,O$2-Params!$B$7+1),0)</f>
        <v/>
      </c>
      <c r="P83" s="3">
        <f>IF(P$2&gt;=Params!$B$7,INDEX($C$81:$BV$81,P$2-Params!$B$7+1),0)</f>
        <v/>
      </c>
      <c r="Q83" s="3">
        <f>IF(Q$2&gt;=Params!$B$7,INDEX($C$81:$BV$81,Q$2-Params!$B$7+1),0)</f>
        <v/>
      </c>
      <c r="R83" s="3">
        <f>IF(R$2&gt;=Params!$B$7,INDEX($C$81:$BV$81,R$2-Params!$B$7+1),0)</f>
        <v/>
      </c>
      <c r="S83" s="3">
        <f>IF(S$2&gt;=Params!$B$7,INDEX($C$81:$BV$81,S$2-Params!$B$7+1),0)</f>
        <v/>
      </c>
      <c r="T83" s="3">
        <f>IF(T$2&gt;=Params!$B$7,INDEX($C$81:$BV$81,T$2-Params!$B$7+1),0)</f>
        <v/>
      </c>
      <c r="U83" s="3">
        <f>IF(U$2&gt;=Params!$B$7,INDEX($C$81:$BV$81,U$2-Params!$B$7+1),0)</f>
        <v/>
      </c>
      <c r="V83" s="3">
        <f>IF(V$2&gt;=Params!$B$7,INDEX($C$81:$BV$81,V$2-Params!$B$7+1),0)</f>
        <v/>
      </c>
      <c r="W83" s="3">
        <f>IF(W$2&gt;=Params!$B$7,INDEX($C$81:$BV$81,W$2-Params!$B$7+1),0)</f>
        <v/>
      </c>
      <c r="X83" s="3">
        <f>IF(X$2&gt;=Params!$B$7,INDEX($C$81:$BV$81,X$2-Params!$B$7+1),0)</f>
        <v/>
      </c>
      <c r="Y83" s="3">
        <f>IF(Y$2&gt;=Params!$B$7,INDEX($C$81:$BV$81,Y$2-Params!$B$7+1),0)</f>
        <v/>
      </c>
      <c r="Z83" s="3">
        <f>IF(Z$2&gt;=Params!$B$7,INDEX($C$81:$BV$81,Z$2-Params!$B$7+1),0)</f>
        <v/>
      </c>
      <c r="AA83" s="3">
        <f>IF(AA$2&gt;=Params!$B$7,INDEX($C$81:$BV$81,AA$2-Params!$B$7+1),0)</f>
        <v/>
      </c>
      <c r="AB83" s="3">
        <f>IF(AB$2&gt;=Params!$B$7,INDEX($C$81:$BV$81,AB$2-Params!$B$7+1),0)</f>
        <v/>
      </c>
      <c r="AC83" s="3">
        <f>IF(AC$2&gt;=Params!$B$7,INDEX($C$81:$BV$81,AC$2-Params!$B$7+1),0)</f>
        <v/>
      </c>
      <c r="AD83" s="3">
        <f>IF(AD$2&gt;=Params!$B$7,INDEX($C$81:$BV$81,AD$2-Params!$B$7+1),0)</f>
        <v/>
      </c>
      <c r="AE83" s="3">
        <f>IF(AE$2&gt;=Params!$B$7,INDEX($C$81:$BV$81,AE$2-Params!$B$7+1),0)</f>
        <v/>
      </c>
      <c r="AF83" s="3">
        <f>IF(AF$2&gt;=Params!$B$7,INDEX($C$81:$BV$81,AF$2-Params!$B$7+1),0)</f>
        <v/>
      </c>
      <c r="AG83" s="3">
        <f>IF(AG$2&gt;=Params!$B$7,INDEX($C$81:$BV$81,AG$2-Params!$B$7+1),0)</f>
        <v/>
      </c>
      <c r="AH83" s="3">
        <f>IF(AH$2&gt;=Params!$B$7,INDEX($C$81:$BV$81,AH$2-Params!$B$7+1),0)</f>
        <v/>
      </c>
      <c r="AI83" s="3">
        <f>IF(AI$2&gt;=Params!$B$7,INDEX($C$81:$BV$81,AI$2-Params!$B$7+1),0)</f>
        <v/>
      </c>
      <c r="AJ83" s="3">
        <f>IF(AJ$2&gt;=Params!$B$7,INDEX($C$81:$BV$81,AJ$2-Params!$B$7+1),0)</f>
        <v/>
      </c>
      <c r="AK83" s="3">
        <f>IF(AK$2&gt;=Params!$B$7,INDEX($C$81:$BV$81,AK$2-Params!$B$7+1),0)</f>
        <v/>
      </c>
      <c r="AL83" s="3">
        <f>IF(AL$2&gt;=Params!$B$7,INDEX($C$81:$BV$81,AL$2-Params!$B$7+1),0)</f>
        <v/>
      </c>
      <c r="AM83" s="3">
        <f>IF(AM$2&gt;=Params!$B$7,INDEX($C$81:$BV$81,AM$2-Params!$B$7+1),0)</f>
        <v/>
      </c>
      <c r="AN83" s="3">
        <f>IF(AN$2&gt;=Params!$B$7,INDEX($C$81:$BV$81,AN$2-Params!$B$7+1),0)</f>
        <v/>
      </c>
      <c r="AO83" s="3">
        <f>IF(AO$2&gt;=Params!$B$7,INDEX($C$81:$BV$81,AO$2-Params!$B$7+1),0)</f>
        <v/>
      </c>
      <c r="AP83" s="3">
        <f>IF(AP$2&gt;=Params!$B$7,INDEX($C$81:$BV$81,AP$2-Params!$B$7+1),0)</f>
        <v/>
      </c>
      <c r="AQ83" s="3">
        <f>IF(AQ$2&gt;=Params!$B$7,INDEX($C$81:$BV$81,AQ$2-Params!$B$7+1),0)</f>
        <v/>
      </c>
      <c r="AR83" s="3">
        <f>IF(AR$2&gt;=Params!$B$7,INDEX($C$81:$BV$81,AR$2-Params!$B$7+1),0)</f>
        <v/>
      </c>
      <c r="AS83" s="3">
        <f>IF(AS$2&gt;=Params!$B$7,INDEX($C$81:$BV$81,AS$2-Params!$B$7+1),0)</f>
        <v/>
      </c>
      <c r="AT83" s="3">
        <f>IF(AT$2&gt;=Params!$B$7,INDEX($C$81:$BV$81,AT$2-Params!$B$7+1),0)</f>
        <v/>
      </c>
      <c r="AU83" s="3">
        <f>IF(AU$2&gt;=Params!$B$7,INDEX($C$81:$BV$81,AU$2-Params!$B$7+1),0)</f>
        <v/>
      </c>
      <c r="AV83" s="3">
        <f>IF(AV$2&gt;=Params!$B$7,INDEX($C$81:$BV$81,AV$2-Params!$B$7+1),0)</f>
        <v/>
      </c>
      <c r="AW83" s="3">
        <f>IF(AW$2&gt;=Params!$B$7,INDEX($C$81:$BV$81,AW$2-Params!$B$7+1),0)</f>
        <v/>
      </c>
      <c r="AX83" s="3">
        <f>IF(AX$2&gt;=Params!$B$7,INDEX($C$81:$BV$81,AX$2-Params!$B$7+1),0)</f>
        <v/>
      </c>
      <c r="AY83" s="3">
        <f>IF(AY$2&gt;=Params!$B$7,INDEX($C$81:$BV$81,AY$2-Params!$B$7+1),0)</f>
        <v/>
      </c>
      <c r="AZ83" s="3">
        <f>IF(AZ$2&gt;=Params!$B$7,INDEX($C$81:$BV$81,AZ$2-Params!$B$7+1),0)</f>
        <v/>
      </c>
      <c r="BA83" s="3">
        <f>IF(BA$2&gt;=Params!$B$7,INDEX($C$81:$BV$81,BA$2-Params!$B$7+1),0)</f>
        <v/>
      </c>
      <c r="BB83" s="3">
        <f>IF(BB$2&gt;=Params!$B$7,INDEX($C$81:$BV$81,BB$2-Params!$B$7+1),0)</f>
        <v/>
      </c>
      <c r="BC83" s="3">
        <f>IF(BC$2&gt;=Params!$B$7,INDEX($C$81:$BV$81,BC$2-Params!$B$7+1),0)</f>
        <v/>
      </c>
      <c r="BD83" s="3">
        <f>IF(BD$2&gt;=Params!$B$7,INDEX($C$81:$BV$81,BD$2-Params!$B$7+1),0)</f>
        <v/>
      </c>
      <c r="BE83" s="3">
        <f>IF(BE$2&gt;=Params!$B$7,INDEX($C$81:$BV$81,BE$2-Params!$B$7+1),0)</f>
        <v/>
      </c>
      <c r="BF83" s="3">
        <f>IF(BF$2&gt;=Params!$B$7,INDEX($C$81:$BV$81,BF$2-Params!$B$7+1),0)</f>
        <v/>
      </c>
      <c r="BG83" s="3">
        <f>IF(BG$2&gt;=Params!$B$7,INDEX($C$81:$BV$81,BG$2-Params!$B$7+1),0)</f>
        <v/>
      </c>
      <c r="BH83" s="3">
        <f>IF(BH$2&gt;=Params!$B$7,INDEX($C$81:$BV$81,BH$2-Params!$B$7+1),0)</f>
        <v/>
      </c>
      <c r="BI83" s="3">
        <f>IF(BI$2&gt;=Params!$B$7,INDEX($C$81:$BV$81,BI$2-Params!$B$7+1),0)</f>
        <v/>
      </c>
      <c r="BJ83" s="3">
        <f>IF(BJ$2&gt;=Params!$B$7,INDEX($C$81:$BV$81,BJ$2-Params!$B$7+1),0)</f>
        <v/>
      </c>
      <c r="BK83" s="3">
        <f>IF(BK$2&gt;=Params!$B$7,INDEX($C$81:$BV$81,BK$2-Params!$B$7+1),0)</f>
        <v/>
      </c>
      <c r="BL83" s="3">
        <f>IF(BL$2&gt;=Params!$B$7,INDEX($C$81:$BV$81,BL$2-Params!$B$7+1),0)</f>
        <v/>
      </c>
      <c r="BM83" s="3">
        <f>IF(BM$2&gt;=Params!$B$7,INDEX($C$81:$BV$81,BM$2-Params!$B$7+1),0)</f>
        <v/>
      </c>
      <c r="BN83" s="3">
        <f>IF(BN$2&gt;=Params!$B$7,INDEX($C$81:$BV$81,BN$2-Params!$B$7+1),0)</f>
        <v/>
      </c>
      <c r="BO83" s="3">
        <f>IF(BO$2&gt;=Params!$B$7,INDEX($C$81:$BV$81,BO$2-Params!$B$7+1),0)</f>
        <v/>
      </c>
      <c r="BP83" s="3">
        <f>IF(BP$2&gt;=Params!$B$7,INDEX($C$81:$BV$81,BP$2-Params!$B$7+1),0)</f>
        <v/>
      </c>
      <c r="BQ83" s="3">
        <f>IF(BQ$2&gt;=Params!$B$7,INDEX($C$81:$BV$81,BQ$2-Params!$B$7+1),0)</f>
        <v/>
      </c>
      <c r="BR83" s="3">
        <f>IF(BR$2&gt;=Params!$B$7,INDEX($C$81:$BV$81,BR$2-Params!$B$7+1),0)</f>
        <v/>
      </c>
      <c r="BS83" s="3">
        <f>IF(BS$2&gt;=Params!$B$7,INDEX($C$81:$BV$81,BS$2-Params!$B$7+1),0)</f>
        <v/>
      </c>
      <c r="BT83" s="3">
        <f>IF(BT$2&gt;=Params!$B$7,INDEX($C$81:$BV$81,BT$2-Params!$B$7+1),0)</f>
        <v/>
      </c>
      <c r="BU83" s="3">
        <f>IF(BU$2&gt;=Params!$B$7,INDEX($C$81:$BV$81,BU$2-Params!$B$7+1),0)</f>
        <v/>
      </c>
      <c r="BV83" s="3">
        <f>IF(BV$2&gt;=Params!$B$7,INDEX($C$81:$BV$81,BV$2-Params!$B$7+1),0)</f>
        <v/>
      </c>
    </row>
    <row r="84">
      <c r="A84" t="inlineStr">
        <is>
          <t>trials converted</t>
        </is>
      </c>
      <c r="B84" t="inlineStr">
        <is>
          <t>EUROPE|BASIC_A</t>
        </is>
      </c>
      <c r="C84" s="3">
        <f>C83*Params!$B$8</f>
        <v/>
      </c>
      <c r="D84" s="3">
        <f>D83*Params!$B$8</f>
        <v/>
      </c>
      <c r="E84" s="3">
        <f>E83*Params!$B$8</f>
        <v/>
      </c>
      <c r="F84" s="3">
        <f>F83*Params!$B$8</f>
        <v/>
      </c>
      <c r="G84" s="3">
        <f>G83*Params!$B$8</f>
        <v/>
      </c>
      <c r="H84" s="3">
        <f>H83*Params!$B$8</f>
        <v/>
      </c>
      <c r="I84" s="3">
        <f>I83*Params!$B$8</f>
        <v/>
      </c>
      <c r="J84" s="3">
        <f>J83*Params!$B$8</f>
        <v/>
      </c>
      <c r="K84" s="3">
        <f>K83*Params!$B$8</f>
        <v/>
      </c>
      <c r="L84" s="3">
        <f>L83*Params!$B$8</f>
        <v/>
      </c>
      <c r="M84" s="3">
        <f>M83*Params!$B$8</f>
        <v/>
      </c>
      <c r="N84" s="3">
        <f>N83*Params!$B$8</f>
        <v/>
      </c>
      <c r="O84" s="3">
        <f>O83*Params!$B$8</f>
        <v/>
      </c>
      <c r="P84" s="3">
        <f>P83*Params!$B$8</f>
        <v/>
      </c>
      <c r="Q84" s="3">
        <f>Q83*Params!$B$8</f>
        <v/>
      </c>
      <c r="R84" s="3">
        <f>R83*Params!$B$8</f>
        <v/>
      </c>
      <c r="S84" s="3">
        <f>S83*Params!$B$8</f>
        <v/>
      </c>
      <c r="T84" s="3">
        <f>T83*Params!$B$8</f>
        <v/>
      </c>
      <c r="U84" s="3">
        <f>U83*Params!$B$8</f>
        <v/>
      </c>
      <c r="V84" s="3">
        <f>V83*Params!$B$8</f>
        <v/>
      </c>
      <c r="W84" s="3">
        <f>W83*Params!$B$8</f>
        <v/>
      </c>
      <c r="X84" s="3">
        <f>X83*Params!$B$8</f>
        <v/>
      </c>
      <c r="Y84" s="3">
        <f>Y83*Params!$B$8</f>
        <v/>
      </c>
      <c r="Z84" s="3">
        <f>Z83*Params!$B$8</f>
        <v/>
      </c>
      <c r="AA84" s="3">
        <f>AA83*Params!$B$8</f>
        <v/>
      </c>
      <c r="AB84" s="3">
        <f>AB83*Params!$B$8</f>
        <v/>
      </c>
      <c r="AC84" s="3">
        <f>AC83*Params!$B$8</f>
        <v/>
      </c>
      <c r="AD84" s="3">
        <f>AD83*Params!$B$8</f>
        <v/>
      </c>
      <c r="AE84" s="3">
        <f>AE83*Params!$B$8</f>
        <v/>
      </c>
      <c r="AF84" s="3">
        <f>AF83*Params!$B$8</f>
        <v/>
      </c>
      <c r="AG84" s="3">
        <f>AG83*Params!$B$8</f>
        <v/>
      </c>
      <c r="AH84" s="3">
        <f>AH83*Params!$B$8</f>
        <v/>
      </c>
      <c r="AI84" s="3">
        <f>AI83*Params!$B$8</f>
        <v/>
      </c>
      <c r="AJ84" s="3">
        <f>AJ83*Params!$B$8</f>
        <v/>
      </c>
      <c r="AK84" s="3">
        <f>AK83*Params!$B$8</f>
        <v/>
      </c>
      <c r="AL84" s="3">
        <f>AL83*Params!$B$8</f>
        <v/>
      </c>
      <c r="AM84" s="3">
        <f>AM83*Params!$B$8</f>
        <v/>
      </c>
      <c r="AN84" s="3">
        <f>AN83*Params!$B$8</f>
        <v/>
      </c>
      <c r="AO84" s="3">
        <f>AO83*Params!$B$8</f>
        <v/>
      </c>
      <c r="AP84" s="3">
        <f>AP83*Params!$B$8</f>
        <v/>
      </c>
      <c r="AQ84" s="3">
        <f>AQ83*Params!$B$8</f>
        <v/>
      </c>
      <c r="AR84" s="3">
        <f>AR83*Params!$B$8</f>
        <v/>
      </c>
      <c r="AS84" s="3">
        <f>AS83*Params!$B$8</f>
        <v/>
      </c>
      <c r="AT84" s="3">
        <f>AT83*Params!$B$8</f>
        <v/>
      </c>
      <c r="AU84" s="3">
        <f>AU83*Params!$B$8</f>
        <v/>
      </c>
      <c r="AV84" s="3">
        <f>AV83*Params!$B$8</f>
        <v/>
      </c>
      <c r="AW84" s="3">
        <f>AW83*Params!$B$8</f>
        <v/>
      </c>
      <c r="AX84" s="3">
        <f>AX83*Params!$B$8</f>
        <v/>
      </c>
      <c r="AY84" s="3">
        <f>AY83*Params!$B$8</f>
        <v/>
      </c>
      <c r="AZ84" s="3">
        <f>AZ83*Params!$B$8</f>
        <v/>
      </c>
      <c r="BA84" s="3">
        <f>BA83*Params!$B$8</f>
        <v/>
      </c>
      <c r="BB84" s="3">
        <f>BB83*Params!$B$8</f>
        <v/>
      </c>
      <c r="BC84" s="3">
        <f>BC83*Params!$B$8</f>
        <v/>
      </c>
      <c r="BD84" s="3">
        <f>BD83*Params!$B$8</f>
        <v/>
      </c>
      <c r="BE84" s="3">
        <f>BE83*Params!$B$8</f>
        <v/>
      </c>
      <c r="BF84" s="3">
        <f>BF83*Params!$B$8</f>
        <v/>
      </c>
      <c r="BG84" s="3">
        <f>BG83*Params!$B$8</f>
        <v/>
      </c>
      <c r="BH84" s="3">
        <f>BH83*Params!$B$8</f>
        <v/>
      </c>
      <c r="BI84" s="3">
        <f>BI83*Params!$B$8</f>
        <v/>
      </c>
      <c r="BJ84" s="3">
        <f>BJ83*Params!$B$8</f>
        <v/>
      </c>
      <c r="BK84" s="3">
        <f>BK83*Params!$B$8</f>
        <v/>
      </c>
      <c r="BL84" s="3">
        <f>BL83*Params!$B$8</f>
        <v/>
      </c>
      <c r="BM84" s="3">
        <f>BM83*Params!$B$8</f>
        <v/>
      </c>
      <c r="BN84" s="3">
        <f>BN83*Params!$B$8</f>
        <v/>
      </c>
      <c r="BO84" s="3">
        <f>BO83*Params!$B$8</f>
        <v/>
      </c>
      <c r="BP84" s="3">
        <f>BP83*Params!$B$8</f>
        <v/>
      </c>
      <c r="BQ84" s="3">
        <f>BQ83*Params!$B$8</f>
        <v/>
      </c>
      <c r="BR84" s="3">
        <f>BR83*Params!$B$8</f>
        <v/>
      </c>
      <c r="BS84" s="3">
        <f>BS83*Params!$B$8</f>
        <v/>
      </c>
      <c r="BT84" s="3">
        <f>BT83*Params!$B$8</f>
        <v/>
      </c>
      <c r="BU84" s="3">
        <f>BU83*Params!$B$8</f>
        <v/>
      </c>
      <c r="BV84" s="3">
        <f>BV83*Params!$B$8</f>
        <v/>
      </c>
    </row>
    <row r="85">
      <c r="A85" t="inlineStr">
        <is>
          <t>trials lost</t>
        </is>
      </c>
      <c r="B85" t="inlineStr">
        <is>
          <t>EUROPE|BASIC_A</t>
        </is>
      </c>
      <c r="C85" s="3">
        <f>C83-C84</f>
        <v/>
      </c>
      <c r="D85" s="3">
        <f>D83-D84</f>
        <v/>
      </c>
      <c r="E85" s="3">
        <f>E83-E84</f>
        <v/>
      </c>
      <c r="F85" s="3">
        <f>F83-F84</f>
        <v/>
      </c>
      <c r="G85" s="3">
        <f>G83-G84</f>
        <v/>
      </c>
      <c r="H85" s="3">
        <f>H83-H84</f>
        <v/>
      </c>
      <c r="I85" s="3">
        <f>I83-I84</f>
        <v/>
      </c>
      <c r="J85" s="3">
        <f>J83-J84</f>
        <v/>
      </c>
      <c r="K85" s="3">
        <f>K83-K84</f>
        <v/>
      </c>
      <c r="L85" s="3">
        <f>L83-L84</f>
        <v/>
      </c>
      <c r="M85" s="3">
        <f>M83-M84</f>
        <v/>
      </c>
      <c r="N85" s="3">
        <f>N83-N84</f>
        <v/>
      </c>
      <c r="O85" s="3">
        <f>O83-O84</f>
        <v/>
      </c>
      <c r="P85" s="3">
        <f>P83-P84</f>
        <v/>
      </c>
      <c r="Q85" s="3">
        <f>Q83-Q84</f>
        <v/>
      </c>
      <c r="R85" s="3">
        <f>R83-R84</f>
        <v/>
      </c>
      <c r="S85" s="3">
        <f>S83-S84</f>
        <v/>
      </c>
      <c r="T85" s="3">
        <f>T83-T84</f>
        <v/>
      </c>
      <c r="U85" s="3">
        <f>U83-U84</f>
        <v/>
      </c>
      <c r="V85" s="3">
        <f>V83-V84</f>
        <v/>
      </c>
      <c r="W85" s="3">
        <f>W83-W84</f>
        <v/>
      </c>
      <c r="X85" s="3">
        <f>X83-X84</f>
        <v/>
      </c>
      <c r="Y85" s="3">
        <f>Y83-Y84</f>
        <v/>
      </c>
      <c r="Z85" s="3">
        <f>Z83-Z84</f>
        <v/>
      </c>
      <c r="AA85" s="3">
        <f>AA83-AA84</f>
        <v/>
      </c>
      <c r="AB85" s="3">
        <f>AB83-AB84</f>
        <v/>
      </c>
      <c r="AC85" s="3">
        <f>AC83-AC84</f>
        <v/>
      </c>
      <c r="AD85" s="3">
        <f>AD83-AD84</f>
        <v/>
      </c>
      <c r="AE85" s="3">
        <f>AE83-AE84</f>
        <v/>
      </c>
      <c r="AF85" s="3">
        <f>AF83-AF84</f>
        <v/>
      </c>
      <c r="AG85" s="3">
        <f>AG83-AG84</f>
        <v/>
      </c>
      <c r="AH85" s="3">
        <f>AH83-AH84</f>
        <v/>
      </c>
      <c r="AI85" s="3">
        <f>AI83-AI84</f>
        <v/>
      </c>
      <c r="AJ85" s="3">
        <f>AJ83-AJ84</f>
        <v/>
      </c>
      <c r="AK85" s="3">
        <f>AK83-AK84</f>
        <v/>
      </c>
      <c r="AL85" s="3">
        <f>AL83-AL84</f>
        <v/>
      </c>
      <c r="AM85" s="3">
        <f>AM83-AM84</f>
        <v/>
      </c>
      <c r="AN85" s="3">
        <f>AN83-AN84</f>
        <v/>
      </c>
      <c r="AO85" s="3">
        <f>AO83-AO84</f>
        <v/>
      </c>
      <c r="AP85" s="3">
        <f>AP83-AP84</f>
        <v/>
      </c>
      <c r="AQ85" s="3">
        <f>AQ83-AQ84</f>
        <v/>
      </c>
      <c r="AR85" s="3">
        <f>AR83-AR84</f>
        <v/>
      </c>
      <c r="AS85" s="3">
        <f>AS83-AS84</f>
        <v/>
      </c>
      <c r="AT85" s="3">
        <f>AT83-AT84</f>
        <v/>
      </c>
      <c r="AU85" s="3">
        <f>AU83-AU84</f>
        <v/>
      </c>
      <c r="AV85" s="3">
        <f>AV83-AV84</f>
        <v/>
      </c>
      <c r="AW85" s="3">
        <f>AW83-AW84</f>
        <v/>
      </c>
      <c r="AX85" s="3">
        <f>AX83-AX84</f>
        <v/>
      </c>
      <c r="AY85" s="3">
        <f>AY83-AY84</f>
        <v/>
      </c>
      <c r="AZ85" s="3">
        <f>AZ83-AZ84</f>
        <v/>
      </c>
      <c r="BA85" s="3">
        <f>BA83-BA84</f>
        <v/>
      </c>
      <c r="BB85" s="3">
        <f>BB83-BB84</f>
        <v/>
      </c>
      <c r="BC85" s="3">
        <f>BC83-BC84</f>
        <v/>
      </c>
      <c r="BD85" s="3">
        <f>BD83-BD84</f>
        <v/>
      </c>
      <c r="BE85" s="3">
        <f>BE83-BE84</f>
        <v/>
      </c>
      <c r="BF85" s="3">
        <f>BF83-BF84</f>
        <v/>
      </c>
      <c r="BG85" s="3">
        <f>BG83-BG84</f>
        <v/>
      </c>
      <c r="BH85" s="3">
        <f>BH83-BH84</f>
        <v/>
      </c>
      <c r="BI85" s="3">
        <f>BI83-BI84</f>
        <v/>
      </c>
      <c r="BJ85" s="3">
        <f>BJ83-BJ84</f>
        <v/>
      </c>
      <c r="BK85" s="3">
        <f>BK83-BK84</f>
        <v/>
      </c>
      <c r="BL85" s="3">
        <f>BL83-BL84</f>
        <v/>
      </c>
      <c r="BM85" s="3">
        <f>BM83-BM84</f>
        <v/>
      </c>
      <c r="BN85" s="3">
        <f>BN83-BN84</f>
        <v/>
      </c>
      <c r="BO85" s="3">
        <f>BO83-BO84</f>
        <v/>
      </c>
      <c r="BP85" s="3">
        <f>BP83-BP84</f>
        <v/>
      </c>
      <c r="BQ85" s="3">
        <f>BQ83-BQ84</f>
        <v/>
      </c>
      <c r="BR85" s="3">
        <f>BR83-BR84</f>
        <v/>
      </c>
      <c r="BS85" s="3">
        <f>BS83-BS84</f>
        <v/>
      </c>
      <c r="BT85" s="3">
        <f>BT83-BT84</f>
        <v/>
      </c>
      <c r="BU85" s="3">
        <f>BU83-BU84</f>
        <v/>
      </c>
      <c r="BV85" s="3">
        <f>BV83-BV84</f>
        <v/>
      </c>
    </row>
    <row r="86">
      <c r="A86" t="inlineStr">
        <is>
          <t>cum trial starts</t>
        </is>
      </c>
      <c r="B86" t="inlineStr">
        <is>
          <t>EUROPE|BASIC_A</t>
        </is>
      </c>
      <c r="C86" s="3">
        <f>SUM($C81:C81)</f>
        <v/>
      </c>
      <c r="D86" s="3">
        <f>SUM($C81:D81)</f>
        <v/>
      </c>
      <c r="E86" s="3">
        <f>SUM($C81:E81)</f>
        <v/>
      </c>
      <c r="F86" s="3">
        <f>SUM($C81:F81)</f>
        <v/>
      </c>
      <c r="G86" s="3">
        <f>SUM($C81:G81)</f>
        <v/>
      </c>
      <c r="H86" s="3">
        <f>SUM($C81:H81)</f>
        <v/>
      </c>
      <c r="I86" s="3">
        <f>SUM($C81:I81)</f>
        <v/>
      </c>
      <c r="J86" s="3">
        <f>SUM($C81:J81)</f>
        <v/>
      </c>
      <c r="K86" s="3">
        <f>SUM($C81:K81)</f>
        <v/>
      </c>
      <c r="L86" s="3">
        <f>SUM($C81:L81)</f>
        <v/>
      </c>
      <c r="M86" s="3">
        <f>SUM($C81:M81)</f>
        <v/>
      </c>
      <c r="N86" s="3">
        <f>SUM($C81:N81)</f>
        <v/>
      </c>
      <c r="O86" s="3">
        <f>SUM($C81:O81)</f>
        <v/>
      </c>
      <c r="P86" s="3">
        <f>SUM($C81:P81)</f>
        <v/>
      </c>
      <c r="Q86" s="3">
        <f>SUM($C81:Q81)</f>
        <v/>
      </c>
      <c r="R86" s="3">
        <f>SUM($C81:R81)</f>
        <v/>
      </c>
      <c r="S86" s="3">
        <f>SUM($C81:S81)</f>
        <v/>
      </c>
      <c r="T86" s="3">
        <f>SUM($C81:T81)</f>
        <v/>
      </c>
      <c r="U86" s="3">
        <f>SUM($C81:U81)</f>
        <v/>
      </c>
      <c r="V86" s="3">
        <f>SUM($C81:V81)</f>
        <v/>
      </c>
      <c r="W86" s="3">
        <f>SUM($C81:W81)</f>
        <v/>
      </c>
      <c r="X86" s="3">
        <f>SUM($C81:X81)</f>
        <v/>
      </c>
      <c r="Y86" s="3">
        <f>SUM($C81:Y81)</f>
        <v/>
      </c>
      <c r="Z86" s="3">
        <f>SUM($C81:Z81)</f>
        <v/>
      </c>
      <c r="AA86" s="3">
        <f>SUM($C81:AA81)</f>
        <v/>
      </c>
      <c r="AB86" s="3">
        <f>SUM($C81:AB81)</f>
        <v/>
      </c>
      <c r="AC86" s="3">
        <f>SUM($C81:AC81)</f>
        <v/>
      </c>
      <c r="AD86" s="3">
        <f>SUM($C81:AD81)</f>
        <v/>
      </c>
      <c r="AE86" s="3">
        <f>SUM($C81:AE81)</f>
        <v/>
      </c>
      <c r="AF86" s="3">
        <f>SUM($C81:AF81)</f>
        <v/>
      </c>
      <c r="AG86" s="3">
        <f>SUM($C81:AG81)</f>
        <v/>
      </c>
      <c r="AH86" s="3">
        <f>SUM($C81:AH81)</f>
        <v/>
      </c>
      <c r="AI86" s="3">
        <f>SUM($C81:AI81)</f>
        <v/>
      </c>
      <c r="AJ86" s="3">
        <f>SUM($C81:AJ81)</f>
        <v/>
      </c>
      <c r="AK86" s="3">
        <f>SUM($C81:AK81)</f>
        <v/>
      </c>
      <c r="AL86" s="3">
        <f>SUM($C81:AL81)</f>
        <v/>
      </c>
      <c r="AM86" s="3">
        <f>SUM($C81:AM81)</f>
        <v/>
      </c>
      <c r="AN86" s="3">
        <f>SUM($C81:AN81)</f>
        <v/>
      </c>
      <c r="AO86" s="3">
        <f>SUM($C81:AO81)</f>
        <v/>
      </c>
      <c r="AP86" s="3">
        <f>SUM($C81:AP81)</f>
        <v/>
      </c>
      <c r="AQ86" s="3">
        <f>SUM($C81:AQ81)</f>
        <v/>
      </c>
      <c r="AR86" s="3">
        <f>SUM($C81:AR81)</f>
        <v/>
      </c>
      <c r="AS86" s="3">
        <f>SUM($C81:AS81)</f>
        <v/>
      </c>
      <c r="AT86" s="3">
        <f>SUM($C81:AT81)</f>
        <v/>
      </c>
      <c r="AU86" s="3">
        <f>SUM($C81:AU81)</f>
        <v/>
      </c>
      <c r="AV86" s="3">
        <f>SUM($C81:AV81)</f>
        <v/>
      </c>
      <c r="AW86" s="3">
        <f>SUM($C81:AW81)</f>
        <v/>
      </c>
      <c r="AX86" s="3">
        <f>SUM($C81:AX81)</f>
        <v/>
      </c>
      <c r="AY86" s="3">
        <f>SUM($C81:AY81)</f>
        <v/>
      </c>
      <c r="AZ86" s="3">
        <f>SUM($C81:AZ81)</f>
        <v/>
      </c>
      <c r="BA86" s="3">
        <f>SUM($C81:BA81)</f>
        <v/>
      </c>
      <c r="BB86" s="3">
        <f>SUM($C81:BB81)</f>
        <v/>
      </c>
      <c r="BC86" s="3">
        <f>SUM($C81:BC81)</f>
        <v/>
      </c>
      <c r="BD86" s="3">
        <f>SUM($C81:BD81)</f>
        <v/>
      </c>
      <c r="BE86" s="3">
        <f>SUM($C81:BE81)</f>
        <v/>
      </c>
      <c r="BF86" s="3">
        <f>SUM($C81:BF81)</f>
        <v/>
      </c>
      <c r="BG86" s="3">
        <f>SUM($C81:BG81)</f>
        <v/>
      </c>
      <c r="BH86" s="3">
        <f>SUM($C81:BH81)</f>
        <v/>
      </c>
      <c r="BI86" s="3">
        <f>SUM($C81:BI81)</f>
        <v/>
      </c>
      <c r="BJ86" s="3">
        <f>SUM($C81:BJ81)</f>
        <v/>
      </c>
      <c r="BK86" s="3">
        <f>SUM($C81:BK81)</f>
        <v/>
      </c>
      <c r="BL86" s="3">
        <f>SUM($C81:BL81)</f>
        <v/>
      </c>
      <c r="BM86" s="3">
        <f>SUM($C81:BM81)</f>
        <v/>
      </c>
      <c r="BN86" s="3">
        <f>SUM($C81:BN81)</f>
        <v/>
      </c>
      <c r="BO86" s="3">
        <f>SUM($C81:BO81)</f>
        <v/>
      </c>
      <c r="BP86" s="3">
        <f>SUM($C81:BP81)</f>
        <v/>
      </c>
      <c r="BQ86" s="3">
        <f>SUM($C81:BQ81)</f>
        <v/>
      </c>
      <c r="BR86" s="3">
        <f>SUM($C81:BR81)</f>
        <v/>
      </c>
      <c r="BS86" s="3">
        <f>SUM($C81:BS81)</f>
        <v/>
      </c>
      <c r="BT86" s="3">
        <f>SUM($C81:BT81)</f>
        <v/>
      </c>
      <c r="BU86" s="3">
        <f>SUM($C81:BU81)</f>
        <v/>
      </c>
      <c r="BV86" s="3">
        <f>SUM($C81:BV81)</f>
        <v/>
      </c>
    </row>
    <row r="87">
      <c r="A87" t="inlineStr">
        <is>
          <t>cum trials ending</t>
        </is>
      </c>
      <c r="B87" t="inlineStr">
        <is>
          <t>EUROPE|BASIC_A</t>
        </is>
      </c>
      <c r="C87" s="3">
        <f>SUM($C83:C83)</f>
        <v/>
      </c>
      <c r="D87" s="3">
        <f>SUM($C83:D83)</f>
        <v/>
      </c>
      <c r="E87" s="3">
        <f>SUM($C83:E83)</f>
        <v/>
      </c>
      <c r="F87" s="3">
        <f>SUM($C83:F83)</f>
        <v/>
      </c>
      <c r="G87" s="3">
        <f>SUM($C83:G83)</f>
        <v/>
      </c>
      <c r="H87" s="3">
        <f>SUM($C83:H83)</f>
        <v/>
      </c>
      <c r="I87" s="3">
        <f>SUM($C83:I83)</f>
        <v/>
      </c>
      <c r="J87" s="3">
        <f>SUM($C83:J83)</f>
        <v/>
      </c>
      <c r="K87" s="3">
        <f>SUM($C83:K83)</f>
        <v/>
      </c>
      <c r="L87" s="3">
        <f>SUM($C83:L83)</f>
        <v/>
      </c>
      <c r="M87" s="3">
        <f>SUM($C83:M83)</f>
        <v/>
      </c>
      <c r="N87" s="3">
        <f>SUM($C83:N83)</f>
        <v/>
      </c>
      <c r="O87" s="3">
        <f>SUM($C83:O83)</f>
        <v/>
      </c>
      <c r="P87" s="3">
        <f>SUM($C83:P83)</f>
        <v/>
      </c>
      <c r="Q87" s="3">
        <f>SUM($C83:Q83)</f>
        <v/>
      </c>
      <c r="R87" s="3">
        <f>SUM($C83:R83)</f>
        <v/>
      </c>
      <c r="S87" s="3">
        <f>SUM($C83:S83)</f>
        <v/>
      </c>
      <c r="T87" s="3">
        <f>SUM($C83:T83)</f>
        <v/>
      </c>
      <c r="U87" s="3">
        <f>SUM($C83:U83)</f>
        <v/>
      </c>
      <c r="V87" s="3">
        <f>SUM($C83:V83)</f>
        <v/>
      </c>
      <c r="W87" s="3">
        <f>SUM($C83:W83)</f>
        <v/>
      </c>
      <c r="X87" s="3">
        <f>SUM($C83:X83)</f>
        <v/>
      </c>
      <c r="Y87" s="3">
        <f>SUM($C83:Y83)</f>
        <v/>
      </c>
      <c r="Z87" s="3">
        <f>SUM($C83:Z83)</f>
        <v/>
      </c>
      <c r="AA87" s="3">
        <f>SUM($C83:AA83)</f>
        <v/>
      </c>
      <c r="AB87" s="3">
        <f>SUM($C83:AB83)</f>
        <v/>
      </c>
      <c r="AC87" s="3">
        <f>SUM($C83:AC83)</f>
        <v/>
      </c>
      <c r="AD87" s="3">
        <f>SUM($C83:AD83)</f>
        <v/>
      </c>
      <c r="AE87" s="3">
        <f>SUM($C83:AE83)</f>
        <v/>
      </c>
      <c r="AF87" s="3">
        <f>SUM($C83:AF83)</f>
        <v/>
      </c>
      <c r="AG87" s="3">
        <f>SUM($C83:AG83)</f>
        <v/>
      </c>
      <c r="AH87" s="3">
        <f>SUM($C83:AH83)</f>
        <v/>
      </c>
      <c r="AI87" s="3">
        <f>SUM($C83:AI83)</f>
        <v/>
      </c>
      <c r="AJ87" s="3">
        <f>SUM($C83:AJ83)</f>
        <v/>
      </c>
      <c r="AK87" s="3">
        <f>SUM($C83:AK83)</f>
        <v/>
      </c>
      <c r="AL87" s="3">
        <f>SUM($C83:AL83)</f>
        <v/>
      </c>
      <c r="AM87" s="3">
        <f>SUM($C83:AM83)</f>
        <v/>
      </c>
      <c r="AN87" s="3">
        <f>SUM($C83:AN83)</f>
        <v/>
      </c>
      <c r="AO87" s="3">
        <f>SUM($C83:AO83)</f>
        <v/>
      </c>
      <c r="AP87" s="3">
        <f>SUM($C83:AP83)</f>
        <v/>
      </c>
      <c r="AQ87" s="3">
        <f>SUM($C83:AQ83)</f>
        <v/>
      </c>
      <c r="AR87" s="3">
        <f>SUM($C83:AR83)</f>
        <v/>
      </c>
      <c r="AS87" s="3">
        <f>SUM($C83:AS83)</f>
        <v/>
      </c>
      <c r="AT87" s="3">
        <f>SUM($C83:AT83)</f>
        <v/>
      </c>
      <c r="AU87" s="3">
        <f>SUM($C83:AU83)</f>
        <v/>
      </c>
      <c r="AV87" s="3">
        <f>SUM($C83:AV83)</f>
        <v/>
      </c>
      <c r="AW87" s="3">
        <f>SUM($C83:AW83)</f>
        <v/>
      </c>
      <c r="AX87" s="3">
        <f>SUM($C83:AX83)</f>
        <v/>
      </c>
      <c r="AY87" s="3">
        <f>SUM($C83:AY83)</f>
        <v/>
      </c>
      <c r="AZ87" s="3">
        <f>SUM($C83:AZ83)</f>
        <v/>
      </c>
      <c r="BA87" s="3">
        <f>SUM($C83:BA83)</f>
        <v/>
      </c>
      <c r="BB87" s="3">
        <f>SUM($C83:BB83)</f>
        <v/>
      </c>
      <c r="BC87" s="3">
        <f>SUM($C83:BC83)</f>
        <v/>
      </c>
      <c r="BD87" s="3">
        <f>SUM($C83:BD83)</f>
        <v/>
      </c>
      <c r="BE87" s="3">
        <f>SUM($C83:BE83)</f>
        <v/>
      </c>
      <c r="BF87" s="3">
        <f>SUM($C83:BF83)</f>
        <v/>
      </c>
      <c r="BG87" s="3">
        <f>SUM($C83:BG83)</f>
        <v/>
      </c>
      <c r="BH87" s="3">
        <f>SUM($C83:BH83)</f>
        <v/>
      </c>
      <c r="BI87" s="3">
        <f>SUM($C83:BI83)</f>
        <v/>
      </c>
      <c r="BJ87" s="3">
        <f>SUM($C83:BJ83)</f>
        <v/>
      </c>
      <c r="BK87" s="3">
        <f>SUM($C83:BK83)</f>
        <v/>
      </c>
      <c r="BL87" s="3">
        <f>SUM($C83:BL83)</f>
        <v/>
      </c>
      <c r="BM87" s="3">
        <f>SUM($C83:BM83)</f>
        <v/>
      </c>
      <c r="BN87" s="3">
        <f>SUM($C83:BN83)</f>
        <v/>
      </c>
      <c r="BO87" s="3">
        <f>SUM($C83:BO83)</f>
        <v/>
      </c>
      <c r="BP87" s="3">
        <f>SUM($C83:BP83)</f>
        <v/>
      </c>
      <c r="BQ87" s="3">
        <f>SUM($C83:BQ83)</f>
        <v/>
      </c>
      <c r="BR87" s="3">
        <f>SUM($C83:BR83)</f>
        <v/>
      </c>
      <c r="BS87" s="3">
        <f>SUM($C83:BS83)</f>
        <v/>
      </c>
      <c r="BT87" s="3">
        <f>SUM($C83:BT83)</f>
        <v/>
      </c>
      <c r="BU87" s="3">
        <f>SUM($C83:BU83)</f>
        <v/>
      </c>
      <c r="BV87" s="3">
        <f>SUM($C83:BV83)</f>
        <v/>
      </c>
    </row>
    <row r="88">
      <c r="A88" t="inlineStr">
        <is>
          <t>trials active</t>
        </is>
      </c>
      <c r="B88" t="inlineStr">
        <is>
          <t>EUROPE|BASIC_A</t>
        </is>
      </c>
      <c r="C88" s="3">
        <f>C86-C87</f>
        <v/>
      </c>
      <c r="D88" s="3">
        <f>D86-D87</f>
        <v/>
      </c>
      <c r="E88" s="3">
        <f>E86-E87</f>
        <v/>
      </c>
      <c r="F88" s="3">
        <f>F86-F87</f>
        <v/>
      </c>
      <c r="G88" s="3">
        <f>G86-G87</f>
        <v/>
      </c>
      <c r="H88" s="3">
        <f>H86-H87</f>
        <v/>
      </c>
      <c r="I88" s="3">
        <f>I86-I87</f>
        <v/>
      </c>
      <c r="J88" s="3">
        <f>J86-J87</f>
        <v/>
      </c>
      <c r="K88" s="3">
        <f>K86-K87</f>
        <v/>
      </c>
      <c r="L88" s="3">
        <f>L86-L87</f>
        <v/>
      </c>
      <c r="M88" s="3">
        <f>M86-M87</f>
        <v/>
      </c>
      <c r="N88" s="3">
        <f>N86-N87</f>
        <v/>
      </c>
      <c r="O88" s="3">
        <f>O86-O87</f>
        <v/>
      </c>
      <c r="P88" s="3">
        <f>P86-P87</f>
        <v/>
      </c>
      <c r="Q88" s="3">
        <f>Q86-Q87</f>
        <v/>
      </c>
      <c r="R88" s="3">
        <f>R86-R87</f>
        <v/>
      </c>
      <c r="S88" s="3">
        <f>S86-S87</f>
        <v/>
      </c>
      <c r="T88" s="3">
        <f>T86-T87</f>
        <v/>
      </c>
      <c r="U88" s="3">
        <f>U86-U87</f>
        <v/>
      </c>
      <c r="V88" s="3">
        <f>V86-V87</f>
        <v/>
      </c>
      <c r="W88" s="3">
        <f>W86-W87</f>
        <v/>
      </c>
      <c r="X88" s="3">
        <f>X86-X87</f>
        <v/>
      </c>
      <c r="Y88" s="3">
        <f>Y86-Y87</f>
        <v/>
      </c>
      <c r="Z88" s="3">
        <f>Z86-Z87</f>
        <v/>
      </c>
      <c r="AA88" s="3">
        <f>AA86-AA87</f>
        <v/>
      </c>
      <c r="AB88" s="3">
        <f>AB86-AB87</f>
        <v/>
      </c>
      <c r="AC88" s="3">
        <f>AC86-AC87</f>
        <v/>
      </c>
      <c r="AD88" s="3">
        <f>AD86-AD87</f>
        <v/>
      </c>
      <c r="AE88" s="3">
        <f>AE86-AE87</f>
        <v/>
      </c>
      <c r="AF88" s="3">
        <f>AF86-AF87</f>
        <v/>
      </c>
      <c r="AG88" s="3">
        <f>AG86-AG87</f>
        <v/>
      </c>
      <c r="AH88" s="3">
        <f>AH86-AH87</f>
        <v/>
      </c>
      <c r="AI88" s="3">
        <f>AI86-AI87</f>
        <v/>
      </c>
      <c r="AJ88" s="3">
        <f>AJ86-AJ87</f>
        <v/>
      </c>
      <c r="AK88" s="3">
        <f>AK86-AK87</f>
        <v/>
      </c>
      <c r="AL88" s="3">
        <f>AL86-AL87</f>
        <v/>
      </c>
      <c r="AM88" s="3">
        <f>AM86-AM87</f>
        <v/>
      </c>
      <c r="AN88" s="3">
        <f>AN86-AN87</f>
        <v/>
      </c>
      <c r="AO88" s="3">
        <f>AO86-AO87</f>
        <v/>
      </c>
      <c r="AP88" s="3">
        <f>AP86-AP87</f>
        <v/>
      </c>
      <c r="AQ88" s="3">
        <f>AQ86-AQ87</f>
        <v/>
      </c>
      <c r="AR88" s="3">
        <f>AR86-AR87</f>
        <v/>
      </c>
      <c r="AS88" s="3">
        <f>AS86-AS87</f>
        <v/>
      </c>
      <c r="AT88" s="3">
        <f>AT86-AT87</f>
        <v/>
      </c>
      <c r="AU88" s="3">
        <f>AU86-AU87</f>
        <v/>
      </c>
      <c r="AV88" s="3">
        <f>AV86-AV87</f>
        <v/>
      </c>
      <c r="AW88" s="3">
        <f>AW86-AW87</f>
        <v/>
      </c>
      <c r="AX88" s="3">
        <f>AX86-AX87</f>
        <v/>
      </c>
      <c r="AY88" s="3">
        <f>AY86-AY87</f>
        <v/>
      </c>
      <c r="AZ88" s="3">
        <f>AZ86-AZ87</f>
        <v/>
      </c>
      <c r="BA88" s="3">
        <f>BA86-BA87</f>
        <v/>
      </c>
      <c r="BB88" s="3">
        <f>BB86-BB87</f>
        <v/>
      </c>
      <c r="BC88" s="3">
        <f>BC86-BC87</f>
        <v/>
      </c>
      <c r="BD88" s="3">
        <f>BD86-BD87</f>
        <v/>
      </c>
      <c r="BE88" s="3">
        <f>BE86-BE87</f>
        <v/>
      </c>
      <c r="BF88" s="3">
        <f>BF86-BF87</f>
        <v/>
      </c>
      <c r="BG88" s="3">
        <f>BG86-BG87</f>
        <v/>
      </c>
      <c r="BH88" s="3">
        <f>BH86-BH87</f>
        <v/>
      </c>
      <c r="BI88" s="3">
        <f>BI86-BI87</f>
        <v/>
      </c>
      <c r="BJ88" s="3">
        <f>BJ86-BJ87</f>
        <v/>
      </c>
      <c r="BK88" s="3">
        <f>BK86-BK87</f>
        <v/>
      </c>
      <c r="BL88" s="3">
        <f>BL86-BL87</f>
        <v/>
      </c>
      <c r="BM88" s="3">
        <f>BM86-BM87</f>
        <v/>
      </c>
      <c r="BN88" s="3">
        <f>BN86-BN87</f>
        <v/>
      </c>
      <c r="BO88" s="3">
        <f>BO86-BO87</f>
        <v/>
      </c>
      <c r="BP88" s="3">
        <f>BP86-BP87</f>
        <v/>
      </c>
      <c r="BQ88" s="3">
        <f>BQ86-BQ87</f>
        <v/>
      </c>
      <c r="BR88" s="3">
        <f>BR86-BR87</f>
        <v/>
      </c>
      <c r="BS88" s="3">
        <f>BS86-BS87</f>
        <v/>
      </c>
      <c r="BT88" s="3">
        <f>BT86-BT87</f>
        <v/>
      </c>
      <c r="BU88" s="3">
        <f>BU86-BU87</f>
        <v/>
      </c>
      <c r="BV88" s="3">
        <f>BV86-BV87</f>
        <v/>
      </c>
    </row>
    <row r="89">
      <c r="A89" t="inlineStr">
        <is>
          <t>paid starts</t>
        </is>
      </c>
      <c r="B89" t="inlineStr">
        <is>
          <t>EUROPE|BASIC_A</t>
        </is>
      </c>
      <c r="C89" s="3">
        <f>C82+C84</f>
        <v/>
      </c>
      <c r="D89" s="3">
        <f>D82+D84</f>
        <v/>
      </c>
      <c r="E89" s="3">
        <f>E82+E84</f>
        <v/>
      </c>
      <c r="F89" s="3">
        <f>F82+F84</f>
        <v/>
      </c>
      <c r="G89" s="3">
        <f>G82+G84</f>
        <v/>
      </c>
      <c r="H89" s="3">
        <f>H82+H84</f>
        <v/>
      </c>
      <c r="I89" s="3">
        <f>I82+I84</f>
        <v/>
      </c>
      <c r="J89" s="3">
        <f>J82+J84</f>
        <v/>
      </c>
      <c r="K89" s="3">
        <f>K82+K84</f>
        <v/>
      </c>
      <c r="L89" s="3">
        <f>L82+L84</f>
        <v/>
      </c>
      <c r="M89" s="3">
        <f>M82+M84</f>
        <v/>
      </c>
      <c r="N89" s="3">
        <f>N82+N84</f>
        <v/>
      </c>
      <c r="O89" s="3">
        <f>O82+O84</f>
        <v/>
      </c>
      <c r="P89" s="3">
        <f>P82+P84</f>
        <v/>
      </c>
      <c r="Q89" s="3">
        <f>Q82+Q84</f>
        <v/>
      </c>
      <c r="R89" s="3">
        <f>R82+R84</f>
        <v/>
      </c>
      <c r="S89" s="3">
        <f>S82+S84</f>
        <v/>
      </c>
      <c r="T89" s="3">
        <f>T82+T84</f>
        <v/>
      </c>
      <c r="U89" s="3">
        <f>U82+U84</f>
        <v/>
      </c>
      <c r="V89" s="3">
        <f>V82+V84</f>
        <v/>
      </c>
      <c r="W89" s="3">
        <f>W82+W84</f>
        <v/>
      </c>
      <c r="X89" s="3">
        <f>X82+X84</f>
        <v/>
      </c>
      <c r="Y89" s="3">
        <f>Y82+Y84</f>
        <v/>
      </c>
      <c r="Z89" s="3">
        <f>Z82+Z84</f>
        <v/>
      </c>
      <c r="AA89" s="3">
        <f>AA82+AA84</f>
        <v/>
      </c>
      <c r="AB89" s="3">
        <f>AB82+AB84</f>
        <v/>
      </c>
      <c r="AC89" s="3">
        <f>AC82+AC84</f>
        <v/>
      </c>
      <c r="AD89" s="3">
        <f>AD82+AD84</f>
        <v/>
      </c>
      <c r="AE89" s="3">
        <f>AE82+AE84</f>
        <v/>
      </c>
      <c r="AF89" s="3">
        <f>AF82+AF84</f>
        <v/>
      </c>
      <c r="AG89" s="3">
        <f>AG82+AG84</f>
        <v/>
      </c>
      <c r="AH89" s="3">
        <f>AH82+AH84</f>
        <v/>
      </c>
      <c r="AI89" s="3">
        <f>AI82+AI84</f>
        <v/>
      </c>
      <c r="AJ89" s="3">
        <f>AJ82+AJ84</f>
        <v/>
      </c>
      <c r="AK89" s="3">
        <f>AK82+AK84</f>
        <v/>
      </c>
      <c r="AL89" s="3">
        <f>AL82+AL84</f>
        <v/>
      </c>
      <c r="AM89" s="3">
        <f>AM82+AM84</f>
        <v/>
      </c>
      <c r="AN89" s="3">
        <f>AN82+AN84</f>
        <v/>
      </c>
      <c r="AO89" s="3">
        <f>AO82+AO84</f>
        <v/>
      </c>
      <c r="AP89" s="3">
        <f>AP82+AP84</f>
        <v/>
      </c>
      <c r="AQ89" s="3">
        <f>AQ82+AQ84</f>
        <v/>
      </c>
      <c r="AR89" s="3">
        <f>AR82+AR84</f>
        <v/>
      </c>
      <c r="AS89" s="3">
        <f>AS82+AS84</f>
        <v/>
      </c>
      <c r="AT89" s="3">
        <f>AT82+AT84</f>
        <v/>
      </c>
      <c r="AU89" s="3">
        <f>AU82+AU84</f>
        <v/>
      </c>
      <c r="AV89" s="3">
        <f>AV82+AV84</f>
        <v/>
      </c>
      <c r="AW89" s="3">
        <f>AW82+AW84</f>
        <v/>
      </c>
      <c r="AX89" s="3">
        <f>AX82+AX84</f>
        <v/>
      </c>
      <c r="AY89" s="3">
        <f>AY82+AY84</f>
        <v/>
      </c>
      <c r="AZ89" s="3">
        <f>AZ82+AZ84</f>
        <v/>
      </c>
      <c r="BA89" s="3">
        <f>BA82+BA84</f>
        <v/>
      </c>
      <c r="BB89" s="3">
        <f>BB82+BB84</f>
        <v/>
      </c>
      <c r="BC89" s="3">
        <f>BC82+BC84</f>
        <v/>
      </c>
      <c r="BD89" s="3">
        <f>BD82+BD84</f>
        <v/>
      </c>
      <c r="BE89" s="3">
        <f>BE82+BE84</f>
        <v/>
      </c>
      <c r="BF89" s="3">
        <f>BF82+BF84</f>
        <v/>
      </c>
      <c r="BG89" s="3">
        <f>BG82+BG84</f>
        <v/>
      </c>
      <c r="BH89" s="3">
        <f>BH82+BH84</f>
        <v/>
      </c>
      <c r="BI89" s="3">
        <f>BI82+BI84</f>
        <v/>
      </c>
      <c r="BJ89" s="3">
        <f>BJ82+BJ84</f>
        <v/>
      </c>
      <c r="BK89" s="3">
        <f>BK82+BK84</f>
        <v/>
      </c>
      <c r="BL89" s="3">
        <f>BL82+BL84</f>
        <v/>
      </c>
      <c r="BM89" s="3">
        <f>BM82+BM84</f>
        <v/>
      </c>
      <c r="BN89" s="3">
        <f>BN82+BN84</f>
        <v/>
      </c>
      <c r="BO89" s="3">
        <f>BO82+BO84</f>
        <v/>
      </c>
      <c r="BP89" s="3">
        <f>BP82+BP84</f>
        <v/>
      </c>
      <c r="BQ89" s="3">
        <f>BQ82+BQ84</f>
        <v/>
      </c>
      <c r="BR89" s="3">
        <f>BR82+BR84</f>
        <v/>
      </c>
      <c r="BS89" s="3">
        <f>BS82+BS84</f>
        <v/>
      </c>
      <c r="BT89" s="3">
        <f>BT82+BT84</f>
        <v/>
      </c>
      <c r="BU89" s="3">
        <f>BU82+BU84</f>
        <v/>
      </c>
      <c r="BV89" s="3">
        <f>BV82+BV84</f>
        <v/>
      </c>
    </row>
    <row r="91">
      <c r="A91" t="inlineStr">
        <is>
          <t>gross adds</t>
        </is>
      </c>
      <c r="B91" t="inlineStr">
        <is>
          <t>LATAM|NITRO_M</t>
        </is>
      </c>
      <c r="C91" s="3">
        <f>MAU!C6*Params!$B$38*Params!$B$5*Params!$B$87*Params!$B$71</f>
        <v/>
      </c>
      <c r="D91" s="3">
        <f>MAU!D6*Params!$B$38*Params!$B$5*Params!$B$87*Params!$B$71</f>
        <v/>
      </c>
      <c r="E91" s="3">
        <f>MAU!E6*Params!$B$38*Params!$B$5*Params!$B$87*Params!$B$71</f>
        <v/>
      </c>
      <c r="F91" s="3">
        <f>MAU!F6*Params!$B$38*Params!$B$5*Params!$B$87*Params!$B$71</f>
        <v/>
      </c>
      <c r="G91" s="3">
        <f>MAU!G6*Params!$B$38*Params!$B$5*Params!$B$87*Params!$B$71</f>
        <v/>
      </c>
      <c r="H91" s="3">
        <f>MAU!H6*Params!$B$38*Params!$B$5*Params!$B$87*Params!$B$71</f>
        <v/>
      </c>
      <c r="I91" s="3">
        <f>MAU!I6*Params!$B$38*Params!$B$5*Params!$B$87*Params!$B$71</f>
        <v/>
      </c>
      <c r="J91" s="3">
        <f>MAU!J6*Params!$B$38*Params!$B$5*Params!$B$87*Params!$B$71</f>
        <v/>
      </c>
      <c r="K91" s="3">
        <f>MAU!K6*Params!$B$38*Params!$B$5*Params!$B$87*Params!$B$71</f>
        <v/>
      </c>
      <c r="L91" s="3">
        <f>MAU!L6*Params!$B$38*Params!$B$5*Params!$B$87*Params!$B$71</f>
        <v/>
      </c>
      <c r="M91" s="3">
        <f>MAU!M6*Params!$B$38*Params!$B$5*Params!$B$87*Params!$B$71</f>
        <v/>
      </c>
      <c r="N91" s="3">
        <f>MAU!N6*Params!$B$38*Params!$B$5*Params!$B$87*Params!$B$71</f>
        <v/>
      </c>
      <c r="O91" s="3">
        <f>MAU!O6*Params!$B$38*Params!$B$5*Params!$B$87*Params!$B$71</f>
        <v/>
      </c>
      <c r="P91" s="3">
        <f>MAU!P6*Params!$B$38*Params!$B$5*Params!$B$87*Params!$B$71</f>
        <v/>
      </c>
      <c r="Q91" s="3">
        <f>MAU!Q6*Params!$B$38*Params!$B$5*Params!$B$87*Params!$B$71</f>
        <v/>
      </c>
      <c r="R91" s="3">
        <f>MAU!R6*Params!$B$38*Params!$B$5*Params!$B$87*Params!$B$71</f>
        <v/>
      </c>
      <c r="S91" s="3">
        <f>MAU!S6*Params!$B$38*Params!$B$5*Params!$B$87*Params!$B$71</f>
        <v/>
      </c>
      <c r="T91" s="3">
        <f>MAU!T6*Params!$B$38*Params!$B$5*Params!$B$87*Params!$B$71</f>
        <v/>
      </c>
      <c r="U91" s="3">
        <f>MAU!U6*Params!$B$38*Params!$B$5*Params!$B$87*Params!$B$71</f>
        <v/>
      </c>
      <c r="V91" s="3">
        <f>MAU!V6*Params!$B$38*Params!$B$5*Params!$B$87*Params!$B$71</f>
        <v/>
      </c>
      <c r="W91" s="3">
        <f>MAU!W6*Params!$B$38*Params!$B$5*Params!$B$87*Params!$B$71</f>
        <v/>
      </c>
      <c r="X91" s="3">
        <f>MAU!X6*Params!$B$38*Params!$B$5*Params!$B$87*Params!$B$71</f>
        <v/>
      </c>
      <c r="Y91" s="3">
        <f>MAU!Y6*Params!$B$38*Params!$B$5*Params!$B$87*Params!$B$71</f>
        <v/>
      </c>
      <c r="Z91" s="3">
        <f>MAU!Z6*Params!$B$38*Params!$B$5*Params!$B$87*Params!$B$71</f>
        <v/>
      </c>
      <c r="AA91" s="3">
        <f>MAU!AA6*Params!$B$38*Params!$B$5*Params!$B$87*Params!$B$71</f>
        <v/>
      </c>
      <c r="AB91" s="3">
        <f>MAU!AB6*Params!$B$38*Params!$B$5*Params!$B$87*Params!$B$71</f>
        <v/>
      </c>
      <c r="AC91" s="3">
        <f>MAU!AC6*Params!$B$38*Params!$B$5*Params!$B$87*Params!$B$71</f>
        <v/>
      </c>
      <c r="AD91" s="3">
        <f>MAU!AD6*Params!$B$38*Params!$B$5*Params!$B$87*Params!$B$71</f>
        <v/>
      </c>
      <c r="AE91" s="3">
        <f>MAU!AE6*Params!$B$38*Params!$B$5*Params!$B$87*Params!$B$71</f>
        <v/>
      </c>
      <c r="AF91" s="3">
        <f>MAU!AF6*Params!$B$38*Params!$B$5*Params!$B$87*Params!$B$71</f>
        <v/>
      </c>
      <c r="AG91" s="3">
        <f>MAU!AG6*Params!$B$38*Params!$B$5*Params!$B$87*Params!$B$71</f>
        <v/>
      </c>
      <c r="AH91" s="3">
        <f>MAU!AH6*Params!$B$38*Params!$B$5*Params!$B$87*Params!$B$71</f>
        <v/>
      </c>
      <c r="AI91" s="3">
        <f>MAU!AI6*Params!$B$38*Params!$B$5*Params!$B$87*Params!$B$71</f>
        <v/>
      </c>
      <c r="AJ91" s="3">
        <f>MAU!AJ6*Params!$B$38*Params!$B$5*Params!$B$87*Params!$B$71</f>
        <v/>
      </c>
      <c r="AK91" s="3">
        <f>MAU!AK6*Params!$B$38*Params!$B$5*Params!$B$87*Params!$B$71</f>
        <v/>
      </c>
      <c r="AL91" s="3">
        <f>MAU!AL6*Params!$B$38*Params!$B$5*Params!$B$87*Params!$B$71</f>
        <v/>
      </c>
      <c r="AM91" s="3">
        <f>MAU!AM6*Params!$B$38*Params!$B$5*Params!$B$87*Params!$B$71</f>
        <v/>
      </c>
      <c r="AN91" s="3">
        <f>MAU!AN6*Params!$B$38*Params!$B$5*Params!$B$87*Params!$B$71</f>
        <v/>
      </c>
      <c r="AO91" s="3">
        <f>MAU!AO6*Params!$B$38*Params!$B$5*Params!$B$87*Params!$B$71</f>
        <v/>
      </c>
      <c r="AP91" s="3">
        <f>MAU!AP6*Params!$B$38*Params!$B$5*Params!$B$87*Params!$B$71</f>
        <v/>
      </c>
      <c r="AQ91" s="3">
        <f>MAU!AQ6*Params!$B$38*Params!$B$5*Params!$B$87*Params!$B$71</f>
        <v/>
      </c>
      <c r="AR91" s="3">
        <f>MAU!AR6*Params!$B$38*Params!$B$5*Params!$B$87*Params!$B$71</f>
        <v/>
      </c>
      <c r="AS91" s="3">
        <f>MAU!AS6*Params!$B$38*Params!$B$5*Params!$B$87*Params!$B$71</f>
        <v/>
      </c>
      <c r="AT91" s="3">
        <f>MAU!AT6*Params!$B$38*Params!$B$5*Params!$B$87*Params!$B$71</f>
        <v/>
      </c>
      <c r="AU91" s="3">
        <f>MAU!AU6*Params!$B$38*Params!$B$5*Params!$B$87*Params!$B$71</f>
        <v/>
      </c>
      <c r="AV91" s="3">
        <f>MAU!AV6*Params!$B$38*Params!$B$5*Params!$B$87*Params!$B$71</f>
        <v/>
      </c>
      <c r="AW91" s="3">
        <f>MAU!AW6*Params!$B$38*Params!$B$5*Params!$B$87*Params!$B$71</f>
        <v/>
      </c>
      <c r="AX91" s="3">
        <f>MAU!AX6*Params!$B$38*Params!$B$5*Params!$B$87*Params!$B$71</f>
        <v/>
      </c>
      <c r="AY91" s="3">
        <f>MAU!AY6*Params!$B$38*Params!$B$5*Params!$B$87*Params!$B$71</f>
        <v/>
      </c>
      <c r="AZ91" s="3">
        <f>MAU!AZ6*Params!$B$38*Params!$B$5*Params!$B$87*Params!$B$71</f>
        <v/>
      </c>
      <c r="BA91" s="3">
        <f>MAU!BA6*Params!$B$38*Params!$B$5*Params!$B$87*Params!$B$71</f>
        <v/>
      </c>
      <c r="BB91" s="3">
        <f>MAU!BB6*Params!$B$38*Params!$B$5*Params!$B$87*Params!$B$71</f>
        <v/>
      </c>
      <c r="BC91" s="3">
        <f>MAU!BC6*Params!$B$38*Params!$B$5*Params!$B$87*Params!$B$71</f>
        <v/>
      </c>
      <c r="BD91" s="3">
        <f>MAU!BD6*Params!$B$38*Params!$B$5*Params!$B$87*Params!$B$71</f>
        <v/>
      </c>
      <c r="BE91" s="3">
        <f>MAU!BE6*Params!$B$38*Params!$B$5*Params!$B$87*Params!$B$71</f>
        <v/>
      </c>
      <c r="BF91" s="3">
        <f>MAU!BF6*Params!$B$38*Params!$B$5*Params!$B$87*Params!$B$71</f>
        <v/>
      </c>
      <c r="BG91" s="3">
        <f>MAU!BG6*Params!$B$38*Params!$B$5*Params!$B$87*Params!$B$71</f>
        <v/>
      </c>
      <c r="BH91" s="3">
        <f>MAU!BH6*Params!$B$38*Params!$B$5*Params!$B$87*Params!$B$71</f>
        <v/>
      </c>
      <c r="BI91" s="3">
        <f>MAU!BI6*Params!$B$38*Params!$B$5*Params!$B$87*Params!$B$71</f>
        <v/>
      </c>
      <c r="BJ91" s="3">
        <f>MAU!BJ6*Params!$B$38*Params!$B$5*Params!$B$87*Params!$B$71</f>
        <v/>
      </c>
      <c r="BK91" s="3">
        <f>MAU!BK6*Params!$B$38*Params!$B$5*Params!$B$87*Params!$B$71</f>
        <v/>
      </c>
      <c r="BL91" s="3">
        <f>MAU!BL6*Params!$B$38*Params!$B$5*Params!$B$87*Params!$B$71</f>
        <v/>
      </c>
      <c r="BM91" s="3">
        <f>MAU!BM6*Params!$B$38*Params!$B$5*Params!$B$87*Params!$B$71</f>
        <v/>
      </c>
      <c r="BN91" s="3">
        <f>MAU!BN6*Params!$B$38*Params!$B$5*Params!$B$87*Params!$B$71</f>
        <v/>
      </c>
      <c r="BO91" s="3">
        <f>MAU!BO6*Params!$B$38*Params!$B$5*Params!$B$87*Params!$B$71</f>
        <v/>
      </c>
      <c r="BP91" s="3">
        <f>MAU!BP6*Params!$B$38*Params!$B$5*Params!$B$87*Params!$B$71</f>
        <v/>
      </c>
      <c r="BQ91" s="3">
        <f>MAU!BQ6*Params!$B$38*Params!$B$5*Params!$B$87*Params!$B$71</f>
        <v/>
      </c>
      <c r="BR91" s="3">
        <f>MAU!BR6*Params!$B$38*Params!$B$5*Params!$B$87*Params!$B$71</f>
        <v/>
      </c>
      <c r="BS91" s="3">
        <f>MAU!BS6*Params!$B$38*Params!$B$5*Params!$B$87*Params!$B$71</f>
        <v/>
      </c>
      <c r="BT91" s="3">
        <f>MAU!BT6*Params!$B$38*Params!$B$5*Params!$B$87*Params!$B$71</f>
        <v/>
      </c>
      <c r="BU91" s="3">
        <f>MAU!BU6*Params!$B$38*Params!$B$5*Params!$B$87*Params!$B$71</f>
        <v/>
      </c>
      <c r="BV91" s="3">
        <f>MAU!BV6*Params!$B$38*Params!$B$5*Params!$B$87*Params!$B$71</f>
        <v/>
      </c>
    </row>
    <row r="92">
      <c r="A92" t="inlineStr">
        <is>
          <t>trial starts</t>
        </is>
      </c>
      <c r="B92" t="inlineStr">
        <is>
          <t>LATAM|NITRO_M</t>
        </is>
      </c>
      <c r="C92" s="3">
        <f>C91*Params!$B$6</f>
        <v/>
      </c>
      <c r="D92" s="3">
        <f>D91*Params!$B$6</f>
        <v/>
      </c>
      <c r="E92" s="3">
        <f>E91*Params!$B$6</f>
        <v/>
      </c>
      <c r="F92" s="3">
        <f>F91*Params!$B$6</f>
        <v/>
      </c>
      <c r="G92" s="3">
        <f>G91*Params!$B$6</f>
        <v/>
      </c>
      <c r="H92" s="3">
        <f>H91*Params!$B$6</f>
        <v/>
      </c>
      <c r="I92" s="3">
        <f>I91*Params!$B$6</f>
        <v/>
      </c>
      <c r="J92" s="3">
        <f>J91*Params!$B$6</f>
        <v/>
      </c>
      <c r="K92" s="3">
        <f>K91*Params!$B$6</f>
        <v/>
      </c>
      <c r="L92" s="3">
        <f>L91*Params!$B$6</f>
        <v/>
      </c>
      <c r="M92" s="3">
        <f>M91*Params!$B$6</f>
        <v/>
      </c>
      <c r="N92" s="3">
        <f>N91*Params!$B$6</f>
        <v/>
      </c>
      <c r="O92" s="3">
        <f>O91*Params!$B$6</f>
        <v/>
      </c>
      <c r="P92" s="3">
        <f>P91*Params!$B$6</f>
        <v/>
      </c>
      <c r="Q92" s="3">
        <f>Q91*Params!$B$6</f>
        <v/>
      </c>
      <c r="R92" s="3">
        <f>R91*Params!$B$6</f>
        <v/>
      </c>
      <c r="S92" s="3">
        <f>S91*Params!$B$6</f>
        <v/>
      </c>
      <c r="T92" s="3">
        <f>T91*Params!$B$6</f>
        <v/>
      </c>
      <c r="U92" s="3">
        <f>U91*Params!$B$6</f>
        <v/>
      </c>
      <c r="V92" s="3">
        <f>V91*Params!$B$6</f>
        <v/>
      </c>
      <c r="W92" s="3">
        <f>W91*Params!$B$6</f>
        <v/>
      </c>
      <c r="X92" s="3">
        <f>X91*Params!$B$6</f>
        <v/>
      </c>
      <c r="Y92" s="3">
        <f>Y91*Params!$B$6</f>
        <v/>
      </c>
      <c r="Z92" s="3">
        <f>Z91*Params!$B$6</f>
        <v/>
      </c>
      <c r="AA92" s="3">
        <f>AA91*Params!$B$6</f>
        <v/>
      </c>
      <c r="AB92" s="3">
        <f>AB91*Params!$B$6</f>
        <v/>
      </c>
      <c r="AC92" s="3">
        <f>AC91*Params!$B$6</f>
        <v/>
      </c>
      <c r="AD92" s="3">
        <f>AD91*Params!$B$6</f>
        <v/>
      </c>
      <c r="AE92" s="3">
        <f>AE91*Params!$B$6</f>
        <v/>
      </c>
      <c r="AF92" s="3">
        <f>AF91*Params!$B$6</f>
        <v/>
      </c>
      <c r="AG92" s="3">
        <f>AG91*Params!$B$6</f>
        <v/>
      </c>
      <c r="AH92" s="3">
        <f>AH91*Params!$B$6</f>
        <v/>
      </c>
      <c r="AI92" s="3">
        <f>AI91*Params!$B$6</f>
        <v/>
      </c>
      <c r="AJ92" s="3">
        <f>AJ91*Params!$B$6</f>
        <v/>
      </c>
      <c r="AK92" s="3">
        <f>AK91*Params!$B$6</f>
        <v/>
      </c>
      <c r="AL92" s="3">
        <f>AL91*Params!$B$6</f>
        <v/>
      </c>
      <c r="AM92" s="3">
        <f>AM91*Params!$B$6</f>
        <v/>
      </c>
      <c r="AN92" s="3">
        <f>AN91*Params!$B$6</f>
        <v/>
      </c>
      <c r="AO92" s="3">
        <f>AO91*Params!$B$6</f>
        <v/>
      </c>
      <c r="AP92" s="3">
        <f>AP91*Params!$B$6</f>
        <v/>
      </c>
      <c r="AQ92" s="3">
        <f>AQ91*Params!$B$6</f>
        <v/>
      </c>
      <c r="AR92" s="3">
        <f>AR91*Params!$B$6</f>
        <v/>
      </c>
      <c r="AS92" s="3">
        <f>AS91*Params!$B$6</f>
        <v/>
      </c>
      <c r="AT92" s="3">
        <f>AT91*Params!$B$6</f>
        <v/>
      </c>
      <c r="AU92" s="3">
        <f>AU91*Params!$B$6</f>
        <v/>
      </c>
      <c r="AV92" s="3">
        <f>AV91*Params!$B$6</f>
        <v/>
      </c>
      <c r="AW92" s="3">
        <f>AW91*Params!$B$6</f>
        <v/>
      </c>
      <c r="AX92" s="3">
        <f>AX91*Params!$B$6</f>
        <v/>
      </c>
      <c r="AY92" s="3">
        <f>AY91*Params!$B$6</f>
        <v/>
      </c>
      <c r="AZ92" s="3">
        <f>AZ91*Params!$B$6</f>
        <v/>
      </c>
      <c r="BA92" s="3">
        <f>BA91*Params!$B$6</f>
        <v/>
      </c>
      <c r="BB92" s="3">
        <f>BB91*Params!$B$6</f>
        <v/>
      </c>
      <c r="BC92" s="3">
        <f>BC91*Params!$B$6</f>
        <v/>
      </c>
      <c r="BD92" s="3">
        <f>BD91*Params!$B$6</f>
        <v/>
      </c>
      <c r="BE92" s="3">
        <f>BE91*Params!$B$6</f>
        <v/>
      </c>
      <c r="BF92" s="3">
        <f>BF91*Params!$B$6</f>
        <v/>
      </c>
      <c r="BG92" s="3">
        <f>BG91*Params!$B$6</f>
        <v/>
      </c>
      <c r="BH92" s="3">
        <f>BH91*Params!$B$6</f>
        <v/>
      </c>
      <c r="BI92" s="3">
        <f>BI91*Params!$B$6</f>
        <v/>
      </c>
      <c r="BJ92" s="3">
        <f>BJ91*Params!$B$6</f>
        <v/>
      </c>
      <c r="BK92" s="3">
        <f>BK91*Params!$B$6</f>
        <v/>
      </c>
      <c r="BL92" s="3">
        <f>BL91*Params!$B$6</f>
        <v/>
      </c>
      <c r="BM92" s="3">
        <f>BM91*Params!$B$6</f>
        <v/>
      </c>
      <c r="BN92" s="3">
        <f>BN91*Params!$B$6</f>
        <v/>
      </c>
      <c r="BO92" s="3">
        <f>BO91*Params!$B$6</f>
        <v/>
      </c>
      <c r="BP92" s="3">
        <f>BP91*Params!$B$6</f>
        <v/>
      </c>
      <c r="BQ92" s="3">
        <f>BQ91*Params!$B$6</f>
        <v/>
      </c>
      <c r="BR92" s="3">
        <f>BR91*Params!$B$6</f>
        <v/>
      </c>
      <c r="BS92" s="3">
        <f>BS91*Params!$B$6</f>
        <v/>
      </c>
      <c r="BT92" s="3">
        <f>BT91*Params!$B$6</f>
        <v/>
      </c>
      <c r="BU92" s="3">
        <f>BU91*Params!$B$6</f>
        <v/>
      </c>
      <c r="BV92" s="3">
        <f>BV91*Params!$B$6</f>
        <v/>
      </c>
    </row>
    <row r="93">
      <c r="A93" t="inlineStr">
        <is>
          <t>direct paid starts</t>
        </is>
      </c>
      <c r="B93" t="inlineStr">
        <is>
          <t>LATAM|NITRO_M</t>
        </is>
      </c>
      <c r="C93" s="3">
        <f>C91-C92</f>
        <v/>
      </c>
      <c r="D93" s="3">
        <f>D91-D92</f>
        <v/>
      </c>
      <c r="E93" s="3">
        <f>E91-E92</f>
        <v/>
      </c>
      <c r="F93" s="3">
        <f>F91-F92</f>
        <v/>
      </c>
      <c r="G93" s="3">
        <f>G91-G92</f>
        <v/>
      </c>
      <c r="H93" s="3">
        <f>H91-H92</f>
        <v/>
      </c>
      <c r="I93" s="3">
        <f>I91-I92</f>
        <v/>
      </c>
      <c r="J93" s="3">
        <f>J91-J92</f>
        <v/>
      </c>
      <c r="K93" s="3">
        <f>K91-K92</f>
        <v/>
      </c>
      <c r="L93" s="3">
        <f>L91-L92</f>
        <v/>
      </c>
      <c r="M93" s="3">
        <f>M91-M92</f>
        <v/>
      </c>
      <c r="N93" s="3">
        <f>N91-N92</f>
        <v/>
      </c>
      <c r="O93" s="3">
        <f>O91-O92</f>
        <v/>
      </c>
      <c r="P93" s="3">
        <f>P91-P92</f>
        <v/>
      </c>
      <c r="Q93" s="3">
        <f>Q91-Q92</f>
        <v/>
      </c>
      <c r="R93" s="3">
        <f>R91-R92</f>
        <v/>
      </c>
      <c r="S93" s="3">
        <f>S91-S92</f>
        <v/>
      </c>
      <c r="T93" s="3">
        <f>T91-T92</f>
        <v/>
      </c>
      <c r="U93" s="3">
        <f>U91-U92</f>
        <v/>
      </c>
      <c r="V93" s="3">
        <f>V91-V92</f>
        <v/>
      </c>
      <c r="W93" s="3">
        <f>W91-W92</f>
        <v/>
      </c>
      <c r="X93" s="3">
        <f>X91-X92</f>
        <v/>
      </c>
      <c r="Y93" s="3">
        <f>Y91-Y92</f>
        <v/>
      </c>
      <c r="Z93" s="3">
        <f>Z91-Z92</f>
        <v/>
      </c>
      <c r="AA93" s="3">
        <f>AA91-AA92</f>
        <v/>
      </c>
      <c r="AB93" s="3">
        <f>AB91-AB92</f>
        <v/>
      </c>
      <c r="AC93" s="3">
        <f>AC91-AC92</f>
        <v/>
      </c>
      <c r="AD93" s="3">
        <f>AD91-AD92</f>
        <v/>
      </c>
      <c r="AE93" s="3">
        <f>AE91-AE92</f>
        <v/>
      </c>
      <c r="AF93" s="3">
        <f>AF91-AF92</f>
        <v/>
      </c>
      <c r="AG93" s="3">
        <f>AG91-AG92</f>
        <v/>
      </c>
      <c r="AH93" s="3">
        <f>AH91-AH92</f>
        <v/>
      </c>
      <c r="AI93" s="3">
        <f>AI91-AI92</f>
        <v/>
      </c>
      <c r="AJ93" s="3">
        <f>AJ91-AJ92</f>
        <v/>
      </c>
      <c r="AK93" s="3">
        <f>AK91-AK92</f>
        <v/>
      </c>
      <c r="AL93" s="3">
        <f>AL91-AL92</f>
        <v/>
      </c>
      <c r="AM93" s="3">
        <f>AM91-AM92</f>
        <v/>
      </c>
      <c r="AN93" s="3">
        <f>AN91-AN92</f>
        <v/>
      </c>
      <c r="AO93" s="3">
        <f>AO91-AO92</f>
        <v/>
      </c>
      <c r="AP93" s="3">
        <f>AP91-AP92</f>
        <v/>
      </c>
      <c r="AQ93" s="3">
        <f>AQ91-AQ92</f>
        <v/>
      </c>
      <c r="AR93" s="3">
        <f>AR91-AR92</f>
        <v/>
      </c>
      <c r="AS93" s="3">
        <f>AS91-AS92</f>
        <v/>
      </c>
      <c r="AT93" s="3">
        <f>AT91-AT92</f>
        <v/>
      </c>
      <c r="AU93" s="3">
        <f>AU91-AU92</f>
        <v/>
      </c>
      <c r="AV93" s="3">
        <f>AV91-AV92</f>
        <v/>
      </c>
      <c r="AW93" s="3">
        <f>AW91-AW92</f>
        <v/>
      </c>
      <c r="AX93" s="3">
        <f>AX91-AX92</f>
        <v/>
      </c>
      <c r="AY93" s="3">
        <f>AY91-AY92</f>
        <v/>
      </c>
      <c r="AZ93" s="3">
        <f>AZ91-AZ92</f>
        <v/>
      </c>
      <c r="BA93" s="3">
        <f>BA91-BA92</f>
        <v/>
      </c>
      <c r="BB93" s="3">
        <f>BB91-BB92</f>
        <v/>
      </c>
      <c r="BC93" s="3">
        <f>BC91-BC92</f>
        <v/>
      </c>
      <c r="BD93" s="3">
        <f>BD91-BD92</f>
        <v/>
      </c>
      <c r="BE93" s="3">
        <f>BE91-BE92</f>
        <v/>
      </c>
      <c r="BF93" s="3">
        <f>BF91-BF92</f>
        <v/>
      </c>
      <c r="BG93" s="3">
        <f>BG91-BG92</f>
        <v/>
      </c>
      <c r="BH93" s="3">
        <f>BH91-BH92</f>
        <v/>
      </c>
      <c r="BI93" s="3">
        <f>BI91-BI92</f>
        <v/>
      </c>
      <c r="BJ93" s="3">
        <f>BJ91-BJ92</f>
        <v/>
      </c>
      <c r="BK93" s="3">
        <f>BK91-BK92</f>
        <v/>
      </c>
      <c r="BL93" s="3">
        <f>BL91-BL92</f>
        <v/>
      </c>
      <c r="BM93" s="3">
        <f>BM91-BM92</f>
        <v/>
      </c>
      <c r="BN93" s="3">
        <f>BN91-BN92</f>
        <v/>
      </c>
      <c r="BO93" s="3">
        <f>BO91-BO92</f>
        <v/>
      </c>
      <c r="BP93" s="3">
        <f>BP91-BP92</f>
        <v/>
      </c>
      <c r="BQ93" s="3">
        <f>BQ91-BQ92</f>
        <v/>
      </c>
      <c r="BR93" s="3">
        <f>BR91-BR92</f>
        <v/>
      </c>
      <c r="BS93" s="3">
        <f>BS91-BS92</f>
        <v/>
      </c>
      <c r="BT93" s="3">
        <f>BT91-BT92</f>
        <v/>
      </c>
      <c r="BU93" s="3">
        <f>BU91-BU92</f>
        <v/>
      </c>
      <c r="BV93" s="3">
        <f>BV91-BV92</f>
        <v/>
      </c>
    </row>
    <row r="94">
      <c r="A94" t="inlineStr">
        <is>
          <t>trials ending</t>
        </is>
      </c>
      <c r="B94" t="inlineStr">
        <is>
          <t>LATAM|NITRO_M</t>
        </is>
      </c>
      <c r="C94" s="3">
        <f>IF(C$2&gt;=Params!$B$7,INDEX($C$92:$BV$92,C$2-Params!$B$7+1),0)</f>
        <v/>
      </c>
      <c r="D94" s="3">
        <f>IF(D$2&gt;=Params!$B$7,INDEX($C$92:$BV$92,D$2-Params!$B$7+1),0)</f>
        <v/>
      </c>
      <c r="E94" s="3">
        <f>IF(E$2&gt;=Params!$B$7,INDEX($C$92:$BV$92,E$2-Params!$B$7+1),0)</f>
        <v/>
      </c>
      <c r="F94" s="3">
        <f>IF(F$2&gt;=Params!$B$7,INDEX($C$92:$BV$92,F$2-Params!$B$7+1),0)</f>
        <v/>
      </c>
      <c r="G94" s="3">
        <f>IF(G$2&gt;=Params!$B$7,INDEX($C$92:$BV$92,G$2-Params!$B$7+1),0)</f>
        <v/>
      </c>
      <c r="H94" s="3">
        <f>IF(H$2&gt;=Params!$B$7,INDEX($C$92:$BV$92,H$2-Params!$B$7+1),0)</f>
        <v/>
      </c>
      <c r="I94" s="3">
        <f>IF(I$2&gt;=Params!$B$7,INDEX($C$92:$BV$92,I$2-Params!$B$7+1),0)</f>
        <v/>
      </c>
      <c r="J94" s="3">
        <f>IF(J$2&gt;=Params!$B$7,INDEX($C$92:$BV$92,J$2-Params!$B$7+1),0)</f>
        <v/>
      </c>
      <c r="K94" s="3">
        <f>IF(K$2&gt;=Params!$B$7,INDEX($C$92:$BV$92,K$2-Params!$B$7+1),0)</f>
        <v/>
      </c>
      <c r="L94" s="3">
        <f>IF(L$2&gt;=Params!$B$7,INDEX($C$92:$BV$92,L$2-Params!$B$7+1),0)</f>
        <v/>
      </c>
      <c r="M94" s="3">
        <f>IF(M$2&gt;=Params!$B$7,INDEX($C$92:$BV$92,M$2-Params!$B$7+1),0)</f>
        <v/>
      </c>
      <c r="N94" s="3">
        <f>IF(N$2&gt;=Params!$B$7,INDEX($C$92:$BV$92,N$2-Params!$B$7+1),0)</f>
        <v/>
      </c>
      <c r="O94" s="3">
        <f>IF(O$2&gt;=Params!$B$7,INDEX($C$92:$BV$92,O$2-Params!$B$7+1),0)</f>
        <v/>
      </c>
      <c r="P94" s="3">
        <f>IF(P$2&gt;=Params!$B$7,INDEX($C$92:$BV$92,P$2-Params!$B$7+1),0)</f>
        <v/>
      </c>
      <c r="Q94" s="3">
        <f>IF(Q$2&gt;=Params!$B$7,INDEX($C$92:$BV$92,Q$2-Params!$B$7+1),0)</f>
        <v/>
      </c>
      <c r="R94" s="3">
        <f>IF(R$2&gt;=Params!$B$7,INDEX($C$92:$BV$92,R$2-Params!$B$7+1),0)</f>
        <v/>
      </c>
      <c r="S94" s="3">
        <f>IF(S$2&gt;=Params!$B$7,INDEX($C$92:$BV$92,S$2-Params!$B$7+1),0)</f>
        <v/>
      </c>
      <c r="T94" s="3">
        <f>IF(T$2&gt;=Params!$B$7,INDEX($C$92:$BV$92,T$2-Params!$B$7+1),0)</f>
        <v/>
      </c>
      <c r="U94" s="3">
        <f>IF(U$2&gt;=Params!$B$7,INDEX($C$92:$BV$92,U$2-Params!$B$7+1),0)</f>
        <v/>
      </c>
      <c r="V94" s="3">
        <f>IF(V$2&gt;=Params!$B$7,INDEX($C$92:$BV$92,V$2-Params!$B$7+1),0)</f>
        <v/>
      </c>
      <c r="W94" s="3">
        <f>IF(W$2&gt;=Params!$B$7,INDEX($C$92:$BV$92,W$2-Params!$B$7+1),0)</f>
        <v/>
      </c>
      <c r="X94" s="3">
        <f>IF(X$2&gt;=Params!$B$7,INDEX($C$92:$BV$92,X$2-Params!$B$7+1),0)</f>
        <v/>
      </c>
      <c r="Y94" s="3">
        <f>IF(Y$2&gt;=Params!$B$7,INDEX($C$92:$BV$92,Y$2-Params!$B$7+1),0)</f>
        <v/>
      </c>
      <c r="Z94" s="3">
        <f>IF(Z$2&gt;=Params!$B$7,INDEX($C$92:$BV$92,Z$2-Params!$B$7+1),0)</f>
        <v/>
      </c>
      <c r="AA94" s="3">
        <f>IF(AA$2&gt;=Params!$B$7,INDEX($C$92:$BV$92,AA$2-Params!$B$7+1),0)</f>
        <v/>
      </c>
      <c r="AB94" s="3">
        <f>IF(AB$2&gt;=Params!$B$7,INDEX($C$92:$BV$92,AB$2-Params!$B$7+1),0)</f>
        <v/>
      </c>
      <c r="AC94" s="3">
        <f>IF(AC$2&gt;=Params!$B$7,INDEX($C$92:$BV$92,AC$2-Params!$B$7+1),0)</f>
        <v/>
      </c>
      <c r="AD94" s="3">
        <f>IF(AD$2&gt;=Params!$B$7,INDEX($C$92:$BV$92,AD$2-Params!$B$7+1),0)</f>
        <v/>
      </c>
      <c r="AE94" s="3">
        <f>IF(AE$2&gt;=Params!$B$7,INDEX($C$92:$BV$92,AE$2-Params!$B$7+1),0)</f>
        <v/>
      </c>
      <c r="AF94" s="3">
        <f>IF(AF$2&gt;=Params!$B$7,INDEX($C$92:$BV$92,AF$2-Params!$B$7+1),0)</f>
        <v/>
      </c>
      <c r="AG94" s="3">
        <f>IF(AG$2&gt;=Params!$B$7,INDEX($C$92:$BV$92,AG$2-Params!$B$7+1),0)</f>
        <v/>
      </c>
      <c r="AH94" s="3">
        <f>IF(AH$2&gt;=Params!$B$7,INDEX($C$92:$BV$92,AH$2-Params!$B$7+1),0)</f>
        <v/>
      </c>
      <c r="AI94" s="3">
        <f>IF(AI$2&gt;=Params!$B$7,INDEX($C$92:$BV$92,AI$2-Params!$B$7+1),0)</f>
        <v/>
      </c>
      <c r="AJ94" s="3">
        <f>IF(AJ$2&gt;=Params!$B$7,INDEX($C$92:$BV$92,AJ$2-Params!$B$7+1),0)</f>
        <v/>
      </c>
      <c r="AK94" s="3">
        <f>IF(AK$2&gt;=Params!$B$7,INDEX($C$92:$BV$92,AK$2-Params!$B$7+1),0)</f>
        <v/>
      </c>
      <c r="AL94" s="3">
        <f>IF(AL$2&gt;=Params!$B$7,INDEX($C$92:$BV$92,AL$2-Params!$B$7+1),0)</f>
        <v/>
      </c>
      <c r="AM94" s="3">
        <f>IF(AM$2&gt;=Params!$B$7,INDEX($C$92:$BV$92,AM$2-Params!$B$7+1),0)</f>
        <v/>
      </c>
      <c r="AN94" s="3">
        <f>IF(AN$2&gt;=Params!$B$7,INDEX($C$92:$BV$92,AN$2-Params!$B$7+1),0)</f>
        <v/>
      </c>
      <c r="AO94" s="3">
        <f>IF(AO$2&gt;=Params!$B$7,INDEX($C$92:$BV$92,AO$2-Params!$B$7+1),0)</f>
        <v/>
      </c>
      <c r="AP94" s="3">
        <f>IF(AP$2&gt;=Params!$B$7,INDEX($C$92:$BV$92,AP$2-Params!$B$7+1),0)</f>
        <v/>
      </c>
      <c r="AQ94" s="3">
        <f>IF(AQ$2&gt;=Params!$B$7,INDEX($C$92:$BV$92,AQ$2-Params!$B$7+1),0)</f>
        <v/>
      </c>
      <c r="AR94" s="3">
        <f>IF(AR$2&gt;=Params!$B$7,INDEX($C$92:$BV$92,AR$2-Params!$B$7+1),0)</f>
        <v/>
      </c>
      <c r="AS94" s="3">
        <f>IF(AS$2&gt;=Params!$B$7,INDEX($C$92:$BV$92,AS$2-Params!$B$7+1),0)</f>
        <v/>
      </c>
      <c r="AT94" s="3">
        <f>IF(AT$2&gt;=Params!$B$7,INDEX($C$92:$BV$92,AT$2-Params!$B$7+1),0)</f>
        <v/>
      </c>
      <c r="AU94" s="3">
        <f>IF(AU$2&gt;=Params!$B$7,INDEX($C$92:$BV$92,AU$2-Params!$B$7+1),0)</f>
        <v/>
      </c>
      <c r="AV94" s="3">
        <f>IF(AV$2&gt;=Params!$B$7,INDEX($C$92:$BV$92,AV$2-Params!$B$7+1),0)</f>
        <v/>
      </c>
      <c r="AW94" s="3">
        <f>IF(AW$2&gt;=Params!$B$7,INDEX($C$92:$BV$92,AW$2-Params!$B$7+1),0)</f>
        <v/>
      </c>
      <c r="AX94" s="3">
        <f>IF(AX$2&gt;=Params!$B$7,INDEX($C$92:$BV$92,AX$2-Params!$B$7+1),0)</f>
        <v/>
      </c>
      <c r="AY94" s="3">
        <f>IF(AY$2&gt;=Params!$B$7,INDEX($C$92:$BV$92,AY$2-Params!$B$7+1),0)</f>
        <v/>
      </c>
      <c r="AZ94" s="3">
        <f>IF(AZ$2&gt;=Params!$B$7,INDEX($C$92:$BV$92,AZ$2-Params!$B$7+1),0)</f>
        <v/>
      </c>
      <c r="BA94" s="3">
        <f>IF(BA$2&gt;=Params!$B$7,INDEX($C$92:$BV$92,BA$2-Params!$B$7+1),0)</f>
        <v/>
      </c>
      <c r="BB94" s="3">
        <f>IF(BB$2&gt;=Params!$B$7,INDEX($C$92:$BV$92,BB$2-Params!$B$7+1),0)</f>
        <v/>
      </c>
      <c r="BC94" s="3">
        <f>IF(BC$2&gt;=Params!$B$7,INDEX($C$92:$BV$92,BC$2-Params!$B$7+1),0)</f>
        <v/>
      </c>
      <c r="BD94" s="3">
        <f>IF(BD$2&gt;=Params!$B$7,INDEX($C$92:$BV$92,BD$2-Params!$B$7+1),0)</f>
        <v/>
      </c>
      <c r="BE94" s="3">
        <f>IF(BE$2&gt;=Params!$B$7,INDEX($C$92:$BV$92,BE$2-Params!$B$7+1),0)</f>
        <v/>
      </c>
      <c r="BF94" s="3">
        <f>IF(BF$2&gt;=Params!$B$7,INDEX($C$92:$BV$92,BF$2-Params!$B$7+1),0)</f>
        <v/>
      </c>
      <c r="BG94" s="3">
        <f>IF(BG$2&gt;=Params!$B$7,INDEX($C$92:$BV$92,BG$2-Params!$B$7+1),0)</f>
        <v/>
      </c>
      <c r="BH94" s="3">
        <f>IF(BH$2&gt;=Params!$B$7,INDEX($C$92:$BV$92,BH$2-Params!$B$7+1),0)</f>
        <v/>
      </c>
      <c r="BI94" s="3">
        <f>IF(BI$2&gt;=Params!$B$7,INDEX($C$92:$BV$92,BI$2-Params!$B$7+1),0)</f>
        <v/>
      </c>
      <c r="BJ94" s="3">
        <f>IF(BJ$2&gt;=Params!$B$7,INDEX($C$92:$BV$92,BJ$2-Params!$B$7+1),0)</f>
        <v/>
      </c>
      <c r="BK94" s="3">
        <f>IF(BK$2&gt;=Params!$B$7,INDEX($C$92:$BV$92,BK$2-Params!$B$7+1),0)</f>
        <v/>
      </c>
      <c r="BL94" s="3">
        <f>IF(BL$2&gt;=Params!$B$7,INDEX($C$92:$BV$92,BL$2-Params!$B$7+1),0)</f>
        <v/>
      </c>
      <c r="BM94" s="3">
        <f>IF(BM$2&gt;=Params!$B$7,INDEX($C$92:$BV$92,BM$2-Params!$B$7+1),0)</f>
        <v/>
      </c>
      <c r="BN94" s="3">
        <f>IF(BN$2&gt;=Params!$B$7,INDEX($C$92:$BV$92,BN$2-Params!$B$7+1),0)</f>
        <v/>
      </c>
      <c r="BO94" s="3">
        <f>IF(BO$2&gt;=Params!$B$7,INDEX($C$92:$BV$92,BO$2-Params!$B$7+1),0)</f>
        <v/>
      </c>
      <c r="BP94" s="3">
        <f>IF(BP$2&gt;=Params!$B$7,INDEX($C$92:$BV$92,BP$2-Params!$B$7+1),0)</f>
        <v/>
      </c>
      <c r="BQ94" s="3">
        <f>IF(BQ$2&gt;=Params!$B$7,INDEX($C$92:$BV$92,BQ$2-Params!$B$7+1),0)</f>
        <v/>
      </c>
      <c r="BR94" s="3">
        <f>IF(BR$2&gt;=Params!$B$7,INDEX($C$92:$BV$92,BR$2-Params!$B$7+1),0)</f>
        <v/>
      </c>
      <c r="BS94" s="3">
        <f>IF(BS$2&gt;=Params!$B$7,INDEX($C$92:$BV$92,BS$2-Params!$B$7+1),0)</f>
        <v/>
      </c>
      <c r="BT94" s="3">
        <f>IF(BT$2&gt;=Params!$B$7,INDEX($C$92:$BV$92,BT$2-Params!$B$7+1),0)</f>
        <v/>
      </c>
      <c r="BU94" s="3">
        <f>IF(BU$2&gt;=Params!$B$7,INDEX($C$92:$BV$92,BU$2-Params!$B$7+1),0)</f>
        <v/>
      </c>
      <c r="BV94" s="3">
        <f>IF(BV$2&gt;=Params!$B$7,INDEX($C$92:$BV$92,BV$2-Params!$B$7+1),0)</f>
        <v/>
      </c>
    </row>
    <row r="95">
      <c r="A95" t="inlineStr">
        <is>
          <t>trials converted</t>
        </is>
      </c>
      <c r="B95" t="inlineStr">
        <is>
          <t>LATAM|NITRO_M</t>
        </is>
      </c>
      <c r="C95" s="3">
        <f>C94*Params!$B$8</f>
        <v/>
      </c>
      <c r="D95" s="3">
        <f>D94*Params!$B$8</f>
        <v/>
      </c>
      <c r="E95" s="3">
        <f>E94*Params!$B$8</f>
        <v/>
      </c>
      <c r="F95" s="3">
        <f>F94*Params!$B$8</f>
        <v/>
      </c>
      <c r="G95" s="3">
        <f>G94*Params!$B$8</f>
        <v/>
      </c>
      <c r="H95" s="3">
        <f>H94*Params!$B$8</f>
        <v/>
      </c>
      <c r="I95" s="3">
        <f>I94*Params!$B$8</f>
        <v/>
      </c>
      <c r="J95" s="3">
        <f>J94*Params!$B$8</f>
        <v/>
      </c>
      <c r="K95" s="3">
        <f>K94*Params!$B$8</f>
        <v/>
      </c>
      <c r="L95" s="3">
        <f>L94*Params!$B$8</f>
        <v/>
      </c>
      <c r="M95" s="3">
        <f>M94*Params!$B$8</f>
        <v/>
      </c>
      <c r="N95" s="3">
        <f>N94*Params!$B$8</f>
        <v/>
      </c>
      <c r="O95" s="3">
        <f>O94*Params!$B$8</f>
        <v/>
      </c>
      <c r="P95" s="3">
        <f>P94*Params!$B$8</f>
        <v/>
      </c>
      <c r="Q95" s="3">
        <f>Q94*Params!$B$8</f>
        <v/>
      </c>
      <c r="R95" s="3">
        <f>R94*Params!$B$8</f>
        <v/>
      </c>
      <c r="S95" s="3">
        <f>S94*Params!$B$8</f>
        <v/>
      </c>
      <c r="T95" s="3">
        <f>T94*Params!$B$8</f>
        <v/>
      </c>
      <c r="U95" s="3">
        <f>U94*Params!$B$8</f>
        <v/>
      </c>
      <c r="V95" s="3">
        <f>V94*Params!$B$8</f>
        <v/>
      </c>
      <c r="W95" s="3">
        <f>W94*Params!$B$8</f>
        <v/>
      </c>
      <c r="X95" s="3">
        <f>X94*Params!$B$8</f>
        <v/>
      </c>
      <c r="Y95" s="3">
        <f>Y94*Params!$B$8</f>
        <v/>
      </c>
      <c r="Z95" s="3">
        <f>Z94*Params!$B$8</f>
        <v/>
      </c>
      <c r="AA95" s="3">
        <f>AA94*Params!$B$8</f>
        <v/>
      </c>
      <c r="AB95" s="3">
        <f>AB94*Params!$B$8</f>
        <v/>
      </c>
      <c r="AC95" s="3">
        <f>AC94*Params!$B$8</f>
        <v/>
      </c>
      <c r="AD95" s="3">
        <f>AD94*Params!$B$8</f>
        <v/>
      </c>
      <c r="AE95" s="3">
        <f>AE94*Params!$B$8</f>
        <v/>
      </c>
      <c r="AF95" s="3">
        <f>AF94*Params!$B$8</f>
        <v/>
      </c>
      <c r="AG95" s="3">
        <f>AG94*Params!$B$8</f>
        <v/>
      </c>
      <c r="AH95" s="3">
        <f>AH94*Params!$B$8</f>
        <v/>
      </c>
      <c r="AI95" s="3">
        <f>AI94*Params!$B$8</f>
        <v/>
      </c>
      <c r="AJ95" s="3">
        <f>AJ94*Params!$B$8</f>
        <v/>
      </c>
      <c r="AK95" s="3">
        <f>AK94*Params!$B$8</f>
        <v/>
      </c>
      <c r="AL95" s="3">
        <f>AL94*Params!$B$8</f>
        <v/>
      </c>
      <c r="AM95" s="3">
        <f>AM94*Params!$B$8</f>
        <v/>
      </c>
      <c r="AN95" s="3">
        <f>AN94*Params!$B$8</f>
        <v/>
      </c>
      <c r="AO95" s="3">
        <f>AO94*Params!$B$8</f>
        <v/>
      </c>
      <c r="AP95" s="3">
        <f>AP94*Params!$B$8</f>
        <v/>
      </c>
      <c r="AQ95" s="3">
        <f>AQ94*Params!$B$8</f>
        <v/>
      </c>
      <c r="AR95" s="3">
        <f>AR94*Params!$B$8</f>
        <v/>
      </c>
      <c r="AS95" s="3">
        <f>AS94*Params!$B$8</f>
        <v/>
      </c>
      <c r="AT95" s="3">
        <f>AT94*Params!$B$8</f>
        <v/>
      </c>
      <c r="AU95" s="3">
        <f>AU94*Params!$B$8</f>
        <v/>
      </c>
      <c r="AV95" s="3">
        <f>AV94*Params!$B$8</f>
        <v/>
      </c>
      <c r="AW95" s="3">
        <f>AW94*Params!$B$8</f>
        <v/>
      </c>
      <c r="AX95" s="3">
        <f>AX94*Params!$B$8</f>
        <v/>
      </c>
      <c r="AY95" s="3">
        <f>AY94*Params!$B$8</f>
        <v/>
      </c>
      <c r="AZ95" s="3">
        <f>AZ94*Params!$B$8</f>
        <v/>
      </c>
      <c r="BA95" s="3">
        <f>BA94*Params!$B$8</f>
        <v/>
      </c>
      <c r="BB95" s="3">
        <f>BB94*Params!$B$8</f>
        <v/>
      </c>
      <c r="BC95" s="3">
        <f>BC94*Params!$B$8</f>
        <v/>
      </c>
      <c r="BD95" s="3">
        <f>BD94*Params!$B$8</f>
        <v/>
      </c>
      <c r="BE95" s="3">
        <f>BE94*Params!$B$8</f>
        <v/>
      </c>
      <c r="BF95" s="3">
        <f>BF94*Params!$B$8</f>
        <v/>
      </c>
      <c r="BG95" s="3">
        <f>BG94*Params!$B$8</f>
        <v/>
      </c>
      <c r="BH95" s="3">
        <f>BH94*Params!$B$8</f>
        <v/>
      </c>
      <c r="BI95" s="3">
        <f>BI94*Params!$B$8</f>
        <v/>
      </c>
      <c r="BJ95" s="3">
        <f>BJ94*Params!$B$8</f>
        <v/>
      </c>
      <c r="BK95" s="3">
        <f>BK94*Params!$B$8</f>
        <v/>
      </c>
      <c r="BL95" s="3">
        <f>BL94*Params!$B$8</f>
        <v/>
      </c>
      <c r="BM95" s="3">
        <f>BM94*Params!$B$8</f>
        <v/>
      </c>
      <c r="BN95" s="3">
        <f>BN94*Params!$B$8</f>
        <v/>
      </c>
      <c r="BO95" s="3">
        <f>BO94*Params!$B$8</f>
        <v/>
      </c>
      <c r="BP95" s="3">
        <f>BP94*Params!$B$8</f>
        <v/>
      </c>
      <c r="BQ95" s="3">
        <f>BQ94*Params!$B$8</f>
        <v/>
      </c>
      <c r="BR95" s="3">
        <f>BR94*Params!$B$8</f>
        <v/>
      </c>
      <c r="BS95" s="3">
        <f>BS94*Params!$B$8</f>
        <v/>
      </c>
      <c r="BT95" s="3">
        <f>BT94*Params!$B$8</f>
        <v/>
      </c>
      <c r="BU95" s="3">
        <f>BU94*Params!$B$8</f>
        <v/>
      </c>
      <c r="BV95" s="3">
        <f>BV94*Params!$B$8</f>
        <v/>
      </c>
    </row>
    <row r="96">
      <c r="A96" t="inlineStr">
        <is>
          <t>trials lost</t>
        </is>
      </c>
      <c r="B96" t="inlineStr">
        <is>
          <t>LATAM|NITRO_M</t>
        </is>
      </c>
      <c r="C96" s="3">
        <f>C94-C95</f>
        <v/>
      </c>
      <c r="D96" s="3">
        <f>D94-D95</f>
        <v/>
      </c>
      <c r="E96" s="3">
        <f>E94-E95</f>
        <v/>
      </c>
      <c r="F96" s="3">
        <f>F94-F95</f>
        <v/>
      </c>
      <c r="G96" s="3">
        <f>G94-G95</f>
        <v/>
      </c>
      <c r="H96" s="3">
        <f>H94-H95</f>
        <v/>
      </c>
      <c r="I96" s="3">
        <f>I94-I95</f>
        <v/>
      </c>
      <c r="J96" s="3">
        <f>J94-J95</f>
        <v/>
      </c>
      <c r="K96" s="3">
        <f>K94-K95</f>
        <v/>
      </c>
      <c r="L96" s="3">
        <f>L94-L95</f>
        <v/>
      </c>
      <c r="M96" s="3">
        <f>M94-M95</f>
        <v/>
      </c>
      <c r="N96" s="3">
        <f>N94-N95</f>
        <v/>
      </c>
      <c r="O96" s="3">
        <f>O94-O95</f>
        <v/>
      </c>
      <c r="P96" s="3">
        <f>P94-P95</f>
        <v/>
      </c>
      <c r="Q96" s="3">
        <f>Q94-Q95</f>
        <v/>
      </c>
      <c r="R96" s="3">
        <f>R94-R95</f>
        <v/>
      </c>
      <c r="S96" s="3">
        <f>S94-S95</f>
        <v/>
      </c>
      <c r="T96" s="3">
        <f>T94-T95</f>
        <v/>
      </c>
      <c r="U96" s="3">
        <f>U94-U95</f>
        <v/>
      </c>
      <c r="V96" s="3">
        <f>V94-V95</f>
        <v/>
      </c>
      <c r="W96" s="3">
        <f>W94-W95</f>
        <v/>
      </c>
      <c r="X96" s="3">
        <f>X94-X95</f>
        <v/>
      </c>
      <c r="Y96" s="3">
        <f>Y94-Y95</f>
        <v/>
      </c>
      <c r="Z96" s="3">
        <f>Z94-Z95</f>
        <v/>
      </c>
      <c r="AA96" s="3">
        <f>AA94-AA95</f>
        <v/>
      </c>
      <c r="AB96" s="3">
        <f>AB94-AB95</f>
        <v/>
      </c>
      <c r="AC96" s="3">
        <f>AC94-AC95</f>
        <v/>
      </c>
      <c r="AD96" s="3">
        <f>AD94-AD95</f>
        <v/>
      </c>
      <c r="AE96" s="3">
        <f>AE94-AE95</f>
        <v/>
      </c>
      <c r="AF96" s="3">
        <f>AF94-AF95</f>
        <v/>
      </c>
      <c r="AG96" s="3">
        <f>AG94-AG95</f>
        <v/>
      </c>
      <c r="AH96" s="3">
        <f>AH94-AH95</f>
        <v/>
      </c>
      <c r="AI96" s="3">
        <f>AI94-AI95</f>
        <v/>
      </c>
      <c r="AJ96" s="3">
        <f>AJ94-AJ95</f>
        <v/>
      </c>
      <c r="AK96" s="3">
        <f>AK94-AK95</f>
        <v/>
      </c>
      <c r="AL96" s="3">
        <f>AL94-AL95</f>
        <v/>
      </c>
      <c r="AM96" s="3">
        <f>AM94-AM95</f>
        <v/>
      </c>
      <c r="AN96" s="3">
        <f>AN94-AN95</f>
        <v/>
      </c>
      <c r="AO96" s="3">
        <f>AO94-AO95</f>
        <v/>
      </c>
      <c r="AP96" s="3">
        <f>AP94-AP95</f>
        <v/>
      </c>
      <c r="AQ96" s="3">
        <f>AQ94-AQ95</f>
        <v/>
      </c>
      <c r="AR96" s="3">
        <f>AR94-AR95</f>
        <v/>
      </c>
      <c r="AS96" s="3">
        <f>AS94-AS95</f>
        <v/>
      </c>
      <c r="AT96" s="3">
        <f>AT94-AT95</f>
        <v/>
      </c>
      <c r="AU96" s="3">
        <f>AU94-AU95</f>
        <v/>
      </c>
      <c r="AV96" s="3">
        <f>AV94-AV95</f>
        <v/>
      </c>
      <c r="AW96" s="3">
        <f>AW94-AW95</f>
        <v/>
      </c>
      <c r="AX96" s="3">
        <f>AX94-AX95</f>
        <v/>
      </c>
      <c r="AY96" s="3">
        <f>AY94-AY95</f>
        <v/>
      </c>
      <c r="AZ96" s="3">
        <f>AZ94-AZ95</f>
        <v/>
      </c>
      <c r="BA96" s="3">
        <f>BA94-BA95</f>
        <v/>
      </c>
      <c r="BB96" s="3">
        <f>BB94-BB95</f>
        <v/>
      </c>
      <c r="BC96" s="3">
        <f>BC94-BC95</f>
        <v/>
      </c>
      <c r="BD96" s="3">
        <f>BD94-BD95</f>
        <v/>
      </c>
      <c r="BE96" s="3">
        <f>BE94-BE95</f>
        <v/>
      </c>
      <c r="BF96" s="3">
        <f>BF94-BF95</f>
        <v/>
      </c>
      <c r="BG96" s="3">
        <f>BG94-BG95</f>
        <v/>
      </c>
      <c r="BH96" s="3">
        <f>BH94-BH95</f>
        <v/>
      </c>
      <c r="BI96" s="3">
        <f>BI94-BI95</f>
        <v/>
      </c>
      <c r="BJ96" s="3">
        <f>BJ94-BJ95</f>
        <v/>
      </c>
      <c r="BK96" s="3">
        <f>BK94-BK95</f>
        <v/>
      </c>
      <c r="BL96" s="3">
        <f>BL94-BL95</f>
        <v/>
      </c>
      <c r="BM96" s="3">
        <f>BM94-BM95</f>
        <v/>
      </c>
      <c r="BN96" s="3">
        <f>BN94-BN95</f>
        <v/>
      </c>
      <c r="BO96" s="3">
        <f>BO94-BO95</f>
        <v/>
      </c>
      <c r="BP96" s="3">
        <f>BP94-BP95</f>
        <v/>
      </c>
      <c r="BQ96" s="3">
        <f>BQ94-BQ95</f>
        <v/>
      </c>
      <c r="BR96" s="3">
        <f>BR94-BR95</f>
        <v/>
      </c>
      <c r="BS96" s="3">
        <f>BS94-BS95</f>
        <v/>
      </c>
      <c r="BT96" s="3">
        <f>BT94-BT95</f>
        <v/>
      </c>
      <c r="BU96" s="3">
        <f>BU94-BU95</f>
        <v/>
      </c>
      <c r="BV96" s="3">
        <f>BV94-BV95</f>
        <v/>
      </c>
    </row>
    <row r="97">
      <c r="A97" t="inlineStr">
        <is>
          <t>cum trial starts</t>
        </is>
      </c>
      <c r="B97" t="inlineStr">
        <is>
          <t>LATAM|NITRO_M</t>
        </is>
      </c>
      <c r="C97" s="3">
        <f>SUM($C92:C92)</f>
        <v/>
      </c>
      <c r="D97" s="3">
        <f>SUM($C92:D92)</f>
        <v/>
      </c>
      <c r="E97" s="3">
        <f>SUM($C92:E92)</f>
        <v/>
      </c>
      <c r="F97" s="3">
        <f>SUM($C92:F92)</f>
        <v/>
      </c>
      <c r="G97" s="3">
        <f>SUM($C92:G92)</f>
        <v/>
      </c>
      <c r="H97" s="3">
        <f>SUM($C92:H92)</f>
        <v/>
      </c>
      <c r="I97" s="3">
        <f>SUM($C92:I92)</f>
        <v/>
      </c>
      <c r="J97" s="3">
        <f>SUM($C92:J92)</f>
        <v/>
      </c>
      <c r="K97" s="3">
        <f>SUM($C92:K92)</f>
        <v/>
      </c>
      <c r="L97" s="3">
        <f>SUM($C92:L92)</f>
        <v/>
      </c>
      <c r="M97" s="3">
        <f>SUM($C92:M92)</f>
        <v/>
      </c>
      <c r="N97" s="3">
        <f>SUM($C92:N92)</f>
        <v/>
      </c>
      <c r="O97" s="3">
        <f>SUM($C92:O92)</f>
        <v/>
      </c>
      <c r="P97" s="3">
        <f>SUM($C92:P92)</f>
        <v/>
      </c>
      <c r="Q97" s="3">
        <f>SUM($C92:Q92)</f>
        <v/>
      </c>
      <c r="R97" s="3">
        <f>SUM($C92:R92)</f>
        <v/>
      </c>
      <c r="S97" s="3">
        <f>SUM($C92:S92)</f>
        <v/>
      </c>
      <c r="T97" s="3">
        <f>SUM($C92:T92)</f>
        <v/>
      </c>
      <c r="U97" s="3">
        <f>SUM($C92:U92)</f>
        <v/>
      </c>
      <c r="V97" s="3">
        <f>SUM($C92:V92)</f>
        <v/>
      </c>
      <c r="W97" s="3">
        <f>SUM($C92:W92)</f>
        <v/>
      </c>
      <c r="X97" s="3">
        <f>SUM($C92:X92)</f>
        <v/>
      </c>
      <c r="Y97" s="3">
        <f>SUM($C92:Y92)</f>
        <v/>
      </c>
      <c r="Z97" s="3">
        <f>SUM($C92:Z92)</f>
        <v/>
      </c>
      <c r="AA97" s="3">
        <f>SUM($C92:AA92)</f>
        <v/>
      </c>
      <c r="AB97" s="3">
        <f>SUM($C92:AB92)</f>
        <v/>
      </c>
      <c r="AC97" s="3">
        <f>SUM($C92:AC92)</f>
        <v/>
      </c>
      <c r="AD97" s="3">
        <f>SUM($C92:AD92)</f>
        <v/>
      </c>
      <c r="AE97" s="3">
        <f>SUM($C92:AE92)</f>
        <v/>
      </c>
      <c r="AF97" s="3">
        <f>SUM($C92:AF92)</f>
        <v/>
      </c>
      <c r="AG97" s="3">
        <f>SUM($C92:AG92)</f>
        <v/>
      </c>
      <c r="AH97" s="3">
        <f>SUM($C92:AH92)</f>
        <v/>
      </c>
      <c r="AI97" s="3">
        <f>SUM($C92:AI92)</f>
        <v/>
      </c>
      <c r="AJ97" s="3">
        <f>SUM($C92:AJ92)</f>
        <v/>
      </c>
      <c r="AK97" s="3">
        <f>SUM($C92:AK92)</f>
        <v/>
      </c>
      <c r="AL97" s="3">
        <f>SUM($C92:AL92)</f>
        <v/>
      </c>
      <c r="AM97" s="3">
        <f>SUM($C92:AM92)</f>
        <v/>
      </c>
      <c r="AN97" s="3">
        <f>SUM($C92:AN92)</f>
        <v/>
      </c>
      <c r="AO97" s="3">
        <f>SUM($C92:AO92)</f>
        <v/>
      </c>
      <c r="AP97" s="3">
        <f>SUM($C92:AP92)</f>
        <v/>
      </c>
      <c r="AQ97" s="3">
        <f>SUM($C92:AQ92)</f>
        <v/>
      </c>
      <c r="AR97" s="3">
        <f>SUM($C92:AR92)</f>
        <v/>
      </c>
      <c r="AS97" s="3">
        <f>SUM($C92:AS92)</f>
        <v/>
      </c>
      <c r="AT97" s="3">
        <f>SUM($C92:AT92)</f>
        <v/>
      </c>
      <c r="AU97" s="3">
        <f>SUM($C92:AU92)</f>
        <v/>
      </c>
      <c r="AV97" s="3">
        <f>SUM($C92:AV92)</f>
        <v/>
      </c>
      <c r="AW97" s="3">
        <f>SUM($C92:AW92)</f>
        <v/>
      </c>
      <c r="AX97" s="3">
        <f>SUM($C92:AX92)</f>
        <v/>
      </c>
      <c r="AY97" s="3">
        <f>SUM($C92:AY92)</f>
        <v/>
      </c>
      <c r="AZ97" s="3">
        <f>SUM($C92:AZ92)</f>
        <v/>
      </c>
      <c r="BA97" s="3">
        <f>SUM($C92:BA92)</f>
        <v/>
      </c>
      <c r="BB97" s="3">
        <f>SUM($C92:BB92)</f>
        <v/>
      </c>
      <c r="BC97" s="3">
        <f>SUM($C92:BC92)</f>
        <v/>
      </c>
      <c r="BD97" s="3">
        <f>SUM($C92:BD92)</f>
        <v/>
      </c>
      <c r="BE97" s="3">
        <f>SUM($C92:BE92)</f>
        <v/>
      </c>
      <c r="BF97" s="3">
        <f>SUM($C92:BF92)</f>
        <v/>
      </c>
      <c r="BG97" s="3">
        <f>SUM($C92:BG92)</f>
        <v/>
      </c>
      <c r="BH97" s="3">
        <f>SUM($C92:BH92)</f>
        <v/>
      </c>
      <c r="BI97" s="3">
        <f>SUM($C92:BI92)</f>
        <v/>
      </c>
      <c r="BJ97" s="3">
        <f>SUM($C92:BJ92)</f>
        <v/>
      </c>
      <c r="BK97" s="3">
        <f>SUM($C92:BK92)</f>
        <v/>
      </c>
      <c r="BL97" s="3">
        <f>SUM($C92:BL92)</f>
        <v/>
      </c>
      <c r="BM97" s="3">
        <f>SUM($C92:BM92)</f>
        <v/>
      </c>
      <c r="BN97" s="3">
        <f>SUM($C92:BN92)</f>
        <v/>
      </c>
      <c r="BO97" s="3">
        <f>SUM($C92:BO92)</f>
        <v/>
      </c>
      <c r="BP97" s="3">
        <f>SUM($C92:BP92)</f>
        <v/>
      </c>
      <c r="BQ97" s="3">
        <f>SUM($C92:BQ92)</f>
        <v/>
      </c>
      <c r="BR97" s="3">
        <f>SUM($C92:BR92)</f>
        <v/>
      </c>
      <c r="BS97" s="3">
        <f>SUM($C92:BS92)</f>
        <v/>
      </c>
      <c r="BT97" s="3">
        <f>SUM($C92:BT92)</f>
        <v/>
      </c>
      <c r="BU97" s="3">
        <f>SUM($C92:BU92)</f>
        <v/>
      </c>
      <c r="BV97" s="3">
        <f>SUM($C92:BV92)</f>
        <v/>
      </c>
    </row>
    <row r="98">
      <c r="A98" t="inlineStr">
        <is>
          <t>cum trials ending</t>
        </is>
      </c>
      <c r="B98" t="inlineStr">
        <is>
          <t>LATAM|NITRO_M</t>
        </is>
      </c>
      <c r="C98" s="3">
        <f>SUM($C94:C94)</f>
        <v/>
      </c>
      <c r="D98" s="3">
        <f>SUM($C94:D94)</f>
        <v/>
      </c>
      <c r="E98" s="3">
        <f>SUM($C94:E94)</f>
        <v/>
      </c>
      <c r="F98" s="3">
        <f>SUM($C94:F94)</f>
        <v/>
      </c>
      <c r="G98" s="3">
        <f>SUM($C94:G94)</f>
        <v/>
      </c>
      <c r="H98" s="3">
        <f>SUM($C94:H94)</f>
        <v/>
      </c>
      <c r="I98" s="3">
        <f>SUM($C94:I94)</f>
        <v/>
      </c>
      <c r="J98" s="3">
        <f>SUM($C94:J94)</f>
        <v/>
      </c>
      <c r="K98" s="3">
        <f>SUM($C94:K94)</f>
        <v/>
      </c>
      <c r="L98" s="3">
        <f>SUM($C94:L94)</f>
        <v/>
      </c>
      <c r="M98" s="3">
        <f>SUM($C94:M94)</f>
        <v/>
      </c>
      <c r="N98" s="3">
        <f>SUM($C94:N94)</f>
        <v/>
      </c>
      <c r="O98" s="3">
        <f>SUM($C94:O94)</f>
        <v/>
      </c>
      <c r="P98" s="3">
        <f>SUM($C94:P94)</f>
        <v/>
      </c>
      <c r="Q98" s="3">
        <f>SUM($C94:Q94)</f>
        <v/>
      </c>
      <c r="R98" s="3">
        <f>SUM($C94:R94)</f>
        <v/>
      </c>
      <c r="S98" s="3">
        <f>SUM($C94:S94)</f>
        <v/>
      </c>
      <c r="T98" s="3">
        <f>SUM($C94:T94)</f>
        <v/>
      </c>
      <c r="U98" s="3">
        <f>SUM($C94:U94)</f>
        <v/>
      </c>
      <c r="V98" s="3">
        <f>SUM($C94:V94)</f>
        <v/>
      </c>
      <c r="W98" s="3">
        <f>SUM($C94:W94)</f>
        <v/>
      </c>
      <c r="X98" s="3">
        <f>SUM($C94:X94)</f>
        <v/>
      </c>
      <c r="Y98" s="3">
        <f>SUM($C94:Y94)</f>
        <v/>
      </c>
      <c r="Z98" s="3">
        <f>SUM($C94:Z94)</f>
        <v/>
      </c>
      <c r="AA98" s="3">
        <f>SUM($C94:AA94)</f>
        <v/>
      </c>
      <c r="AB98" s="3">
        <f>SUM($C94:AB94)</f>
        <v/>
      </c>
      <c r="AC98" s="3">
        <f>SUM($C94:AC94)</f>
        <v/>
      </c>
      <c r="AD98" s="3">
        <f>SUM($C94:AD94)</f>
        <v/>
      </c>
      <c r="AE98" s="3">
        <f>SUM($C94:AE94)</f>
        <v/>
      </c>
      <c r="AF98" s="3">
        <f>SUM($C94:AF94)</f>
        <v/>
      </c>
      <c r="AG98" s="3">
        <f>SUM($C94:AG94)</f>
        <v/>
      </c>
      <c r="AH98" s="3">
        <f>SUM($C94:AH94)</f>
        <v/>
      </c>
      <c r="AI98" s="3">
        <f>SUM($C94:AI94)</f>
        <v/>
      </c>
      <c r="AJ98" s="3">
        <f>SUM($C94:AJ94)</f>
        <v/>
      </c>
      <c r="AK98" s="3">
        <f>SUM($C94:AK94)</f>
        <v/>
      </c>
      <c r="AL98" s="3">
        <f>SUM($C94:AL94)</f>
        <v/>
      </c>
      <c r="AM98" s="3">
        <f>SUM($C94:AM94)</f>
        <v/>
      </c>
      <c r="AN98" s="3">
        <f>SUM($C94:AN94)</f>
        <v/>
      </c>
      <c r="AO98" s="3">
        <f>SUM($C94:AO94)</f>
        <v/>
      </c>
      <c r="AP98" s="3">
        <f>SUM($C94:AP94)</f>
        <v/>
      </c>
      <c r="AQ98" s="3">
        <f>SUM($C94:AQ94)</f>
        <v/>
      </c>
      <c r="AR98" s="3">
        <f>SUM($C94:AR94)</f>
        <v/>
      </c>
      <c r="AS98" s="3">
        <f>SUM($C94:AS94)</f>
        <v/>
      </c>
      <c r="AT98" s="3">
        <f>SUM($C94:AT94)</f>
        <v/>
      </c>
      <c r="AU98" s="3">
        <f>SUM($C94:AU94)</f>
        <v/>
      </c>
      <c r="AV98" s="3">
        <f>SUM($C94:AV94)</f>
        <v/>
      </c>
      <c r="AW98" s="3">
        <f>SUM($C94:AW94)</f>
        <v/>
      </c>
      <c r="AX98" s="3">
        <f>SUM($C94:AX94)</f>
        <v/>
      </c>
      <c r="AY98" s="3">
        <f>SUM($C94:AY94)</f>
        <v/>
      </c>
      <c r="AZ98" s="3">
        <f>SUM($C94:AZ94)</f>
        <v/>
      </c>
      <c r="BA98" s="3">
        <f>SUM($C94:BA94)</f>
        <v/>
      </c>
      <c r="BB98" s="3">
        <f>SUM($C94:BB94)</f>
        <v/>
      </c>
      <c r="BC98" s="3">
        <f>SUM($C94:BC94)</f>
        <v/>
      </c>
      <c r="BD98" s="3">
        <f>SUM($C94:BD94)</f>
        <v/>
      </c>
      <c r="BE98" s="3">
        <f>SUM($C94:BE94)</f>
        <v/>
      </c>
      <c r="BF98" s="3">
        <f>SUM($C94:BF94)</f>
        <v/>
      </c>
      <c r="BG98" s="3">
        <f>SUM($C94:BG94)</f>
        <v/>
      </c>
      <c r="BH98" s="3">
        <f>SUM($C94:BH94)</f>
        <v/>
      </c>
      <c r="BI98" s="3">
        <f>SUM($C94:BI94)</f>
        <v/>
      </c>
      <c r="BJ98" s="3">
        <f>SUM($C94:BJ94)</f>
        <v/>
      </c>
      <c r="BK98" s="3">
        <f>SUM($C94:BK94)</f>
        <v/>
      </c>
      <c r="BL98" s="3">
        <f>SUM($C94:BL94)</f>
        <v/>
      </c>
      <c r="BM98" s="3">
        <f>SUM($C94:BM94)</f>
        <v/>
      </c>
      <c r="BN98" s="3">
        <f>SUM($C94:BN94)</f>
        <v/>
      </c>
      <c r="BO98" s="3">
        <f>SUM($C94:BO94)</f>
        <v/>
      </c>
      <c r="BP98" s="3">
        <f>SUM($C94:BP94)</f>
        <v/>
      </c>
      <c r="BQ98" s="3">
        <f>SUM($C94:BQ94)</f>
        <v/>
      </c>
      <c r="BR98" s="3">
        <f>SUM($C94:BR94)</f>
        <v/>
      </c>
      <c r="BS98" s="3">
        <f>SUM($C94:BS94)</f>
        <v/>
      </c>
      <c r="BT98" s="3">
        <f>SUM($C94:BT94)</f>
        <v/>
      </c>
      <c r="BU98" s="3">
        <f>SUM($C94:BU94)</f>
        <v/>
      </c>
      <c r="BV98" s="3">
        <f>SUM($C94:BV94)</f>
        <v/>
      </c>
    </row>
    <row r="99">
      <c r="A99" t="inlineStr">
        <is>
          <t>trials active</t>
        </is>
      </c>
      <c r="B99" t="inlineStr">
        <is>
          <t>LATAM|NITRO_M</t>
        </is>
      </c>
      <c r="C99" s="3">
        <f>C97-C98</f>
        <v/>
      </c>
      <c r="D99" s="3">
        <f>D97-D98</f>
        <v/>
      </c>
      <c r="E99" s="3">
        <f>E97-E98</f>
        <v/>
      </c>
      <c r="F99" s="3">
        <f>F97-F98</f>
        <v/>
      </c>
      <c r="G99" s="3">
        <f>G97-G98</f>
        <v/>
      </c>
      <c r="H99" s="3">
        <f>H97-H98</f>
        <v/>
      </c>
      <c r="I99" s="3">
        <f>I97-I98</f>
        <v/>
      </c>
      <c r="J99" s="3">
        <f>J97-J98</f>
        <v/>
      </c>
      <c r="K99" s="3">
        <f>K97-K98</f>
        <v/>
      </c>
      <c r="L99" s="3">
        <f>L97-L98</f>
        <v/>
      </c>
      <c r="M99" s="3">
        <f>M97-M98</f>
        <v/>
      </c>
      <c r="N99" s="3">
        <f>N97-N98</f>
        <v/>
      </c>
      <c r="O99" s="3">
        <f>O97-O98</f>
        <v/>
      </c>
      <c r="P99" s="3">
        <f>P97-P98</f>
        <v/>
      </c>
      <c r="Q99" s="3">
        <f>Q97-Q98</f>
        <v/>
      </c>
      <c r="R99" s="3">
        <f>R97-R98</f>
        <v/>
      </c>
      <c r="S99" s="3">
        <f>S97-S98</f>
        <v/>
      </c>
      <c r="T99" s="3">
        <f>T97-T98</f>
        <v/>
      </c>
      <c r="U99" s="3">
        <f>U97-U98</f>
        <v/>
      </c>
      <c r="V99" s="3">
        <f>V97-V98</f>
        <v/>
      </c>
      <c r="W99" s="3">
        <f>W97-W98</f>
        <v/>
      </c>
      <c r="X99" s="3">
        <f>X97-X98</f>
        <v/>
      </c>
      <c r="Y99" s="3">
        <f>Y97-Y98</f>
        <v/>
      </c>
      <c r="Z99" s="3">
        <f>Z97-Z98</f>
        <v/>
      </c>
      <c r="AA99" s="3">
        <f>AA97-AA98</f>
        <v/>
      </c>
      <c r="AB99" s="3">
        <f>AB97-AB98</f>
        <v/>
      </c>
      <c r="AC99" s="3">
        <f>AC97-AC98</f>
        <v/>
      </c>
      <c r="AD99" s="3">
        <f>AD97-AD98</f>
        <v/>
      </c>
      <c r="AE99" s="3">
        <f>AE97-AE98</f>
        <v/>
      </c>
      <c r="AF99" s="3">
        <f>AF97-AF98</f>
        <v/>
      </c>
      <c r="AG99" s="3">
        <f>AG97-AG98</f>
        <v/>
      </c>
      <c r="AH99" s="3">
        <f>AH97-AH98</f>
        <v/>
      </c>
      <c r="AI99" s="3">
        <f>AI97-AI98</f>
        <v/>
      </c>
      <c r="AJ99" s="3">
        <f>AJ97-AJ98</f>
        <v/>
      </c>
      <c r="AK99" s="3">
        <f>AK97-AK98</f>
        <v/>
      </c>
      <c r="AL99" s="3">
        <f>AL97-AL98</f>
        <v/>
      </c>
      <c r="AM99" s="3">
        <f>AM97-AM98</f>
        <v/>
      </c>
      <c r="AN99" s="3">
        <f>AN97-AN98</f>
        <v/>
      </c>
      <c r="AO99" s="3">
        <f>AO97-AO98</f>
        <v/>
      </c>
      <c r="AP99" s="3">
        <f>AP97-AP98</f>
        <v/>
      </c>
      <c r="AQ99" s="3">
        <f>AQ97-AQ98</f>
        <v/>
      </c>
      <c r="AR99" s="3">
        <f>AR97-AR98</f>
        <v/>
      </c>
      <c r="AS99" s="3">
        <f>AS97-AS98</f>
        <v/>
      </c>
      <c r="AT99" s="3">
        <f>AT97-AT98</f>
        <v/>
      </c>
      <c r="AU99" s="3">
        <f>AU97-AU98</f>
        <v/>
      </c>
      <c r="AV99" s="3">
        <f>AV97-AV98</f>
        <v/>
      </c>
      <c r="AW99" s="3">
        <f>AW97-AW98</f>
        <v/>
      </c>
      <c r="AX99" s="3">
        <f>AX97-AX98</f>
        <v/>
      </c>
      <c r="AY99" s="3">
        <f>AY97-AY98</f>
        <v/>
      </c>
      <c r="AZ99" s="3">
        <f>AZ97-AZ98</f>
        <v/>
      </c>
      <c r="BA99" s="3">
        <f>BA97-BA98</f>
        <v/>
      </c>
      <c r="BB99" s="3">
        <f>BB97-BB98</f>
        <v/>
      </c>
      <c r="BC99" s="3">
        <f>BC97-BC98</f>
        <v/>
      </c>
      <c r="BD99" s="3">
        <f>BD97-BD98</f>
        <v/>
      </c>
      <c r="BE99" s="3">
        <f>BE97-BE98</f>
        <v/>
      </c>
      <c r="BF99" s="3">
        <f>BF97-BF98</f>
        <v/>
      </c>
      <c r="BG99" s="3">
        <f>BG97-BG98</f>
        <v/>
      </c>
      <c r="BH99" s="3">
        <f>BH97-BH98</f>
        <v/>
      </c>
      <c r="BI99" s="3">
        <f>BI97-BI98</f>
        <v/>
      </c>
      <c r="BJ99" s="3">
        <f>BJ97-BJ98</f>
        <v/>
      </c>
      <c r="BK99" s="3">
        <f>BK97-BK98</f>
        <v/>
      </c>
      <c r="BL99" s="3">
        <f>BL97-BL98</f>
        <v/>
      </c>
      <c r="BM99" s="3">
        <f>BM97-BM98</f>
        <v/>
      </c>
      <c r="BN99" s="3">
        <f>BN97-BN98</f>
        <v/>
      </c>
      <c r="BO99" s="3">
        <f>BO97-BO98</f>
        <v/>
      </c>
      <c r="BP99" s="3">
        <f>BP97-BP98</f>
        <v/>
      </c>
      <c r="BQ99" s="3">
        <f>BQ97-BQ98</f>
        <v/>
      </c>
      <c r="BR99" s="3">
        <f>BR97-BR98</f>
        <v/>
      </c>
      <c r="BS99" s="3">
        <f>BS97-BS98</f>
        <v/>
      </c>
      <c r="BT99" s="3">
        <f>BT97-BT98</f>
        <v/>
      </c>
      <c r="BU99" s="3">
        <f>BU97-BU98</f>
        <v/>
      </c>
      <c r="BV99" s="3">
        <f>BV97-BV98</f>
        <v/>
      </c>
    </row>
    <row r="100">
      <c r="A100" t="inlineStr">
        <is>
          <t>paid starts</t>
        </is>
      </c>
      <c r="B100" t="inlineStr">
        <is>
          <t>LATAM|NITRO_M</t>
        </is>
      </c>
      <c r="C100" s="3">
        <f>C93+C95</f>
        <v/>
      </c>
      <c r="D100" s="3">
        <f>D93+D95</f>
        <v/>
      </c>
      <c r="E100" s="3">
        <f>E93+E95</f>
        <v/>
      </c>
      <c r="F100" s="3">
        <f>F93+F95</f>
        <v/>
      </c>
      <c r="G100" s="3">
        <f>G93+G95</f>
        <v/>
      </c>
      <c r="H100" s="3">
        <f>H93+H95</f>
        <v/>
      </c>
      <c r="I100" s="3">
        <f>I93+I95</f>
        <v/>
      </c>
      <c r="J100" s="3">
        <f>J93+J95</f>
        <v/>
      </c>
      <c r="K100" s="3">
        <f>K93+K95</f>
        <v/>
      </c>
      <c r="L100" s="3">
        <f>L93+L95</f>
        <v/>
      </c>
      <c r="M100" s="3">
        <f>M93+M95</f>
        <v/>
      </c>
      <c r="N100" s="3">
        <f>N93+N95</f>
        <v/>
      </c>
      <c r="O100" s="3">
        <f>O93+O95</f>
        <v/>
      </c>
      <c r="P100" s="3">
        <f>P93+P95</f>
        <v/>
      </c>
      <c r="Q100" s="3">
        <f>Q93+Q95</f>
        <v/>
      </c>
      <c r="R100" s="3">
        <f>R93+R95</f>
        <v/>
      </c>
      <c r="S100" s="3">
        <f>S93+S95</f>
        <v/>
      </c>
      <c r="T100" s="3">
        <f>T93+T95</f>
        <v/>
      </c>
      <c r="U100" s="3">
        <f>U93+U95</f>
        <v/>
      </c>
      <c r="V100" s="3">
        <f>V93+V95</f>
        <v/>
      </c>
      <c r="W100" s="3">
        <f>W93+W95</f>
        <v/>
      </c>
      <c r="X100" s="3">
        <f>X93+X95</f>
        <v/>
      </c>
      <c r="Y100" s="3">
        <f>Y93+Y95</f>
        <v/>
      </c>
      <c r="Z100" s="3">
        <f>Z93+Z95</f>
        <v/>
      </c>
      <c r="AA100" s="3">
        <f>AA93+AA95</f>
        <v/>
      </c>
      <c r="AB100" s="3">
        <f>AB93+AB95</f>
        <v/>
      </c>
      <c r="AC100" s="3">
        <f>AC93+AC95</f>
        <v/>
      </c>
      <c r="AD100" s="3">
        <f>AD93+AD95</f>
        <v/>
      </c>
      <c r="AE100" s="3">
        <f>AE93+AE95</f>
        <v/>
      </c>
      <c r="AF100" s="3">
        <f>AF93+AF95</f>
        <v/>
      </c>
      <c r="AG100" s="3">
        <f>AG93+AG95</f>
        <v/>
      </c>
      <c r="AH100" s="3">
        <f>AH93+AH95</f>
        <v/>
      </c>
      <c r="AI100" s="3">
        <f>AI93+AI95</f>
        <v/>
      </c>
      <c r="AJ100" s="3">
        <f>AJ93+AJ95</f>
        <v/>
      </c>
      <c r="AK100" s="3">
        <f>AK93+AK95</f>
        <v/>
      </c>
      <c r="AL100" s="3">
        <f>AL93+AL95</f>
        <v/>
      </c>
      <c r="AM100" s="3">
        <f>AM93+AM95</f>
        <v/>
      </c>
      <c r="AN100" s="3">
        <f>AN93+AN95</f>
        <v/>
      </c>
      <c r="AO100" s="3">
        <f>AO93+AO95</f>
        <v/>
      </c>
      <c r="AP100" s="3">
        <f>AP93+AP95</f>
        <v/>
      </c>
      <c r="AQ100" s="3">
        <f>AQ93+AQ95</f>
        <v/>
      </c>
      <c r="AR100" s="3">
        <f>AR93+AR95</f>
        <v/>
      </c>
      <c r="AS100" s="3">
        <f>AS93+AS95</f>
        <v/>
      </c>
      <c r="AT100" s="3">
        <f>AT93+AT95</f>
        <v/>
      </c>
      <c r="AU100" s="3">
        <f>AU93+AU95</f>
        <v/>
      </c>
      <c r="AV100" s="3">
        <f>AV93+AV95</f>
        <v/>
      </c>
      <c r="AW100" s="3">
        <f>AW93+AW95</f>
        <v/>
      </c>
      <c r="AX100" s="3">
        <f>AX93+AX95</f>
        <v/>
      </c>
      <c r="AY100" s="3">
        <f>AY93+AY95</f>
        <v/>
      </c>
      <c r="AZ100" s="3">
        <f>AZ93+AZ95</f>
        <v/>
      </c>
      <c r="BA100" s="3">
        <f>BA93+BA95</f>
        <v/>
      </c>
      <c r="BB100" s="3">
        <f>BB93+BB95</f>
        <v/>
      </c>
      <c r="BC100" s="3">
        <f>BC93+BC95</f>
        <v/>
      </c>
      <c r="BD100" s="3">
        <f>BD93+BD95</f>
        <v/>
      </c>
      <c r="BE100" s="3">
        <f>BE93+BE95</f>
        <v/>
      </c>
      <c r="BF100" s="3">
        <f>BF93+BF95</f>
        <v/>
      </c>
      <c r="BG100" s="3">
        <f>BG93+BG95</f>
        <v/>
      </c>
      <c r="BH100" s="3">
        <f>BH93+BH95</f>
        <v/>
      </c>
      <c r="BI100" s="3">
        <f>BI93+BI95</f>
        <v/>
      </c>
      <c r="BJ100" s="3">
        <f>BJ93+BJ95</f>
        <v/>
      </c>
      <c r="BK100" s="3">
        <f>BK93+BK95</f>
        <v/>
      </c>
      <c r="BL100" s="3">
        <f>BL93+BL95</f>
        <v/>
      </c>
      <c r="BM100" s="3">
        <f>BM93+BM95</f>
        <v/>
      </c>
      <c r="BN100" s="3">
        <f>BN93+BN95</f>
        <v/>
      </c>
      <c r="BO100" s="3">
        <f>BO93+BO95</f>
        <v/>
      </c>
      <c r="BP100" s="3">
        <f>BP93+BP95</f>
        <v/>
      </c>
      <c r="BQ100" s="3">
        <f>BQ93+BQ95</f>
        <v/>
      </c>
      <c r="BR100" s="3">
        <f>BR93+BR95</f>
        <v/>
      </c>
      <c r="BS100" s="3">
        <f>BS93+BS95</f>
        <v/>
      </c>
      <c r="BT100" s="3">
        <f>BT93+BT95</f>
        <v/>
      </c>
      <c r="BU100" s="3">
        <f>BU93+BU95</f>
        <v/>
      </c>
      <c r="BV100" s="3">
        <f>BV93+BV95</f>
        <v/>
      </c>
    </row>
    <row r="102">
      <c r="A102" t="inlineStr">
        <is>
          <t>gross adds</t>
        </is>
      </c>
      <c r="B102" t="inlineStr">
        <is>
          <t>LATAM|NITRO_A</t>
        </is>
      </c>
      <c r="C102" s="3">
        <f>MAU!C6*Params!$B$38*Params!$B$5*Params!$B$87*Params!$B$72</f>
        <v/>
      </c>
      <c r="D102" s="3">
        <f>MAU!D6*Params!$B$38*Params!$B$5*Params!$B$87*Params!$B$72</f>
        <v/>
      </c>
      <c r="E102" s="3">
        <f>MAU!E6*Params!$B$38*Params!$B$5*Params!$B$87*Params!$B$72</f>
        <v/>
      </c>
      <c r="F102" s="3">
        <f>MAU!F6*Params!$B$38*Params!$B$5*Params!$B$87*Params!$B$72</f>
        <v/>
      </c>
      <c r="G102" s="3">
        <f>MAU!G6*Params!$B$38*Params!$B$5*Params!$B$87*Params!$B$72</f>
        <v/>
      </c>
      <c r="H102" s="3">
        <f>MAU!H6*Params!$B$38*Params!$B$5*Params!$B$87*Params!$B$72</f>
        <v/>
      </c>
      <c r="I102" s="3">
        <f>MAU!I6*Params!$B$38*Params!$B$5*Params!$B$87*Params!$B$72</f>
        <v/>
      </c>
      <c r="J102" s="3">
        <f>MAU!J6*Params!$B$38*Params!$B$5*Params!$B$87*Params!$B$72</f>
        <v/>
      </c>
      <c r="K102" s="3">
        <f>MAU!K6*Params!$B$38*Params!$B$5*Params!$B$87*Params!$B$72</f>
        <v/>
      </c>
      <c r="L102" s="3">
        <f>MAU!L6*Params!$B$38*Params!$B$5*Params!$B$87*Params!$B$72</f>
        <v/>
      </c>
      <c r="M102" s="3">
        <f>MAU!M6*Params!$B$38*Params!$B$5*Params!$B$87*Params!$B$72</f>
        <v/>
      </c>
      <c r="N102" s="3">
        <f>MAU!N6*Params!$B$38*Params!$B$5*Params!$B$87*Params!$B$72</f>
        <v/>
      </c>
      <c r="O102" s="3">
        <f>MAU!O6*Params!$B$38*Params!$B$5*Params!$B$87*Params!$B$72</f>
        <v/>
      </c>
      <c r="P102" s="3">
        <f>MAU!P6*Params!$B$38*Params!$B$5*Params!$B$87*Params!$B$72</f>
        <v/>
      </c>
      <c r="Q102" s="3">
        <f>MAU!Q6*Params!$B$38*Params!$B$5*Params!$B$87*Params!$B$72</f>
        <v/>
      </c>
      <c r="R102" s="3">
        <f>MAU!R6*Params!$B$38*Params!$B$5*Params!$B$87*Params!$B$72</f>
        <v/>
      </c>
      <c r="S102" s="3">
        <f>MAU!S6*Params!$B$38*Params!$B$5*Params!$B$87*Params!$B$72</f>
        <v/>
      </c>
      <c r="T102" s="3">
        <f>MAU!T6*Params!$B$38*Params!$B$5*Params!$B$87*Params!$B$72</f>
        <v/>
      </c>
      <c r="U102" s="3">
        <f>MAU!U6*Params!$B$38*Params!$B$5*Params!$B$87*Params!$B$72</f>
        <v/>
      </c>
      <c r="V102" s="3">
        <f>MAU!V6*Params!$B$38*Params!$B$5*Params!$B$87*Params!$B$72</f>
        <v/>
      </c>
      <c r="W102" s="3">
        <f>MAU!W6*Params!$B$38*Params!$B$5*Params!$B$87*Params!$B$72</f>
        <v/>
      </c>
      <c r="X102" s="3">
        <f>MAU!X6*Params!$B$38*Params!$B$5*Params!$B$87*Params!$B$72</f>
        <v/>
      </c>
      <c r="Y102" s="3">
        <f>MAU!Y6*Params!$B$38*Params!$B$5*Params!$B$87*Params!$B$72</f>
        <v/>
      </c>
      <c r="Z102" s="3">
        <f>MAU!Z6*Params!$B$38*Params!$B$5*Params!$B$87*Params!$B$72</f>
        <v/>
      </c>
      <c r="AA102" s="3">
        <f>MAU!AA6*Params!$B$38*Params!$B$5*Params!$B$87*Params!$B$72</f>
        <v/>
      </c>
      <c r="AB102" s="3">
        <f>MAU!AB6*Params!$B$38*Params!$B$5*Params!$B$87*Params!$B$72</f>
        <v/>
      </c>
      <c r="AC102" s="3">
        <f>MAU!AC6*Params!$B$38*Params!$B$5*Params!$B$87*Params!$B$72</f>
        <v/>
      </c>
      <c r="AD102" s="3">
        <f>MAU!AD6*Params!$B$38*Params!$B$5*Params!$B$87*Params!$B$72</f>
        <v/>
      </c>
      <c r="AE102" s="3">
        <f>MAU!AE6*Params!$B$38*Params!$B$5*Params!$B$87*Params!$B$72</f>
        <v/>
      </c>
      <c r="AF102" s="3">
        <f>MAU!AF6*Params!$B$38*Params!$B$5*Params!$B$87*Params!$B$72</f>
        <v/>
      </c>
      <c r="AG102" s="3">
        <f>MAU!AG6*Params!$B$38*Params!$B$5*Params!$B$87*Params!$B$72</f>
        <v/>
      </c>
      <c r="AH102" s="3">
        <f>MAU!AH6*Params!$B$38*Params!$B$5*Params!$B$87*Params!$B$72</f>
        <v/>
      </c>
      <c r="AI102" s="3">
        <f>MAU!AI6*Params!$B$38*Params!$B$5*Params!$B$87*Params!$B$72</f>
        <v/>
      </c>
      <c r="AJ102" s="3">
        <f>MAU!AJ6*Params!$B$38*Params!$B$5*Params!$B$87*Params!$B$72</f>
        <v/>
      </c>
      <c r="AK102" s="3">
        <f>MAU!AK6*Params!$B$38*Params!$B$5*Params!$B$87*Params!$B$72</f>
        <v/>
      </c>
      <c r="AL102" s="3">
        <f>MAU!AL6*Params!$B$38*Params!$B$5*Params!$B$87*Params!$B$72</f>
        <v/>
      </c>
      <c r="AM102" s="3">
        <f>MAU!AM6*Params!$B$38*Params!$B$5*Params!$B$87*Params!$B$72</f>
        <v/>
      </c>
      <c r="AN102" s="3">
        <f>MAU!AN6*Params!$B$38*Params!$B$5*Params!$B$87*Params!$B$72</f>
        <v/>
      </c>
      <c r="AO102" s="3">
        <f>MAU!AO6*Params!$B$38*Params!$B$5*Params!$B$87*Params!$B$72</f>
        <v/>
      </c>
      <c r="AP102" s="3">
        <f>MAU!AP6*Params!$B$38*Params!$B$5*Params!$B$87*Params!$B$72</f>
        <v/>
      </c>
      <c r="AQ102" s="3">
        <f>MAU!AQ6*Params!$B$38*Params!$B$5*Params!$B$87*Params!$B$72</f>
        <v/>
      </c>
      <c r="AR102" s="3">
        <f>MAU!AR6*Params!$B$38*Params!$B$5*Params!$B$87*Params!$B$72</f>
        <v/>
      </c>
      <c r="AS102" s="3">
        <f>MAU!AS6*Params!$B$38*Params!$B$5*Params!$B$87*Params!$B$72</f>
        <v/>
      </c>
      <c r="AT102" s="3">
        <f>MAU!AT6*Params!$B$38*Params!$B$5*Params!$B$87*Params!$B$72</f>
        <v/>
      </c>
      <c r="AU102" s="3">
        <f>MAU!AU6*Params!$B$38*Params!$B$5*Params!$B$87*Params!$B$72</f>
        <v/>
      </c>
      <c r="AV102" s="3">
        <f>MAU!AV6*Params!$B$38*Params!$B$5*Params!$B$87*Params!$B$72</f>
        <v/>
      </c>
      <c r="AW102" s="3">
        <f>MAU!AW6*Params!$B$38*Params!$B$5*Params!$B$87*Params!$B$72</f>
        <v/>
      </c>
      <c r="AX102" s="3">
        <f>MAU!AX6*Params!$B$38*Params!$B$5*Params!$B$87*Params!$B$72</f>
        <v/>
      </c>
      <c r="AY102" s="3">
        <f>MAU!AY6*Params!$B$38*Params!$B$5*Params!$B$87*Params!$B$72</f>
        <v/>
      </c>
      <c r="AZ102" s="3">
        <f>MAU!AZ6*Params!$B$38*Params!$B$5*Params!$B$87*Params!$B$72</f>
        <v/>
      </c>
      <c r="BA102" s="3">
        <f>MAU!BA6*Params!$B$38*Params!$B$5*Params!$B$87*Params!$B$72</f>
        <v/>
      </c>
      <c r="BB102" s="3">
        <f>MAU!BB6*Params!$B$38*Params!$B$5*Params!$B$87*Params!$B$72</f>
        <v/>
      </c>
      <c r="BC102" s="3">
        <f>MAU!BC6*Params!$B$38*Params!$B$5*Params!$B$87*Params!$B$72</f>
        <v/>
      </c>
      <c r="BD102" s="3">
        <f>MAU!BD6*Params!$B$38*Params!$B$5*Params!$B$87*Params!$B$72</f>
        <v/>
      </c>
      <c r="BE102" s="3">
        <f>MAU!BE6*Params!$B$38*Params!$B$5*Params!$B$87*Params!$B$72</f>
        <v/>
      </c>
      <c r="BF102" s="3">
        <f>MAU!BF6*Params!$B$38*Params!$B$5*Params!$B$87*Params!$B$72</f>
        <v/>
      </c>
      <c r="BG102" s="3">
        <f>MAU!BG6*Params!$B$38*Params!$B$5*Params!$B$87*Params!$B$72</f>
        <v/>
      </c>
      <c r="BH102" s="3">
        <f>MAU!BH6*Params!$B$38*Params!$B$5*Params!$B$87*Params!$B$72</f>
        <v/>
      </c>
      <c r="BI102" s="3">
        <f>MAU!BI6*Params!$B$38*Params!$B$5*Params!$B$87*Params!$B$72</f>
        <v/>
      </c>
      <c r="BJ102" s="3">
        <f>MAU!BJ6*Params!$B$38*Params!$B$5*Params!$B$87*Params!$B$72</f>
        <v/>
      </c>
      <c r="BK102" s="3">
        <f>MAU!BK6*Params!$B$38*Params!$B$5*Params!$B$87*Params!$B$72</f>
        <v/>
      </c>
      <c r="BL102" s="3">
        <f>MAU!BL6*Params!$B$38*Params!$B$5*Params!$B$87*Params!$B$72</f>
        <v/>
      </c>
      <c r="BM102" s="3">
        <f>MAU!BM6*Params!$B$38*Params!$B$5*Params!$B$87*Params!$B$72</f>
        <v/>
      </c>
      <c r="BN102" s="3">
        <f>MAU!BN6*Params!$B$38*Params!$B$5*Params!$B$87*Params!$B$72</f>
        <v/>
      </c>
      <c r="BO102" s="3">
        <f>MAU!BO6*Params!$B$38*Params!$B$5*Params!$B$87*Params!$B$72</f>
        <v/>
      </c>
      <c r="BP102" s="3">
        <f>MAU!BP6*Params!$B$38*Params!$B$5*Params!$B$87*Params!$B$72</f>
        <v/>
      </c>
      <c r="BQ102" s="3">
        <f>MAU!BQ6*Params!$B$38*Params!$B$5*Params!$B$87*Params!$B$72</f>
        <v/>
      </c>
      <c r="BR102" s="3">
        <f>MAU!BR6*Params!$B$38*Params!$B$5*Params!$B$87*Params!$B$72</f>
        <v/>
      </c>
      <c r="BS102" s="3">
        <f>MAU!BS6*Params!$B$38*Params!$B$5*Params!$B$87*Params!$B$72</f>
        <v/>
      </c>
      <c r="BT102" s="3">
        <f>MAU!BT6*Params!$B$38*Params!$B$5*Params!$B$87*Params!$B$72</f>
        <v/>
      </c>
      <c r="BU102" s="3">
        <f>MAU!BU6*Params!$B$38*Params!$B$5*Params!$B$87*Params!$B$72</f>
        <v/>
      </c>
      <c r="BV102" s="3">
        <f>MAU!BV6*Params!$B$38*Params!$B$5*Params!$B$87*Params!$B$72</f>
        <v/>
      </c>
    </row>
    <row r="103">
      <c r="A103" t="inlineStr">
        <is>
          <t>trial starts</t>
        </is>
      </c>
      <c r="B103" t="inlineStr">
        <is>
          <t>LATAM|NITRO_A</t>
        </is>
      </c>
      <c r="C103" s="3">
        <f>C102*Params!$B$6</f>
        <v/>
      </c>
      <c r="D103" s="3">
        <f>D102*Params!$B$6</f>
        <v/>
      </c>
      <c r="E103" s="3">
        <f>E102*Params!$B$6</f>
        <v/>
      </c>
      <c r="F103" s="3">
        <f>F102*Params!$B$6</f>
        <v/>
      </c>
      <c r="G103" s="3">
        <f>G102*Params!$B$6</f>
        <v/>
      </c>
      <c r="H103" s="3">
        <f>H102*Params!$B$6</f>
        <v/>
      </c>
      <c r="I103" s="3">
        <f>I102*Params!$B$6</f>
        <v/>
      </c>
      <c r="J103" s="3">
        <f>J102*Params!$B$6</f>
        <v/>
      </c>
      <c r="K103" s="3">
        <f>K102*Params!$B$6</f>
        <v/>
      </c>
      <c r="L103" s="3">
        <f>L102*Params!$B$6</f>
        <v/>
      </c>
      <c r="M103" s="3">
        <f>M102*Params!$B$6</f>
        <v/>
      </c>
      <c r="N103" s="3">
        <f>N102*Params!$B$6</f>
        <v/>
      </c>
      <c r="O103" s="3">
        <f>O102*Params!$B$6</f>
        <v/>
      </c>
      <c r="P103" s="3">
        <f>P102*Params!$B$6</f>
        <v/>
      </c>
      <c r="Q103" s="3">
        <f>Q102*Params!$B$6</f>
        <v/>
      </c>
      <c r="R103" s="3">
        <f>R102*Params!$B$6</f>
        <v/>
      </c>
      <c r="S103" s="3">
        <f>S102*Params!$B$6</f>
        <v/>
      </c>
      <c r="T103" s="3">
        <f>T102*Params!$B$6</f>
        <v/>
      </c>
      <c r="U103" s="3">
        <f>U102*Params!$B$6</f>
        <v/>
      </c>
      <c r="V103" s="3">
        <f>V102*Params!$B$6</f>
        <v/>
      </c>
      <c r="W103" s="3">
        <f>W102*Params!$B$6</f>
        <v/>
      </c>
      <c r="X103" s="3">
        <f>X102*Params!$B$6</f>
        <v/>
      </c>
      <c r="Y103" s="3">
        <f>Y102*Params!$B$6</f>
        <v/>
      </c>
      <c r="Z103" s="3">
        <f>Z102*Params!$B$6</f>
        <v/>
      </c>
      <c r="AA103" s="3">
        <f>AA102*Params!$B$6</f>
        <v/>
      </c>
      <c r="AB103" s="3">
        <f>AB102*Params!$B$6</f>
        <v/>
      </c>
      <c r="AC103" s="3">
        <f>AC102*Params!$B$6</f>
        <v/>
      </c>
      <c r="AD103" s="3">
        <f>AD102*Params!$B$6</f>
        <v/>
      </c>
      <c r="AE103" s="3">
        <f>AE102*Params!$B$6</f>
        <v/>
      </c>
      <c r="AF103" s="3">
        <f>AF102*Params!$B$6</f>
        <v/>
      </c>
      <c r="AG103" s="3">
        <f>AG102*Params!$B$6</f>
        <v/>
      </c>
      <c r="AH103" s="3">
        <f>AH102*Params!$B$6</f>
        <v/>
      </c>
      <c r="AI103" s="3">
        <f>AI102*Params!$B$6</f>
        <v/>
      </c>
      <c r="AJ103" s="3">
        <f>AJ102*Params!$B$6</f>
        <v/>
      </c>
      <c r="AK103" s="3">
        <f>AK102*Params!$B$6</f>
        <v/>
      </c>
      <c r="AL103" s="3">
        <f>AL102*Params!$B$6</f>
        <v/>
      </c>
      <c r="AM103" s="3">
        <f>AM102*Params!$B$6</f>
        <v/>
      </c>
      <c r="AN103" s="3">
        <f>AN102*Params!$B$6</f>
        <v/>
      </c>
      <c r="AO103" s="3">
        <f>AO102*Params!$B$6</f>
        <v/>
      </c>
      <c r="AP103" s="3">
        <f>AP102*Params!$B$6</f>
        <v/>
      </c>
      <c r="AQ103" s="3">
        <f>AQ102*Params!$B$6</f>
        <v/>
      </c>
      <c r="AR103" s="3">
        <f>AR102*Params!$B$6</f>
        <v/>
      </c>
      <c r="AS103" s="3">
        <f>AS102*Params!$B$6</f>
        <v/>
      </c>
      <c r="AT103" s="3">
        <f>AT102*Params!$B$6</f>
        <v/>
      </c>
      <c r="AU103" s="3">
        <f>AU102*Params!$B$6</f>
        <v/>
      </c>
      <c r="AV103" s="3">
        <f>AV102*Params!$B$6</f>
        <v/>
      </c>
      <c r="AW103" s="3">
        <f>AW102*Params!$B$6</f>
        <v/>
      </c>
      <c r="AX103" s="3">
        <f>AX102*Params!$B$6</f>
        <v/>
      </c>
      <c r="AY103" s="3">
        <f>AY102*Params!$B$6</f>
        <v/>
      </c>
      <c r="AZ103" s="3">
        <f>AZ102*Params!$B$6</f>
        <v/>
      </c>
      <c r="BA103" s="3">
        <f>BA102*Params!$B$6</f>
        <v/>
      </c>
      <c r="BB103" s="3">
        <f>BB102*Params!$B$6</f>
        <v/>
      </c>
      <c r="BC103" s="3">
        <f>BC102*Params!$B$6</f>
        <v/>
      </c>
      <c r="BD103" s="3">
        <f>BD102*Params!$B$6</f>
        <v/>
      </c>
      <c r="BE103" s="3">
        <f>BE102*Params!$B$6</f>
        <v/>
      </c>
      <c r="BF103" s="3">
        <f>BF102*Params!$B$6</f>
        <v/>
      </c>
      <c r="BG103" s="3">
        <f>BG102*Params!$B$6</f>
        <v/>
      </c>
      <c r="BH103" s="3">
        <f>BH102*Params!$B$6</f>
        <v/>
      </c>
      <c r="BI103" s="3">
        <f>BI102*Params!$B$6</f>
        <v/>
      </c>
      <c r="BJ103" s="3">
        <f>BJ102*Params!$B$6</f>
        <v/>
      </c>
      <c r="BK103" s="3">
        <f>BK102*Params!$B$6</f>
        <v/>
      </c>
      <c r="BL103" s="3">
        <f>BL102*Params!$B$6</f>
        <v/>
      </c>
      <c r="BM103" s="3">
        <f>BM102*Params!$B$6</f>
        <v/>
      </c>
      <c r="BN103" s="3">
        <f>BN102*Params!$B$6</f>
        <v/>
      </c>
      <c r="BO103" s="3">
        <f>BO102*Params!$B$6</f>
        <v/>
      </c>
      <c r="BP103" s="3">
        <f>BP102*Params!$B$6</f>
        <v/>
      </c>
      <c r="BQ103" s="3">
        <f>BQ102*Params!$B$6</f>
        <v/>
      </c>
      <c r="BR103" s="3">
        <f>BR102*Params!$B$6</f>
        <v/>
      </c>
      <c r="BS103" s="3">
        <f>BS102*Params!$B$6</f>
        <v/>
      </c>
      <c r="BT103" s="3">
        <f>BT102*Params!$B$6</f>
        <v/>
      </c>
      <c r="BU103" s="3">
        <f>BU102*Params!$B$6</f>
        <v/>
      </c>
      <c r="BV103" s="3">
        <f>BV102*Params!$B$6</f>
        <v/>
      </c>
    </row>
    <row r="104">
      <c r="A104" t="inlineStr">
        <is>
          <t>direct paid starts</t>
        </is>
      </c>
      <c r="B104" t="inlineStr">
        <is>
          <t>LATAM|NITRO_A</t>
        </is>
      </c>
      <c r="C104" s="3">
        <f>C102-C103</f>
        <v/>
      </c>
      <c r="D104" s="3">
        <f>D102-D103</f>
        <v/>
      </c>
      <c r="E104" s="3">
        <f>E102-E103</f>
        <v/>
      </c>
      <c r="F104" s="3">
        <f>F102-F103</f>
        <v/>
      </c>
      <c r="G104" s="3">
        <f>G102-G103</f>
        <v/>
      </c>
      <c r="H104" s="3">
        <f>H102-H103</f>
        <v/>
      </c>
      <c r="I104" s="3">
        <f>I102-I103</f>
        <v/>
      </c>
      <c r="J104" s="3">
        <f>J102-J103</f>
        <v/>
      </c>
      <c r="K104" s="3">
        <f>K102-K103</f>
        <v/>
      </c>
      <c r="L104" s="3">
        <f>L102-L103</f>
        <v/>
      </c>
      <c r="M104" s="3">
        <f>M102-M103</f>
        <v/>
      </c>
      <c r="N104" s="3">
        <f>N102-N103</f>
        <v/>
      </c>
      <c r="O104" s="3">
        <f>O102-O103</f>
        <v/>
      </c>
      <c r="P104" s="3">
        <f>P102-P103</f>
        <v/>
      </c>
      <c r="Q104" s="3">
        <f>Q102-Q103</f>
        <v/>
      </c>
      <c r="R104" s="3">
        <f>R102-R103</f>
        <v/>
      </c>
      <c r="S104" s="3">
        <f>S102-S103</f>
        <v/>
      </c>
      <c r="T104" s="3">
        <f>T102-T103</f>
        <v/>
      </c>
      <c r="U104" s="3">
        <f>U102-U103</f>
        <v/>
      </c>
      <c r="V104" s="3">
        <f>V102-V103</f>
        <v/>
      </c>
      <c r="W104" s="3">
        <f>W102-W103</f>
        <v/>
      </c>
      <c r="X104" s="3">
        <f>X102-X103</f>
        <v/>
      </c>
      <c r="Y104" s="3">
        <f>Y102-Y103</f>
        <v/>
      </c>
      <c r="Z104" s="3">
        <f>Z102-Z103</f>
        <v/>
      </c>
      <c r="AA104" s="3">
        <f>AA102-AA103</f>
        <v/>
      </c>
      <c r="AB104" s="3">
        <f>AB102-AB103</f>
        <v/>
      </c>
      <c r="AC104" s="3">
        <f>AC102-AC103</f>
        <v/>
      </c>
      <c r="AD104" s="3">
        <f>AD102-AD103</f>
        <v/>
      </c>
      <c r="AE104" s="3">
        <f>AE102-AE103</f>
        <v/>
      </c>
      <c r="AF104" s="3">
        <f>AF102-AF103</f>
        <v/>
      </c>
      <c r="AG104" s="3">
        <f>AG102-AG103</f>
        <v/>
      </c>
      <c r="AH104" s="3">
        <f>AH102-AH103</f>
        <v/>
      </c>
      <c r="AI104" s="3">
        <f>AI102-AI103</f>
        <v/>
      </c>
      <c r="AJ104" s="3">
        <f>AJ102-AJ103</f>
        <v/>
      </c>
      <c r="AK104" s="3">
        <f>AK102-AK103</f>
        <v/>
      </c>
      <c r="AL104" s="3">
        <f>AL102-AL103</f>
        <v/>
      </c>
      <c r="AM104" s="3">
        <f>AM102-AM103</f>
        <v/>
      </c>
      <c r="AN104" s="3">
        <f>AN102-AN103</f>
        <v/>
      </c>
      <c r="AO104" s="3">
        <f>AO102-AO103</f>
        <v/>
      </c>
      <c r="AP104" s="3">
        <f>AP102-AP103</f>
        <v/>
      </c>
      <c r="AQ104" s="3">
        <f>AQ102-AQ103</f>
        <v/>
      </c>
      <c r="AR104" s="3">
        <f>AR102-AR103</f>
        <v/>
      </c>
      <c r="AS104" s="3">
        <f>AS102-AS103</f>
        <v/>
      </c>
      <c r="AT104" s="3">
        <f>AT102-AT103</f>
        <v/>
      </c>
      <c r="AU104" s="3">
        <f>AU102-AU103</f>
        <v/>
      </c>
      <c r="AV104" s="3">
        <f>AV102-AV103</f>
        <v/>
      </c>
      <c r="AW104" s="3">
        <f>AW102-AW103</f>
        <v/>
      </c>
      <c r="AX104" s="3">
        <f>AX102-AX103</f>
        <v/>
      </c>
      <c r="AY104" s="3">
        <f>AY102-AY103</f>
        <v/>
      </c>
      <c r="AZ104" s="3">
        <f>AZ102-AZ103</f>
        <v/>
      </c>
      <c r="BA104" s="3">
        <f>BA102-BA103</f>
        <v/>
      </c>
      <c r="BB104" s="3">
        <f>BB102-BB103</f>
        <v/>
      </c>
      <c r="BC104" s="3">
        <f>BC102-BC103</f>
        <v/>
      </c>
      <c r="BD104" s="3">
        <f>BD102-BD103</f>
        <v/>
      </c>
      <c r="BE104" s="3">
        <f>BE102-BE103</f>
        <v/>
      </c>
      <c r="BF104" s="3">
        <f>BF102-BF103</f>
        <v/>
      </c>
      <c r="BG104" s="3">
        <f>BG102-BG103</f>
        <v/>
      </c>
      <c r="BH104" s="3">
        <f>BH102-BH103</f>
        <v/>
      </c>
      <c r="BI104" s="3">
        <f>BI102-BI103</f>
        <v/>
      </c>
      <c r="BJ104" s="3">
        <f>BJ102-BJ103</f>
        <v/>
      </c>
      <c r="BK104" s="3">
        <f>BK102-BK103</f>
        <v/>
      </c>
      <c r="BL104" s="3">
        <f>BL102-BL103</f>
        <v/>
      </c>
      <c r="BM104" s="3">
        <f>BM102-BM103</f>
        <v/>
      </c>
      <c r="BN104" s="3">
        <f>BN102-BN103</f>
        <v/>
      </c>
      <c r="BO104" s="3">
        <f>BO102-BO103</f>
        <v/>
      </c>
      <c r="BP104" s="3">
        <f>BP102-BP103</f>
        <v/>
      </c>
      <c r="BQ104" s="3">
        <f>BQ102-BQ103</f>
        <v/>
      </c>
      <c r="BR104" s="3">
        <f>BR102-BR103</f>
        <v/>
      </c>
      <c r="BS104" s="3">
        <f>BS102-BS103</f>
        <v/>
      </c>
      <c r="BT104" s="3">
        <f>BT102-BT103</f>
        <v/>
      </c>
      <c r="BU104" s="3">
        <f>BU102-BU103</f>
        <v/>
      </c>
      <c r="BV104" s="3">
        <f>BV102-BV103</f>
        <v/>
      </c>
    </row>
    <row r="105">
      <c r="A105" t="inlineStr">
        <is>
          <t>trials ending</t>
        </is>
      </c>
      <c r="B105" t="inlineStr">
        <is>
          <t>LATAM|NITRO_A</t>
        </is>
      </c>
      <c r="C105" s="3">
        <f>IF(C$2&gt;=Params!$B$7,INDEX($C$103:$BV$103,C$2-Params!$B$7+1),0)</f>
        <v/>
      </c>
      <c r="D105" s="3">
        <f>IF(D$2&gt;=Params!$B$7,INDEX($C$103:$BV$103,D$2-Params!$B$7+1),0)</f>
        <v/>
      </c>
      <c r="E105" s="3">
        <f>IF(E$2&gt;=Params!$B$7,INDEX($C$103:$BV$103,E$2-Params!$B$7+1),0)</f>
        <v/>
      </c>
      <c r="F105" s="3">
        <f>IF(F$2&gt;=Params!$B$7,INDEX($C$103:$BV$103,F$2-Params!$B$7+1),0)</f>
        <v/>
      </c>
      <c r="G105" s="3">
        <f>IF(G$2&gt;=Params!$B$7,INDEX($C$103:$BV$103,G$2-Params!$B$7+1),0)</f>
        <v/>
      </c>
      <c r="H105" s="3">
        <f>IF(H$2&gt;=Params!$B$7,INDEX($C$103:$BV$103,H$2-Params!$B$7+1),0)</f>
        <v/>
      </c>
      <c r="I105" s="3">
        <f>IF(I$2&gt;=Params!$B$7,INDEX($C$103:$BV$103,I$2-Params!$B$7+1),0)</f>
        <v/>
      </c>
      <c r="J105" s="3">
        <f>IF(J$2&gt;=Params!$B$7,INDEX($C$103:$BV$103,J$2-Params!$B$7+1),0)</f>
        <v/>
      </c>
      <c r="K105" s="3">
        <f>IF(K$2&gt;=Params!$B$7,INDEX($C$103:$BV$103,K$2-Params!$B$7+1),0)</f>
        <v/>
      </c>
      <c r="L105" s="3">
        <f>IF(L$2&gt;=Params!$B$7,INDEX($C$103:$BV$103,L$2-Params!$B$7+1),0)</f>
        <v/>
      </c>
      <c r="M105" s="3">
        <f>IF(M$2&gt;=Params!$B$7,INDEX($C$103:$BV$103,M$2-Params!$B$7+1),0)</f>
        <v/>
      </c>
      <c r="N105" s="3">
        <f>IF(N$2&gt;=Params!$B$7,INDEX($C$103:$BV$103,N$2-Params!$B$7+1),0)</f>
        <v/>
      </c>
      <c r="O105" s="3">
        <f>IF(O$2&gt;=Params!$B$7,INDEX($C$103:$BV$103,O$2-Params!$B$7+1),0)</f>
        <v/>
      </c>
      <c r="P105" s="3">
        <f>IF(P$2&gt;=Params!$B$7,INDEX($C$103:$BV$103,P$2-Params!$B$7+1),0)</f>
        <v/>
      </c>
      <c r="Q105" s="3">
        <f>IF(Q$2&gt;=Params!$B$7,INDEX($C$103:$BV$103,Q$2-Params!$B$7+1),0)</f>
        <v/>
      </c>
      <c r="R105" s="3">
        <f>IF(R$2&gt;=Params!$B$7,INDEX($C$103:$BV$103,R$2-Params!$B$7+1),0)</f>
        <v/>
      </c>
      <c r="S105" s="3">
        <f>IF(S$2&gt;=Params!$B$7,INDEX($C$103:$BV$103,S$2-Params!$B$7+1),0)</f>
        <v/>
      </c>
      <c r="T105" s="3">
        <f>IF(T$2&gt;=Params!$B$7,INDEX($C$103:$BV$103,T$2-Params!$B$7+1),0)</f>
        <v/>
      </c>
      <c r="U105" s="3">
        <f>IF(U$2&gt;=Params!$B$7,INDEX($C$103:$BV$103,U$2-Params!$B$7+1),0)</f>
        <v/>
      </c>
      <c r="V105" s="3">
        <f>IF(V$2&gt;=Params!$B$7,INDEX($C$103:$BV$103,V$2-Params!$B$7+1),0)</f>
        <v/>
      </c>
      <c r="W105" s="3">
        <f>IF(W$2&gt;=Params!$B$7,INDEX($C$103:$BV$103,W$2-Params!$B$7+1),0)</f>
        <v/>
      </c>
      <c r="X105" s="3">
        <f>IF(X$2&gt;=Params!$B$7,INDEX($C$103:$BV$103,X$2-Params!$B$7+1),0)</f>
        <v/>
      </c>
      <c r="Y105" s="3">
        <f>IF(Y$2&gt;=Params!$B$7,INDEX($C$103:$BV$103,Y$2-Params!$B$7+1),0)</f>
        <v/>
      </c>
      <c r="Z105" s="3">
        <f>IF(Z$2&gt;=Params!$B$7,INDEX($C$103:$BV$103,Z$2-Params!$B$7+1),0)</f>
        <v/>
      </c>
      <c r="AA105" s="3">
        <f>IF(AA$2&gt;=Params!$B$7,INDEX($C$103:$BV$103,AA$2-Params!$B$7+1),0)</f>
        <v/>
      </c>
      <c r="AB105" s="3">
        <f>IF(AB$2&gt;=Params!$B$7,INDEX($C$103:$BV$103,AB$2-Params!$B$7+1),0)</f>
        <v/>
      </c>
      <c r="AC105" s="3">
        <f>IF(AC$2&gt;=Params!$B$7,INDEX($C$103:$BV$103,AC$2-Params!$B$7+1),0)</f>
        <v/>
      </c>
      <c r="AD105" s="3">
        <f>IF(AD$2&gt;=Params!$B$7,INDEX($C$103:$BV$103,AD$2-Params!$B$7+1),0)</f>
        <v/>
      </c>
      <c r="AE105" s="3">
        <f>IF(AE$2&gt;=Params!$B$7,INDEX($C$103:$BV$103,AE$2-Params!$B$7+1),0)</f>
        <v/>
      </c>
      <c r="AF105" s="3">
        <f>IF(AF$2&gt;=Params!$B$7,INDEX($C$103:$BV$103,AF$2-Params!$B$7+1),0)</f>
        <v/>
      </c>
      <c r="AG105" s="3">
        <f>IF(AG$2&gt;=Params!$B$7,INDEX($C$103:$BV$103,AG$2-Params!$B$7+1),0)</f>
        <v/>
      </c>
      <c r="AH105" s="3">
        <f>IF(AH$2&gt;=Params!$B$7,INDEX($C$103:$BV$103,AH$2-Params!$B$7+1),0)</f>
        <v/>
      </c>
      <c r="AI105" s="3">
        <f>IF(AI$2&gt;=Params!$B$7,INDEX($C$103:$BV$103,AI$2-Params!$B$7+1),0)</f>
        <v/>
      </c>
      <c r="AJ105" s="3">
        <f>IF(AJ$2&gt;=Params!$B$7,INDEX($C$103:$BV$103,AJ$2-Params!$B$7+1),0)</f>
        <v/>
      </c>
      <c r="AK105" s="3">
        <f>IF(AK$2&gt;=Params!$B$7,INDEX($C$103:$BV$103,AK$2-Params!$B$7+1),0)</f>
        <v/>
      </c>
      <c r="AL105" s="3">
        <f>IF(AL$2&gt;=Params!$B$7,INDEX($C$103:$BV$103,AL$2-Params!$B$7+1),0)</f>
        <v/>
      </c>
      <c r="AM105" s="3">
        <f>IF(AM$2&gt;=Params!$B$7,INDEX($C$103:$BV$103,AM$2-Params!$B$7+1),0)</f>
        <v/>
      </c>
      <c r="AN105" s="3">
        <f>IF(AN$2&gt;=Params!$B$7,INDEX($C$103:$BV$103,AN$2-Params!$B$7+1),0)</f>
        <v/>
      </c>
      <c r="AO105" s="3">
        <f>IF(AO$2&gt;=Params!$B$7,INDEX($C$103:$BV$103,AO$2-Params!$B$7+1),0)</f>
        <v/>
      </c>
      <c r="AP105" s="3">
        <f>IF(AP$2&gt;=Params!$B$7,INDEX($C$103:$BV$103,AP$2-Params!$B$7+1),0)</f>
        <v/>
      </c>
      <c r="AQ105" s="3">
        <f>IF(AQ$2&gt;=Params!$B$7,INDEX($C$103:$BV$103,AQ$2-Params!$B$7+1),0)</f>
        <v/>
      </c>
      <c r="AR105" s="3">
        <f>IF(AR$2&gt;=Params!$B$7,INDEX($C$103:$BV$103,AR$2-Params!$B$7+1),0)</f>
        <v/>
      </c>
      <c r="AS105" s="3">
        <f>IF(AS$2&gt;=Params!$B$7,INDEX($C$103:$BV$103,AS$2-Params!$B$7+1),0)</f>
        <v/>
      </c>
      <c r="AT105" s="3">
        <f>IF(AT$2&gt;=Params!$B$7,INDEX($C$103:$BV$103,AT$2-Params!$B$7+1),0)</f>
        <v/>
      </c>
      <c r="AU105" s="3">
        <f>IF(AU$2&gt;=Params!$B$7,INDEX($C$103:$BV$103,AU$2-Params!$B$7+1),0)</f>
        <v/>
      </c>
      <c r="AV105" s="3">
        <f>IF(AV$2&gt;=Params!$B$7,INDEX($C$103:$BV$103,AV$2-Params!$B$7+1),0)</f>
        <v/>
      </c>
      <c r="AW105" s="3">
        <f>IF(AW$2&gt;=Params!$B$7,INDEX($C$103:$BV$103,AW$2-Params!$B$7+1),0)</f>
        <v/>
      </c>
      <c r="AX105" s="3">
        <f>IF(AX$2&gt;=Params!$B$7,INDEX($C$103:$BV$103,AX$2-Params!$B$7+1),0)</f>
        <v/>
      </c>
      <c r="AY105" s="3">
        <f>IF(AY$2&gt;=Params!$B$7,INDEX($C$103:$BV$103,AY$2-Params!$B$7+1),0)</f>
        <v/>
      </c>
      <c r="AZ105" s="3">
        <f>IF(AZ$2&gt;=Params!$B$7,INDEX($C$103:$BV$103,AZ$2-Params!$B$7+1),0)</f>
        <v/>
      </c>
      <c r="BA105" s="3">
        <f>IF(BA$2&gt;=Params!$B$7,INDEX($C$103:$BV$103,BA$2-Params!$B$7+1),0)</f>
        <v/>
      </c>
      <c r="BB105" s="3">
        <f>IF(BB$2&gt;=Params!$B$7,INDEX($C$103:$BV$103,BB$2-Params!$B$7+1),0)</f>
        <v/>
      </c>
      <c r="BC105" s="3">
        <f>IF(BC$2&gt;=Params!$B$7,INDEX($C$103:$BV$103,BC$2-Params!$B$7+1),0)</f>
        <v/>
      </c>
      <c r="BD105" s="3">
        <f>IF(BD$2&gt;=Params!$B$7,INDEX($C$103:$BV$103,BD$2-Params!$B$7+1),0)</f>
        <v/>
      </c>
      <c r="BE105" s="3">
        <f>IF(BE$2&gt;=Params!$B$7,INDEX($C$103:$BV$103,BE$2-Params!$B$7+1),0)</f>
        <v/>
      </c>
      <c r="BF105" s="3">
        <f>IF(BF$2&gt;=Params!$B$7,INDEX($C$103:$BV$103,BF$2-Params!$B$7+1),0)</f>
        <v/>
      </c>
      <c r="BG105" s="3">
        <f>IF(BG$2&gt;=Params!$B$7,INDEX($C$103:$BV$103,BG$2-Params!$B$7+1),0)</f>
        <v/>
      </c>
      <c r="BH105" s="3">
        <f>IF(BH$2&gt;=Params!$B$7,INDEX($C$103:$BV$103,BH$2-Params!$B$7+1),0)</f>
        <v/>
      </c>
      <c r="BI105" s="3">
        <f>IF(BI$2&gt;=Params!$B$7,INDEX($C$103:$BV$103,BI$2-Params!$B$7+1),0)</f>
        <v/>
      </c>
      <c r="BJ105" s="3">
        <f>IF(BJ$2&gt;=Params!$B$7,INDEX($C$103:$BV$103,BJ$2-Params!$B$7+1),0)</f>
        <v/>
      </c>
      <c r="BK105" s="3">
        <f>IF(BK$2&gt;=Params!$B$7,INDEX($C$103:$BV$103,BK$2-Params!$B$7+1),0)</f>
        <v/>
      </c>
      <c r="BL105" s="3">
        <f>IF(BL$2&gt;=Params!$B$7,INDEX($C$103:$BV$103,BL$2-Params!$B$7+1),0)</f>
        <v/>
      </c>
      <c r="BM105" s="3">
        <f>IF(BM$2&gt;=Params!$B$7,INDEX($C$103:$BV$103,BM$2-Params!$B$7+1),0)</f>
        <v/>
      </c>
      <c r="BN105" s="3">
        <f>IF(BN$2&gt;=Params!$B$7,INDEX($C$103:$BV$103,BN$2-Params!$B$7+1),0)</f>
        <v/>
      </c>
      <c r="BO105" s="3">
        <f>IF(BO$2&gt;=Params!$B$7,INDEX($C$103:$BV$103,BO$2-Params!$B$7+1),0)</f>
        <v/>
      </c>
      <c r="BP105" s="3">
        <f>IF(BP$2&gt;=Params!$B$7,INDEX($C$103:$BV$103,BP$2-Params!$B$7+1),0)</f>
        <v/>
      </c>
      <c r="BQ105" s="3">
        <f>IF(BQ$2&gt;=Params!$B$7,INDEX($C$103:$BV$103,BQ$2-Params!$B$7+1),0)</f>
        <v/>
      </c>
      <c r="BR105" s="3">
        <f>IF(BR$2&gt;=Params!$B$7,INDEX($C$103:$BV$103,BR$2-Params!$B$7+1),0)</f>
        <v/>
      </c>
      <c r="BS105" s="3">
        <f>IF(BS$2&gt;=Params!$B$7,INDEX($C$103:$BV$103,BS$2-Params!$B$7+1),0)</f>
        <v/>
      </c>
      <c r="BT105" s="3">
        <f>IF(BT$2&gt;=Params!$B$7,INDEX($C$103:$BV$103,BT$2-Params!$B$7+1),0)</f>
        <v/>
      </c>
      <c r="BU105" s="3">
        <f>IF(BU$2&gt;=Params!$B$7,INDEX($C$103:$BV$103,BU$2-Params!$B$7+1),0)</f>
        <v/>
      </c>
      <c r="BV105" s="3">
        <f>IF(BV$2&gt;=Params!$B$7,INDEX($C$103:$BV$103,BV$2-Params!$B$7+1),0)</f>
        <v/>
      </c>
    </row>
    <row r="106">
      <c r="A106" t="inlineStr">
        <is>
          <t>trials converted</t>
        </is>
      </c>
      <c r="B106" t="inlineStr">
        <is>
          <t>LATAM|NITRO_A</t>
        </is>
      </c>
      <c r="C106" s="3">
        <f>C105*Params!$B$8</f>
        <v/>
      </c>
      <c r="D106" s="3">
        <f>D105*Params!$B$8</f>
        <v/>
      </c>
      <c r="E106" s="3">
        <f>E105*Params!$B$8</f>
        <v/>
      </c>
      <c r="F106" s="3">
        <f>F105*Params!$B$8</f>
        <v/>
      </c>
      <c r="G106" s="3">
        <f>G105*Params!$B$8</f>
        <v/>
      </c>
      <c r="H106" s="3">
        <f>H105*Params!$B$8</f>
        <v/>
      </c>
      <c r="I106" s="3">
        <f>I105*Params!$B$8</f>
        <v/>
      </c>
      <c r="J106" s="3">
        <f>J105*Params!$B$8</f>
        <v/>
      </c>
      <c r="K106" s="3">
        <f>K105*Params!$B$8</f>
        <v/>
      </c>
      <c r="L106" s="3">
        <f>L105*Params!$B$8</f>
        <v/>
      </c>
      <c r="M106" s="3">
        <f>M105*Params!$B$8</f>
        <v/>
      </c>
      <c r="N106" s="3">
        <f>N105*Params!$B$8</f>
        <v/>
      </c>
      <c r="O106" s="3">
        <f>O105*Params!$B$8</f>
        <v/>
      </c>
      <c r="P106" s="3">
        <f>P105*Params!$B$8</f>
        <v/>
      </c>
      <c r="Q106" s="3">
        <f>Q105*Params!$B$8</f>
        <v/>
      </c>
      <c r="R106" s="3">
        <f>R105*Params!$B$8</f>
        <v/>
      </c>
      <c r="S106" s="3">
        <f>S105*Params!$B$8</f>
        <v/>
      </c>
      <c r="T106" s="3">
        <f>T105*Params!$B$8</f>
        <v/>
      </c>
      <c r="U106" s="3">
        <f>U105*Params!$B$8</f>
        <v/>
      </c>
      <c r="V106" s="3">
        <f>V105*Params!$B$8</f>
        <v/>
      </c>
      <c r="W106" s="3">
        <f>W105*Params!$B$8</f>
        <v/>
      </c>
      <c r="X106" s="3">
        <f>X105*Params!$B$8</f>
        <v/>
      </c>
      <c r="Y106" s="3">
        <f>Y105*Params!$B$8</f>
        <v/>
      </c>
      <c r="Z106" s="3">
        <f>Z105*Params!$B$8</f>
        <v/>
      </c>
      <c r="AA106" s="3">
        <f>AA105*Params!$B$8</f>
        <v/>
      </c>
      <c r="AB106" s="3">
        <f>AB105*Params!$B$8</f>
        <v/>
      </c>
      <c r="AC106" s="3">
        <f>AC105*Params!$B$8</f>
        <v/>
      </c>
      <c r="AD106" s="3">
        <f>AD105*Params!$B$8</f>
        <v/>
      </c>
      <c r="AE106" s="3">
        <f>AE105*Params!$B$8</f>
        <v/>
      </c>
      <c r="AF106" s="3">
        <f>AF105*Params!$B$8</f>
        <v/>
      </c>
      <c r="AG106" s="3">
        <f>AG105*Params!$B$8</f>
        <v/>
      </c>
      <c r="AH106" s="3">
        <f>AH105*Params!$B$8</f>
        <v/>
      </c>
      <c r="AI106" s="3">
        <f>AI105*Params!$B$8</f>
        <v/>
      </c>
      <c r="AJ106" s="3">
        <f>AJ105*Params!$B$8</f>
        <v/>
      </c>
      <c r="AK106" s="3">
        <f>AK105*Params!$B$8</f>
        <v/>
      </c>
      <c r="AL106" s="3">
        <f>AL105*Params!$B$8</f>
        <v/>
      </c>
      <c r="AM106" s="3">
        <f>AM105*Params!$B$8</f>
        <v/>
      </c>
      <c r="AN106" s="3">
        <f>AN105*Params!$B$8</f>
        <v/>
      </c>
      <c r="AO106" s="3">
        <f>AO105*Params!$B$8</f>
        <v/>
      </c>
      <c r="AP106" s="3">
        <f>AP105*Params!$B$8</f>
        <v/>
      </c>
      <c r="AQ106" s="3">
        <f>AQ105*Params!$B$8</f>
        <v/>
      </c>
      <c r="AR106" s="3">
        <f>AR105*Params!$B$8</f>
        <v/>
      </c>
      <c r="AS106" s="3">
        <f>AS105*Params!$B$8</f>
        <v/>
      </c>
      <c r="AT106" s="3">
        <f>AT105*Params!$B$8</f>
        <v/>
      </c>
      <c r="AU106" s="3">
        <f>AU105*Params!$B$8</f>
        <v/>
      </c>
      <c r="AV106" s="3">
        <f>AV105*Params!$B$8</f>
        <v/>
      </c>
      <c r="AW106" s="3">
        <f>AW105*Params!$B$8</f>
        <v/>
      </c>
      <c r="AX106" s="3">
        <f>AX105*Params!$B$8</f>
        <v/>
      </c>
      <c r="AY106" s="3">
        <f>AY105*Params!$B$8</f>
        <v/>
      </c>
      <c r="AZ106" s="3">
        <f>AZ105*Params!$B$8</f>
        <v/>
      </c>
      <c r="BA106" s="3">
        <f>BA105*Params!$B$8</f>
        <v/>
      </c>
      <c r="BB106" s="3">
        <f>BB105*Params!$B$8</f>
        <v/>
      </c>
      <c r="BC106" s="3">
        <f>BC105*Params!$B$8</f>
        <v/>
      </c>
      <c r="BD106" s="3">
        <f>BD105*Params!$B$8</f>
        <v/>
      </c>
      <c r="BE106" s="3">
        <f>BE105*Params!$B$8</f>
        <v/>
      </c>
      <c r="BF106" s="3">
        <f>BF105*Params!$B$8</f>
        <v/>
      </c>
      <c r="BG106" s="3">
        <f>BG105*Params!$B$8</f>
        <v/>
      </c>
      <c r="BH106" s="3">
        <f>BH105*Params!$B$8</f>
        <v/>
      </c>
      <c r="BI106" s="3">
        <f>BI105*Params!$B$8</f>
        <v/>
      </c>
      <c r="BJ106" s="3">
        <f>BJ105*Params!$B$8</f>
        <v/>
      </c>
      <c r="BK106" s="3">
        <f>BK105*Params!$B$8</f>
        <v/>
      </c>
      <c r="BL106" s="3">
        <f>BL105*Params!$B$8</f>
        <v/>
      </c>
      <c r="BM106" s="3">
        <f>BM105*Params!$B$8</f>
        <v/>
      </c>
      <c r="BN106" s="3">
        <f>BN105*Params!$B$8</f>
        <v/>
      </c>
      <c r="BO106" s="3">
        <f>BO105*Params!$B$8</f>
        <v/>
      </c>
      <c r="BP106" s="3">
        <f>BP105*Params!$B$8</f>
        <v/>
      </c>
      <c r="BQ106" s="3">
        <f>BQ105*Params!$B$8</f>
        <v/>
      </c>
      <c r="BR106" s="3">
        <f>BR105*Params!$B$8</f>
        <v/>
      </c>
      <c r="BS106" s="3">
        <f>BS105*Params!$B$8</f>
        <v/>
      </c>
      <c r="BT106" s="3">
        <f>BT105*Params!$B$8</f>
        <v/>
      </c>
      <c r="BU106" s="3">
        <f>BU105*Params!$B$8</f>
        <v/>
      </c>
      <c r="BV106" s="3">
        <f>BV105*Params!$B$8</f>
        <v/>
      </c>
    </row>
    <row r="107">
      <c r="A107" t="inlineStr">
        <is>
          <t>trials lost</t>
        </is>
      </c>
      <c r="B107" t="inlineStr">
        <is>
          <t>LATAM|NITRO_A</t>
        </is>
      </c>
      <c r="C107" s="3">
        <f>C105-C106</f>
        <v/>
      </c>
      <c r="D107" s="3">
        <f>D105-D106</f>
        <v/>
      </c>
      <c r="E107" s="3">
        <f>E105-E106</f>
        <v/>
      </c>
      <c r="F107" s="3">
        <f>F105-F106</f>
        <v/>
      </c>
      <c r="G107" s="3">
        <f>G105-G106</f>
        <v/>
      </c>
      <c r="H107" s="3">
        <f>H105-H106</f>
        <v/>
      </c>
      <c r="I107" s="3">
        <f>I105-I106</f>
        <v/>
      </c>
      <c r="J107" s="3">
        <f>J105-J106</f>
        <v/>
      </c>
      <c r="K107" s="3">
        <f>K105-K106</f>
        <v/>
      </c>
      <c r="L107" s="3">
        <f>L105-L106</f>
        <v/>
      </c>
      <c r="M107" s="3">
        <f>M105-M106</f>
        <v/>
      </c>
      <c r="N107" s="3">
        <f>N105-N106</f>
        <v/>
      </c>
      <c r="O107" s="3">
        <f>O105-O106</f>
        <v/>
      </c>
      <c r="P107" s="3">
        <f>P105-P106</f>
        <v/>
      </c>
      <c r="Q107" s="3">
        <f>Q105-Q106</f>
        <v/>
      </c>
      <c r="R107" s="3">
        <f>R105-R106</f>
        <v/>
      </c>
      <c r="S107" s="3">
        <f>S105-S106</f>
        <v/>
      </c>
      <c r="T107" s="3">
        <f>T105-T106</f>
        <v/>
      </c>
      <c r="U107" s="3">
        <f>U105-U106</f>
        <v/>
      </c>
      <c r="V107" s="3">
        <f>V105-V106</f>
        <v/>
      </c>
      <c r="W107" s="3">
        <f>W105-W106</f>
        <v/>
      </c>
      <c r="X107" s="3">
        <f>X105-X106</f>
        <v/>
      </c>
      <c r="Y107" s="3">
        <f>Y105-Y106</f>
        <v/>
      </c>
      <c r="Z107" s="3">
        <f>Z105-Z106</f>
        <v/>
      </c>
      <c r="AA107" s="3">
        <f>AA105-AA106</f>
        <v/>
      </c>
      <c r="AB107" s="3">
        <f>AB105-AB106</f>
        <v/>
      </c>
      <c r="AC107" s="3">
        <f>AC105-AC106</f>
        <v/>
      </c>
      <c r="AD107" s="3">
        <f>AD105-AD106</f>
        <v/>
      </c>
      <c r="AE107" s="3">
        <f>AE105-AE106</f>
        <v/>
      </c>
      <c r="AF107" s="3">
        <f>AF105-AF106</f>
        <v/>
      </c>
      <c r="AG107" s="3">
        <f>AG105-AG106</f>
        <v/>
      </c>
      <c r="AH107" s="3">
        <f>AH105-AH106</f>
        <v/>
      </c>
      <c r="AI107" s="3">
        <f>AI105-AI106</f>
        <v/>
      </c>
      <c r="AJ107" s="3">
        <f>AJ105-AJ106</f>
        <v/>
      </c>
      <c r="AK107" s="3">
        <f>AK105-AK106</f>
        <v/>
      </c>
      <c r="AL107" s="3">
        <f>AL105-AL106</f>
        <v/>
      </c>
      <c r="AM107" s="3">
        <f>AM105-AM106</f>
        <v/>
      </c>
      <c r="AN107" s="3">
        <f>AN105-AN106</f>
        <v/>
      </c>
      <c r="AO107" s="3">
        <f>AO105-AO106</f>
        <v/>
      </c>
      <c r="AP107" s="3">
        <f>AP105-AP106</f>
        <v/>
      </c>
      <c r="AQ107" s="3">
        <f>AQ105-AQ106</f>
        <v/>
      </c>
      <c r="AR107" s="3">
        <f>AR105-AR106</f>
        <v/>
      </c>
      <c r="AS107" s="3">
        <f>AS105-AS106</f>
        <v/>
      </c>
      <c r="AT107" s="3">
        <f>AT105-AT106</f>
        <v/>
      </c>
      <c r="AU107" s="3">
        <f>AU105-AU106</f>
        <v/>
      </c>
      <c r="AV107" s="3">
        <f>AV105-AV106</f>
        <v/>
      </c>
      <c r="AW107" s="3">
        <f>AW105-AW106</f>
        <v/>
      </c>
      <c r="AX107" s="3">
        <f>AX105-AX106</f>
        <v/>
      </c>
      <c r="AY107" s="3">
        <f>AY105-AY106</f>
        <v/>
      </c>
      <c r="AZ107" s="3">
        <f>AZ105-AZ106</f>
        <v/>
      </c>
      <c r="BA107" s="3">
        <f>BA105-BA106</f>
        <v/>
      </c>
      <c r="BB107" s="3">
        <f>BB105-BB106</f>
        <v/>
      </c>
      <c r="BC107" s="3">
        <f>BC105-BC106</f>
        <v/>
      </c>
      <c r="BD107" s="3">
        <f>BD105-BD106</f>
        <v/>
      </c>
      <c r="BE107" s="3">
        <f>BE105-BE106</f>
        <v/>
      </c>
      <c r="BF107" s="3">
        <f>BF105-BF106</f>
        <v/>
      </c>
      <c r="BG107" s="3">
        <f>BG105-BG106</f>
        <v/>
      </c>
      <c r="BH107" s="3">
        <f>BH105-BH106</f>
        <v/>
      </c>
      <c r="BI107" s="3">
        <f>BI105-BI106</f>
        <v/>
      </c>
      <c r="BJ107" s="3">
        <f>BJ105-BJ106</f>
        <v/>
      </c>
      <c r="BK107" s="3">
        <f>BK105-BK106</f>
        <v/>
      </c>
      <c r="BL107" s="3">
        <f>BL105-BL106</f>
        <v/>
      </c>
      <c r="BM107" s="3">
        <f>BM105-BM106</f>
        <v/>
      </c>
      <c r="BN107" s="3">
        <f>BN105-BN106</f>
        <v/>
      </c>
      <c r="BO107" s="3">
        <f>BO105-BO106</f>
        <v/>
      </c>
      <c r="BP107" s="3">
        <f>BP105-BP106</f>
        <v/>
      </c>
      <c r="BQ107" s="3">
        <f>BQ105-BQ106</f>
        <v/>
      </c>
      <c r="BR107" s="3">
        <f>BR105-BR106</f>
        <v/>
      </c>
      <c r="BS107" s="3">
        <f>BS105-BS106</f>
        <v/>
      </c>
      <c r="BT107" s="3">
        <f>BT105-BT106</f>
        <v/>
      </c>
      <c r="BU107" s="3">
        <f>BU105-BU106</f>
        <v/>
      </c>
      <c r="BV107" s="3">
        <f>BV105-BV106</f>
        <v/>
      </c>
    </row>
    <row r="108">
      <c r="A108" t="inlineStr">
        <is>
          <t>cum trial starts</t>
        </is>
      </c>
      <c r="B108" t="inlineStr">
        <is>
          <t>LATAM|NITRO_A</t>
        </is>
      </c>
      <c r="C108" s="3">
        <f>SUM($C103:C103)</f>
        <v/>
      </c>
      <c r="D108" s="3">
        <f>SUM($C103:D103)</f>
        <v/>
      </c>
      <c r="E108" s="3">
        <f>SUM($C103:E103)</f>
        <v/>
      </c>
      <c r="F108" s="3">
        <f>SUM($C103:F103)</f>
        <v/>
      </c>
      <c r="G108" s="3">
        <f>SUM($C103:G103)</f>
        <v/>
      </c>
      <c r="H108" s="3">
        <f>SUM($C103:H103)</f>
        <v/>
      </c>
      <c r="I108" s="3">
        <f>SUM($C103:I103)</f>
        <v/>
      </c>
      <c r="J108" s="3">
        <f>SUM($C103:J103)</f>
        <v/>
      </c>
      <c r="K108" s="3">
        <f>SUM($C103:K103)</f>
        <v/>
      </c>
      <c r="L108" s="3">
        <f>SUM($C103:L103)</f>
        <v/>
      </c>
      <c r="M108" s="3">
        <f>SUM($C103:M103)</f>
        <v/>
      </c>
      <c r="N108" s="3">
        <f>SUM($C103:N103)</f>
        <v/>
      </c>
      <c r="O108" s="3">
        <f>SUM($C103:O103)</f>
        <v/>
      </c>
      <c r="P108" s="3">
        <f>SUM($C103:P103)</f>
        <v/>
      </c>
      <c r="Q108" s="3">
        <f>SUM($C103:Q103)</f>
        <v/>
      </c>
      <c r="R108" s="3">
        <f>SUM($C103:R103)</f>
        <v/>
      </c>
      <c r="S108" s="3">
        <f>SUM($C103:S103)</f>
        <v/>
      </c>
      <c r="T108" s="3">
        <f>SUM($C103:T103)</f>
        <v/>
      </c>
      <c r="U108" s="3">
        <f>SUM($C103:U103)</f>
        <v/>
      </c>
      <c r="V108" s="3">
        <f>SUM($C103:V103)</f>
        <v/>
      </c>
      <c r="W108" s="3">
        <f>SUM($C103:W103)</f>
        <v/>
      </c>
      <c r="X108" s="3">
        <f>SUM($C103:X103)</f>
        <v/>
      </c>
      <c r="Y108" s="3">
        <f>SUM($C103:Y103)</f>
        <v/>
      </c>
      <c r="Z108" s="3">
        <f>SUM($C103:Z103)</f>
        <v/>
      </c>
      <c r="AA108" s="3">
        <f>SUM($C103:AA103)</f>
        <v/>
      </c>
      <c r="AB108" s="3">
        <f>SUM($C103:AB103)</f>
        <v/>
      </c>
      <c r="AC108" s="3">
        <f>SUM($C103:AC103)</f>
        <v/>
      </c>
      <c r="AD108" s="3">
        <f>SUM($C103:AD103)</f>
        <v/>
      </c>
      <c r="AE108" s="3">
        <f>SUM($C103:AE103)</f>
        <v/>
      </c>
      <c r="AF108" s="3">
        <f>SUM($C103:AF103)</f>
        <v/>
      </c>
      <c r="AG108" s="3">
        <f>SUM($C103:AG103)</f>
        <v/>
      </c>
      <c r="AH108" s="3">
        <f>SUM($C103:AH103)</f>
        <v/>
      </c>
      <c r="AI108" s="3">
        <f>SUM($C103:AI103)</f>
        <v/>
      </c>
      <c r="AJ108" s="3">
        <f>SUM($C103:AJ103)</f>
        <v/>
      </c>
      <c r="AK108" s="3">
        <f>SUM($C103:AK103)</f>
        <v/>
      </c>
      <c r="AL108" s="3">
        <f>SUM($C103:AL103)</f>
        <v/>
      </c>
      <c r="AM108" s="3">
        <f>SUM($C103:AM103)</f>
        <v/>
      </c>
      <c r="AN108" s="3">
        <f>SUM($C103:AN103)</f>
        <v/>
      </c>
      <c r="AO108" s="3">
        <f>SUM($C103:AO103)</f>
        <v/>
      </c>
      <c r="AP108" s="3">
        <f>SUM($C103:AP103)</f>
        <v/>
      </c>
      <c r="AQ108" s="3">
        <f>SUM($C103:AQ103)</f>
        <v/>
      </c>
      <c r="AR108" s="3">
        <f>SUM($C103:AR103)</f>
        <v/>
      </c>
      <c r="AS108" s="3">
        <f>SUM($C103:AS103)</f>
        <v/>
      </c>
      <c r="AT108" s="3">
        <f>SUM($C103:AT103)</f>
        <v/>
      </c>
      <c r="AU108" s="3">
        <f>SUM($C103:AU103)</f>
        <v/>
      </c>
      <c r="AV108" s="3">
        <f>SUM($C103:AV103)</f>
        <v/>
      </c>
      <c r="AW108" s="3">
        <f>SUM($C103:AW103)</f>
        <v/>
      </c>
      <c r="AX108" s="3">
        <f>SUM($C103:AX103)</f>
        <v/>
      </c>
      <c r="AY108" s="3">
        <f>SUM($C103:AY103)</f>
        <v/>
      </c>
      <c r="AZ108" s="3">
        <f>SUM($C103:AZ103)</f>
        <v/>
      </c>
      <c r="BA108" s="3">
        <f>SUM($C103:BA103)</f>
        <v/>
      </c>
      <c r="BB108" s="3">
        <f>SUM($C103:BB103)</f>
        <v/>
      </c>
      <c r="BC108" s="3">
        <f>SUM($C103:BC103)</f>
        <v/>
      </c>
      <c r="BD108" s="3">
        <f>SUM($C103:BD103)</f>
        <v/>
      </c>
      <c r="BE108" s="3">
        <f>SUM($C103:BE103)</f>
        <v/>
      </c>
      <c r="BF108" s="3">
        <f>SUM($C103:BF103)</f>
        <v/>
      </c>
      <c r="BG108" s="3">
        <f>SUM($C103:BG103)</f>
        <v/>
      </c>
      <c r="BH108" s="3">
        <f>SUM($C103:BH103)</f>
        <v/>
      </c>
      <c r="BI108" s="3">
        <f>SUM($C103:BI103)</f>
        <v/>
      </c>
      <c r="BJ108" s="3">
        <f>SUM($C103:BJ103)</f>
        <v/>
      </c>
      <c r="BK108" s="3">
        <f>SUM($C103:BK103)</f>
        <v/>
      </c>
      <c r="BL108" s="3">
        <f>SUM($C103:BL103)</f>
        <v/>
      </c>
      <c r="BM108" s="3">
        <f>SUM($C103:BM103)</f>
        <v/>
      </c>
      <c r="BN108" s="3">
        <f>SUM($C103:BN103)</f>
        <v/>
      </c>
      <c r="BO108" s="3">
        <f>SUM($C103:BO103)</f>
        <v/>
      </c>
      <c r="BP108" s="3">
        <f>SUM($C103:BP103)</f>
        <v/>
      </c>
      <c r="BQ108" s="3">
        <f>SUM($C103:BQ103)</f>
        <v/>
      </c>
      <c r="BR108" s="3">
        <f>SUM($C103:BR103)</f>
        <v/>
      </c>
      <c r="BS108" s="3">
        <f>SUM($C103:BS103)</f>
        <v/>
      </c>
      <c r="BT108" s="3">
        <f>SUM($C103:BT103)</f>
        <v/>
      </c>
      <c r="BU108" s="3">
        <f>SUM($C103:BU103)</f>
        <v/>
      </c>
      <c r="BV108" s="3">
        <f>SUM($C103:BV103)</f>
        <v/>
      </c>
    </row>
    <row r="109">
      <c r="A109" t="inlineStr">
        <is>
          <t>cum trials ending</t>
        </is>
      </c>
      <c r="B109" t="inlineStr">
        <is>
          <t>LATAM|NITRO_A</t>
        </is>
      </c>
      <c r="C109" s="3">
        <f>SUM($C105:C105)</f>
        <v/>
      </c>
      <c r="D109" s="3">
        <f>SUM($C105:D105)</f>
        <v/>
      </c>
      <c r="E109" s="3">
        <f>SUM($C105:E105)</f>
        <v/>
      </c>
      <c r="F109" s="3">
        <f>SUM($C105:F105)</f>
        <v/>
      </c>
      <c r="G109" s="3">
        <f>SUM($C105:G105)</f>
        <v/>
      </c>
      <c r="H109" s="3">
        <f>SUM($C105:H105)</f>
        <v/>
      </c>
      <c r="I109" s="3">
        <f>SUM($C105:I105)</f>
        <v/>
      </c>
      <c r="J109" s="3">
        <f>SUM($C105:J105)</f>
        <v/>
      </c>
      <c r="K109" s="3">
        <f>SUM($C105:K105)</f>
        <v/>
      </c>
      <c r="L109" s="3">
        <f>SUM($C105:L105)</f>
        <v/>
      </c>
      <c r="M109" s="3">
        <f>SUM($C105:M105)</f>
        <v/>
      </c>
      <c r="N109" s="3">
        <f>SUM($C105:N105)</f>
        <v/>
      </c>
      <c r="O109" s="3">
        <f>SUM($C105:O105)</f>
        <v/>
      </c>
      <c r="P109" s="3">
        <f>SUM($C105:P105)</f>
        <v/>
      </c>
      <c r="Q109" s="3">
        <f>SUM($C105:Q105)</f>
        <v/>
      </c>
      <c r="R109" s="3">
        <f>SUM($C105:R105)</f>
        <v/>
      </c>
      <c r="S109" s="3">
        <f>SUM($C105:S105)</f>
        <v/>
      </c>
      <c r="T109" s="3">
        <f>SUM($C105:T105)</f>
        <v/>
      </c>
      <c r="U109" s="3">
        <f>SUM($C105:U105)</f>
        <v/>
      </c>
      <c r="V109" s="3">
        <f>SUM($C105:V105)</f>
        <v/>
      </c>
      <c r="W109" s="3">
        <f>SUM($C105:W105)</f>
        <v/>
      </c>
      <c r="X109" s="3">
        <f>SUM($C105:X105)</f>
        <v/>
      </c>
      <c r="Y109" s="3">
        <f>SUM($C105:Y105)</f>
        <v/>
      </c>
      <c r="Z109" s="3">
        <f>SUM($C105:Z105)</f>
        <v/>
      </c>
      <c r="AA109" s="3">
        <f>SUM($C105:AA105)</f>
        <v/>
      </c>
      <c r="AB109" s="3">
        <f>SUM($C105:AB105)</f>
        <v/>
      </c>
      <c r="AC109" s="3">
        <f>SUM($C105:AC105)</f>
        <v/>
      </c>
      <c r="AD109" s="3">
        <f>SUM($C105:AD105)</f>
        <v/>
      </c>
      <c r="AE109" s="3">
        <f>SUM($C105:AE105)</f>
        <v/>
      </c>
      <c r="AF109" s="3">
        <f>SUM($C105:AF105)</f>
        <v/>
      </c>
      <c r="AG109" s="3">
        <f>SUM($C105:AG105)</f>
        <v/>
      </c>
      <c r="AH109" s="3">
        <f>SUM($C105:AH105)</f>
        <v/>
      </c>
      <c r="AI109" s="3">
        <f>SUM($C105:AI105)</f>
        <v/>
      </c>
      <c r="AJ109" s="3">
        <f>SUM($C105:AJ105)</f>
        <v/>
      </c>
      <c r="AK109" s="3">
        <f>SUM($C105:AK105)</f>
        <v/>
      </c>
      <c r="AL109" s="3">
        <f>SUM($C105:AL105)</f>
        <v/>
      </c>
      <c r="AM109" s="3">
        <f>SUM($C105:AM105)</f>
        <v/>
      </c>
      <c r="AN109" s="3">
        <f>SUM($C105:AN105)</f>
        <v/>
      </c>
      <c r="AO109" s="3">
        <f>SUM($C105:AO105)</f>
        <v/>
      </c>
      <c r="AP109" s="3">
        <f>SUM($C105:AP105)</f>
        <v/>
      </c>
      <c r="AQ109" s="3">
        <f>SUM($C105:AQ105)</f>
        <v/>
      </c>
      <c r="AR109" s="3">
        <f>SUM($C105:AR105)</f>
        <v/>
      </c>
      <c r="AS109" s="3">
        <f>SUM($C105:AS105)</f>
        <v/>
      </c>
      <c r="AT109" s="3">
        <f>SUM($C105:AT105)</f>
        <v/>
      </c>
      <c r="AU109" s="3">
        <f>SUM($C105:AU105)</f>
        <v/>
      </c>
      <c r="AV109" s="3">
        <f>SUM($C105:AV105)</f>
        <v/>
      </c>
      <c r="AW109" s="3">
        <f>SUM($C105:AW105)</f>
        <v/>
      </c>
      <c r="AX109" s="3">
        <f>SUM($C105:AX105)</f>
        <v/>
      </c>
      <c r="AY109" s="3">
        <f>SUM($C105:AY105)</f>
        <v/>
      </c>
      <c r="AZ109" s="3">
        <f>SUM($C105:AZ105)</f>
        <v/>
      </c>
      <c r="BA109" s="3">
        <f>SUM($C105:BA105)</f>
        <v/>
      </c>
      <c r="BB109" s="3">
        <f>SUM($C105:BB105)</f>
        <v/>
      </c>
      <c r="BC109" s="3">
        <f>SUM($C105:BC105)</f>
        <v/>
      </c>
      <c r="BD109" s="3">
        <f>SUM($C105:BD105)</f>
        <v/>
      </c>
      <c r="BE109" s="3">
        <f>SUM($C105:BE105)</f>
        <v/>
      </c>
      <c r="BF109" s="3">
        <f>SUM($C105:BF105)</f>
        <v/>
      </c>
      <c r="BG109" s="3">
        <f>SUM($C105:BG105)</f>
        <v/>
      </c>
      <c r="BH109" s="3">
        <f>SUM($C105:BH105)</f>
        <v/>
      </c>
      <c r="BI109" s="3">
        <f>SUM($C105:BI105)</f>
        <v/>
      </c>
      <c r="BJ109" s="3">
        <f>SUM($C105:BJ105)</f>
        <v/>
      </c>
      <c r="BK109" s="3">
        <f>SUM($C105:BK105)</f>
        <v/>
      </c>
      <c r="BL109" s="3">
        <f>SUM($C105:BL105)</f>
        <v/>
      </c>
      <c r="BM109" s="3">
        <f>SUM($C105:BM105)</f>
        <v/>
      </c>
      <c r="BN109" s="3">
        <f>SUM($C105:BN105)</f>
        <v/>
      </c>
      <c r="BO109" s="3">
        <f>SUM($C105:BO105)</f>
        <v/>
      </c>
      <c r="BP109" s="3">
        <f>SUM($C105:BP105)</f>
        <v/>
      </c>
      <c r="BQ109" s="3">
        <f>SUM($C105:BQ105)</f>
        <v/>
      </c>
      <c r="BR109" s="3">
        <f>SUM($C105:BR105)</f>
        <v/>
      </c>
      <c r="BS109" s="3">
        <f>SUM($C105:BS105)</f>
        <v/>
      </c>
      <c r="BT109" s="3">
        <f>SUM($C105:BT105)</f>
        <v/>
      </c>
      <c r="BU109" s="3">
        <f>SUM($C105:BU105)</f>
        <v/>
      </c>
      <c r="BV109" s="3">
        <f>SUM($C105:BV105)</f>
        <v/>
      </c>
    </row>
    <row r="110">
      <c r="A110" t="inlineStr">
        <is>
          <t>trials active</t>
        </is>
      </c>
      <c r="B110" t="inlineStr">
        <is>
          <t>LATAM|NITRO_A</t>
        </is>
      </c>
      <c r="C110" s="3">
        <f>C108-C109</f>
        <v/>
      </c>
      <c r="D110" s="3">
        <f>D108-D109</f>
        <v/>
      </c>
      <c r="E110" s="3">
        <f>E108-E109</f>
        <v/>
      </c>
      <c r="F110" s="3">
        <f>F108-F109</f>
        <v/>
      </c>
      <c r="G110" s="3">
        <f>G108-G109</f>
        <v/>
      </c>
      <c r="H110" s="3">
        <f>H108-H109</f>
        <v/>
      </c>
      <c r="I110" s="3">
        <f>I108-I109</f>
        <v/>
      </c>
      <c r="J110" s="3">
        <f>J108-J109</f>
        <v/>
      </c>
      <c r="K110" s="3">
        <f>K108-K109</f>
        <v/>
      </c>
      <c r="L110" s="3">
        <f>L108-L109</f>
        <v/>
      </c>
      <c r="M110" s="3">
        <f>M108-M109</f>
        <v/>
      </c>
      <c r="N110" s="3">
        <f>N108-N109</f>
        <v/>
      </c>
      <c r="O110" s="3">
        <f>O108-O109</f>
        <v/>
      </c>
      <c r="P110" s="3">
        <f>P108-P109</f>
        <v/>
      </c>
      <c r="Q110" s="3">
        <f>Q108-Q109</f>
        <v/>
      </c>
      <c r="R110" s="3">
        <f>R108-R109</f>
        <v/>
      </c>
      <c r="S110" s="3">
        <f>S108-S109</f>
        <v/>
      </c>
      <c r="T110" s="3">
        <f>T108-T109</f>
        <v/>
      </c>
      <c r="U110" s="3">
        <f>U108-U109</f>
        <v/>
      </c>
      <c r="V110" s="3">
        <f>V108-V109</f>
        <v/>
      </c>
      <c r="W110" s="3">
        <f>W108-W109</f>
        <v/>
      </c>
      <c r="X110" s="3">
        <f>X108-X109</f>
        <v/>
      </c>
      <c r="Y110" s="3">
        <f>Y108-Y109</f>
        <v/>
      </c>
      <c r="Z110" s="3">
        <f>Z108-Z109</f>
        <v/>
      </c>
      <c r="AA110" s="3">
        <f>AA108-AA109</f>
        <v/>
      </c>
      <c r="AB110" s="3">
        <f>AB108-AB109</f>
        <v/>
      </c>
      <c r="AC110" s="3">
        <f>AC108-AC109</f>
        <v/>
      </c>
      <c r="AD110" s="3">
        <f>AD108-AD109</f>
        <v/>
      </c>
      <c r="AE110" s="3">
        <f>AE108-AE109</f>
        <v/>
      </c>
      <c r="AF110" s="3">
        <f>AF108-AF109</f>
        <v/>
      </c>
      <c r="AG110" s="3">
        <f>AG108-AG109</f>
        <v/>
      </c>
      <c r="AH110" s="3">
        <f>AH108-AH109</f>
        <v/>
      </c>
      <c r="AI110" s="3">
        <f>AI108-AI109</f>
        <v/>
      </c>
      <c r="AJ110" s="3">
        <f>AJ108-AJ109</f>
        <v/>
      </c>
      <c r="AK110" s="3">
        <f>AK108-AK109</f>
        <v/>
      </c>
      <c r="AL110" s="3">
        <f>AL108-AL109</f>
        <v/>
      </c>
      <c r="AM110" s="3">
        <f>AM108-AM109</f>
        <v/>
      </c>
      <c r="AN110" s="3">
        <f>AN108-AN109</f>
        <v/>
      </c>
      <c r="AO110" s="3">
        <f>AO108-AO109</f>
        <v/>
      </c>
      <c r="AP110" s="3">
        <f>AP108-AP109</f>
        <v/>
      </c>
      <c r="AQ110" s="3">
        <f>AQ108-AQ109</f>
        <v/>
      </c>
      <c r="AR110" s="3">
        <f>AR108-AR109</f>
        <v/>
      </c>
      <c r="AS110" s="3">
        <f>AS108-AS109</f>
        <v/>
      </c>
      <c r="AT110" s="3">
        <f>AT108-AT109</f>
        <v/>
      </c>
      <c r="AU110" s="3">
        <f>AU108-AU109</f>
        <v/>
      </c>
      <c r="AV110" s="3">
        <f>AV108-AV109</f>
        <v/>
      </c>
      <c r="AW110" s="3">
        <f>AW108-AW109</f>
        <v/>
      </c>
      <c r="AX110" s="3">
        <f>AX108-AX109</f>
        <v/>
      </c>
      <c r="AY110" s="3">
        <f>AY108-AY109</f>
        <v/>
      </c>
      <c r="AZ110" s="3">
        <f>AZ108-AZ109</f>
        <v/>
      </c>
      <c r="BA110" s="3">
        <f>BA108-BA109</f>
        <v/>
      </c>
      <c r="BB110" s="3">
        <f>BB108-BB109</f>
        <v/>
      </c>
      <c r="BC110" s="3">
        <f>BC108-BC109</f>
        <v/>
      </c>
      <c r="BD110" s="3">
        <f>BD108-BD109</f>
        <v/>
      </c>
      <c r="BE110" s="3">
        <f>BE108-BE109</f>
        <v/>
      </c>
      <c r="BF110" s="3">
        <f>BF108-BF109</f>
        <v/>
      </c>
      <c r="BG110" s="3">
        <f>BG108-BG109</f>
        <v/>
      </c>
      <c r="BH110" s="3">
        <f>BH108-BH109</f>
        <v/>
      </c>
      <c r="BI110" s="3">
        <f>BI108-BI109</f>
        <v/>
      </c>
      <c r="BJ110" s="3">
        <f>BJ108-BJ109</f>
        <v/>
      </c>
      <c r="BK110" s="3">
        <f>BK108-BK109</f>
        <v/>
      </c>
      <c r="BL110" s="3">
        <f>BL108-BL109</f>
        <v/>
      </c>
      <c r="BM110" s="3">
        <f>BM108-BM109</f>
        <v/>
      </c>
      <c r="BN110" s="3">
        <f>BN108-BN109</f>
        <v/>
      </c>
      <c r="BO110" s="3">
        <f>BO108-BO109</f>
        <v/>
      </c>
      <c r="BP110" s="3">
        <f>BP108-BP109</f>
        <v/>
      </c>
      <c r="BQ110" s="3">
        <f>BQ108-BQ109</f>
        <v/>
      </c>
      <c r="BR110" s="3">
        <f>BR108-BR109</f>
        <v/>
      </c>
      <c r="BS110" s="3">
        <f>BS108-BS109</f>
        <v/>
      </c>
      <c r="BT110" s="3">
        <f>BT108-BT109</f>
        <v/>
      </c>
      <c r="BU110" s="3">
        <f>BU108-BU109</f>
        <v/>
      </c>
      <c r="BV110" s="3">
        <f>BV108-BV109</f>
        <v/>
      </c>
    </row>
    <row r="111">
      <c r="A111" t="inlineStr">
        <is>
          <t>paid starts</t>
        </is>
      </c>
      <c r="B111" t="inlineStr">
        <is>
          <t>LATAM|NITRO_A</t>
        </is>
      </c>
      <c r="C111" s="3">
        <f>C104+C106</f>
        <v/>
      </c>
      <c r="D111" s="3">
        <f>D104+D106</f>
        <v/>
      </c>
      <c r="E111" s="3">
        <f>E104+E106</f>
        <v/>
      </c>
      <c r="F111" s="3">
        <f>F104+F106</f>
        <v/>
      </c>
      <c r="G111" s="3">
        <f>G104+G106</f>
        <v/>
      </c>
      <c r="H111" s="3">
        <f>H104+H106</f>
        <v/>
      </c>
      <c r="I111" s="3">
        <f>I104+I106</f>
        <v/>
      </c>
      <c r="J111" s="3">
        <f>J104+J106</f>
        <v/>
      </c>
      <c r="K111" s="3">
        <f>K104+K106</f>
        <v/>
      </c>
      <c r="L111" s="3">
        <f>L104+L106</f>
        <v/>
      </c>
      <c r="M111" s="3">
        <f>M104+M106</f>
        <v/>
      </c>
      <c r="N111" s="3">
        <f>N104+N106</f>
        <v/>
      </c>
      <c r="O111" s="3">
        <f>O104+O106</f>
        <v/>
      </c>
      <c r="P111" s="3">
        <f>P104+P106</f>
        <v/>
      </c>
      <c r="Q111" s="3">
        <f>Q104+Q106</f>
        <v/>
      </c>
      <c r="R111" s="3">
        <f>R104+R106</f>
        <v/>
      </c>
      <c r="S111" s="3">
        <f>S104+S106</f>
        <v/>
      </c>
      <c r="T111" s="3">
        <f>T104+T106</f>
        <v/>
      </c>
      <c r="U111" s="3">
        <f>U104+U106</f>
        <v/>
      </c>
      <c r="V111" s="3">
        <f>V104+V106</f>
        <v/>
      </c>
      <c r="W111" s="3">
        <f>W104+W106</f>
        <v/>
      </c>
      <c r="X111" s="3">
        <f>X104+X106</f>
        <v/>
      </c>
      <c r="Y111" s="3">
        <f>Y104+Y106</f>
        <v/>
      </c>
      <c r="Z111" s="3">
        <f>Z104+Z106</f>
        <v/>
      </c>
      <c r="AA111" s="3">
        <f>AA104+AA106</f>
        <v/>
      </c>
      <c r="AB111" s="3">
        <f>AB104+AB106</f>
        <v/>
      </c>
      <c r="AC111" s="3">
        <f>AC104+AC106</f>
        <v/>
      </c>
      <c r="AD111" s="3">
        <f>AD104+AD106</f>
        <v/>
      </c>
      <c r="AE111" s="3">
        <f>AE104+AE106</f>
        <v/>
      </c>
      <c r="AF111" s="3">
        <f>AF104+AF106</f>
        <v/>
      </c>
      <c r="AG111" s="3">
        <f>AG104+AG106</f>
        <v/>
      </c>
      <c r="AH111" s="3">
        <f>AH104+AH106</f>
        <v/>
      </c>
      <c r="AI111" s="3">
        <f>AI104+AI106</f>
        <v/>
      </c>
      <c r="AJ111" s="3">
        <f>AJ104+AJ106</f>
        <v/>
      </c>
      <c r="AK111" s="3">
        <f>AK104+AK106</f>
        <v/>
      </c>
      <c r="AL111" s="3">
        <f>AL104+AL106</f>
        <v/>
      </c>
      <c r="AM111" s="3">
        <f>AM104+AM106</f>
        <v/>
      </c>
      <c r="AN111" s="3">
        <f>AN104+AN106</f>
        <v/>
      </c>
      <c r="AO111" s="3">
        <f>AO104+AO106</f>
        <v/>
      </c>
      <c r="AP111" s="3">
        <f>AP104+AP106</f>
        <v/>
      </c>
      <c r="AQ111" s="3">
        <f>AQ104+AQ106</f>
        <v/>
      </c>
      <c r="AR111" s="3">
        <f>AR104+AR106</f>
        <v/>
      </c>
      <c r="AS111" s="3">
        <f>AS104+AS106</f>
        <v/>
      </c>
      <c r="AT111" s="3">
        <f>AT104+AT106</f>
        <v/>
      </c>
      <c r="AU111" s="3">
        <f>AU104+AU106</f>
        <v/>
      </c>
      <c r="AV111" s="3">
        <f>AV104+AV106</f>
        <v/>
      </c>
      <c r="AW111" s="3">
        <f>AW104+AW106</f>
        <v/>
      </c>
      <c r="AX111" s="3">
        <f>AX104+AX106</f>
        <v/>
      </c>
      <c r="AY111" s="3">
        <f>AY104+AY106</f>
        <v/>
      </c>
      <c r="AZ111" s="3">
        <f>AZ104+AZ106</f>
        <v/>
      </c>
      <c r="BA111" s="3">
        <f>BA104+BA106</f>
        <v/>
      </c>
      <c r="BB111" s="3">
        <f>BB104+BB106</f>
        <v/>
      </c>
      <c r="BC111" s="3">
        <f>BC104+BC106</f>
        <v/>
      </c>
      <c r="BD111" s="3">
        <f>BD104+BD106</f>
        <v/>
      </c>
      <c r="BE111" s="3">
        <f>BE104+BE106</f>
        <v/>
      </c>
      <c r="BF111" s="3">
        <f>BF104+BF106</f>
        <v/>
      </c>
      <c r="BG111" s="3">
        <f>BG104+BG106</f>
        <v/>
      </c>
      <c r="BH111" s="3">
        <f>BH104+BH106</f>
        <v/>
      </c>
      <c r="BI111" s="3">
        <f>BI104+BI106</f>
        <v/>
      </c>
      <c r="BJ111" s="3">
        <f>BJ104+BJ106</f>
        <v/>
      </c>
      <c r="BK111" s="3">
        <f>BK104+BK106</f>
        <v/>
      </c>
      <c r="BL111" s="3">
        <f>BL104+BL106</f>
        <v/>
      </c>
      <c r="BM111" s="3">
        <f>BM104+BM106</f>
        <v/>
      </c>
      <c r="BN111" s="3">
        <f>BN104+BN106</f>
        <v/>
      </c>
      <c r="BO111" s="3">
        <f>BO104+BO106</f>
        <v/>
      </c>
      <c r="BP111" s="3">
        <f>BP104+BP106</f>
        <v/>
      </c>
      <c r="BQ111" s="3">
        <f>BQ104+BQ106</f>
        <v/>
      </c>
      <c r="BR111" s="3">
        <f>BR104+BR106</f>
        <v/>
      </c>
      <c r="BS111" s="3">
        <f>BS104+BS106</f>
        <v/>
      </c>
      <c r="BT111" s="3">
        <f>BT104+BT106</f>
        <v/>
      </c>
      <c r="BU111" s="3">
        <f>BU104+BU106</f>
        <v/>
      </c>
      <c r="BV111" s="3">
        <f>BV104+BV106</f>
        <v/>
      </c>
    </row>
    <row r="113">
      <c r="A113" t="inlineStr">
        <is>
          <t>gross adds</t>
        </is>
      </c>
      <c r="B113" t="inlineStr">
        <is>
          <t>LATAM|BASIC_M</t>
        </is>
      </c>
      <c r="C113" s="3">
        <f>MAU!C6*Params!$B$38*Params!$B$5*Params!$B$87*Params!$B$73</f>
        <v/>
      </c>
      <c r="D113" s="3">
        <f>MAU!D6*Params!$B$38*Params!$B$5*Params!$B$87*Params!$B$73</f>
        <v/>
      </c>
      <c r="E113" s="3">
        <f>MAU!E6*Params!$B$38*Params!$B$5*Params!$B$87*Params!$B$73</f>
        <v/>
      </c>
      <c r="F113" s="3">
        <f>MAU!F6*Params!$B$38*Params!$B$5*Params!$B$87*Params!$B$73</f>
        <v/>
      </c>
      <c r="G113" s="3">
        <f>MAU!G6*Params!$B$38*Params!$B$5*Params!$B$87*Params!$B$73</f>
        <v/>
      </c>
      <c r="H113" s="3">
        <f>MAU!H6*Params!$B$38*Params!$B$5*Params!$B$87*Params!$B$73</f>
        <v/>
      </c>
      <c r="I113" s="3">
        <f>MAU!I6*Params!$B$38*Params!$B$5*Params!$B$87*Params!$B$73</f>
        <v/>
      </c>
      <c r="J113" s="3">
        <f>MAU!J6*Params!$B$38*Params!$B$5*Params!$B$87*Params!$B$73</f>
        <v/>
      </c>
      <c r="K113" s="3">
        <f>MAU!K6*Params!$B$38*Params!$B$5*Params!$B$87*Params!$B$73</f>
        <v/>
      </c>
      <c r="L113" s="3">
        <f>MAU!L6*Params!$B$38*Params!$B$5*Params!$B$87*Params!$B$73</f>
        <v/>
      </c>
      <c r="M113" s="3">
        <f>MAU!M6*Params!$B$38*Params!$B$5*Params!$B$87*Params!$B$73</f>
        <v/>
      </c>
      <c r="N113" s="3">
        <f>MAU!N6*Params!$B$38*Params!$B$5*Params!$B$87*Params!$B$73</f>
        <v/>
      </c>
      <c r="O113" s="3">
        <f>MAU!O6*Params!$B$38*Params!$B$5*Params!$B$87*Params!$B$73</f>
        <v/>
      </c>
      <c r="P113" s="3">
        <f>MAU!P6*Params!$B$38*Params!$B$5*Params!$B$87*Params!$B$73</f>
        <v/>
      </c>
      <c r="Q113" s="3">
        <f>MAU!Q6*Params!$B$38*Params!$B$5*Params!$B$87*Params!$B$73</f>
        <v/>
      </c>
      <c r="R113" s="3">
        <f>MAU!R6*Params!$B$38*Params!$B$5*Params!$B$87*Params!$B$73</f>
        <v/>
      </c>
      <c r="S113" s="3">
        <f>MAU!S6*Params!$B$38*Params!$B$5*Params!$B$87*Params!$B$73</f>
        <v/>
      </c>
      <c r="T113" s="3">
        <f>MAU!T6*Params!$B$38*Params!$B$5*Params!$B$87*Params!$B$73</f>
        <v/>
      </c>
      <c r="U113" s="3">
        <f>MAU!U6*Params!$B$38*Params!$B$5*Params!$B$87*Params!$B$73</f>
        <v/>
      </c>
      <c r="V113" s="3">
        <f>MAU!V6*Params!$B$38*Params!$B$5*Params!$B$87*Params!$B$73</f>
        <v/>
      </c>
      <c r="W113" s="3">
        <f>MAU!W6*Params!$B$38*Params!$B$5*Params!$B$87*Params!$B$73</f>
        <v/>
      </c>
      <c r="X113" s="3">
        <f>MAU!X6*Params!$B$38*Params!$B$5*Params!$B$87*Params!$B$73</f>
        <v/>
      </c>
      <c r="Y113" s="3">
        <f>MAU!Y6*Params!$B$38*Params!$B$5*Params!$B$87*Params!$B$73</f>
        <v/>
      </c>
      <c r="Z113" s="3">
        <f>MAU!Z6*Params!$B$38*Params!$B$5*Params!$B$87*Params!$B$73</f>
        <v/>
      </c>
      <c r="AA113" s="3">
        <f>MAU!AA6*Params!$B$38*Params!$B$5*Params!$B$87*Params!$B$73</f>
        <v/>
      </c>
      <c r="AB113" s="3">
        <f>MAU!AB6*Params!$B$38*Params!$B$5*Params!$B$87*Params!$B$73</f>
        <v/>
      </c>
      <c r="AC113" s="3">
        <f>MAU!AC6*Params!$B$38*Params!$B$5*Params!$B$87*Params!$B$73</f>
        <v/>
      </c>
      <c r="AD113" s="3">
        <f>MAU!AD6*Params!$B$38*Params!$B$5*Params!$B$87*Params!$B$73</f>
        <v/>
      </c>
      <c r="AE113" s="3">
        <f>MAU!AE6*Params!$B$38*Params!$B$5*Params!$B$87*Params!$B$73</f>
        <v/>
      </c>
      <c r="AF113" s="3">
        <f>MAU!AF6*Params!$B$38*Params!$B$5*Params!$B$87*Params!$B$73</f>
        <v/>
      </c>
      <c r="AG113" s="3">
        <f>MAU!AG6*Params!$B$38*Params!$B$5*Params!$B$87*Params!$B$73</f>
        <v/>
      </c>
      <c r="AH113" s="3">
        <f>MAU!AH6*Params!$B$38*Params!$B$5*Params!$B$87*Params!$B$73</f>
        <v/>
      </c>
      <c r="AI113" s="3">
        <f>MAU!AI6*Params!$B$38*Params!$B$5*Params!$B$87*Params!$B$73</f>
        <v/>
      </c>
      <c r="AJ113" s="3">
        <f>MAU!AJ6*Params!$B$38*Params!$B$5*Params!$B$87*Params!$B$73</f>
        <v/>
      </c>
      <c r="AK113" s="3">
        <f>MAU!AK6*Params!$B$38*Params!$B$5*Params!$B$87*Params!$B$73</f>
        <v/>
      </c>
      <c r="AL113" s="3">
        <f>MAU!AL6*Params!$B$38*Params!$B$5*Params!$B$87*Params!$B$73</f>
        <v/>
      </c>
      <c r="AM113" s="3">
        <f>MAU!AM6*Params!$B$38*Params!$B$5*Params!$B$87*Params!$B$73</f>
        <v/>
      </c>
      <c r="AN113" s="3">
        <f>MAU!AN6*Params!$B$38*Params!$B$5*Params!$B$87*Params!$B$73</f>
        <v/>
      </c>
      <c r="AO113" s="3">
        <f>MAU!AO6*Params!$B$38*Params!$B$5*Params!$B$87*Params!$B$73</f>
        <v/>
      </c>
      <c r="AP113" s="3">
        <f>MAU!AP6*Params!$B$38*Params!$B$5*Params!$B$87*Params!$B$73</f>
        <v/>
      </c>
      <c r="AQ113" s="3">
        <f>MAU!AQ6*Params!$B$38*Params!$B$5*Params!$B$87*Params!$B$73</f>
        <v/>
      </c>
      <c r="AR113" s="3">
        <f>MAU!AR6*Params!$B$38*Params!$B$5*Params!$B$87*Params!$B$73</f>
        <v/>
      </c>
      <c r="AS113" s="3">
        <f>MAU!AS6*Params!$B$38*Params!$B$5*Params!$B$87*Params!$B$73</f>
        <v/>
      </c>
      <c r="AT113" s="3">
        <f>MAU!AT6*Params!$B$38*Params!$B$5*Params!$B$87*Params!$B$73</f>
        <v/>
      </c>
      <c r="AU113" s="3">
        <f>MAU!AU6*Params!$B$38*Params!$B$5*Params!$B$87*Params!$B$73</f>
        <v/>
      </c>
      <c r="AV113" s="3">
        <f>MAU!AV6*Params!$B$38*Params!$B$5*Params!$B$87*Params!$B$73</f>
        <v/>
      </c>
      <c r="AW113" s="3">
        <f>MAU!AW6*Params!$B$38*Params!$B$5*Params!$B$87*Params!$B$73</f>
        <v/>
      </c>
      <c r="AX113" s="3">
        <f>MAU!AX6*Params!$B$38*Params!$B$5*Params!$B$87*Params!$B$73</f>
        <v/>
      </c>
      <c r="AY113" s="3">
        <f>MAU!AY6*Params!$B$38*Params!$B$5*Params!$B$87*Params!$B$73</f>
        <v/>
      </c>
      <c r="AZ113" s="3">
        <f>MAU!AZ6*Params!$B$38*Params!$B$5*Params!$B$87*Params!$B$73</f>
        <v/>
      </c>
      <c r="BA113" s="3">
        <f>MAU!BA6*Params!$B$38*Params!$B$5*Params!$B$87*Params!$B$73</f>
        <v/>
      </c>
      <c r="BB113" s="3">
        <f>MAU!BB6*Params!$B$38*Params!$B$5*Params!$B$87*Params!$B$73</f>
        <v/>
      </c>
      <c r="BC113" s="3">
        <f>MAU!BC6*Params!$B$38*Params!$B$5*Params!$B$87*Params!$B$73</f>
        <v/>
      </c>
      <c r="BD113" s="3">
        <f>MAU!BD6*Params!$B$38*Params!$B$5*Params!$B$87*Params!$B$73</f>
        <v/>
      </c>
      <c r="BE113" s="3">
        <f>MAU!BE6*Params!$B$38*Params!$B$5*Params!$B$87*Params!$B$73</f>
        <v/>
      </c>
      <c r="BF113" s="3">
        <f>MAU!BF6*Params!$B$38*Params!$B$5*Params!$B$87*Params!$B$73</f>
        <v/>
      </c>
      <c r="BG113" s="3">
        <f>MAU!BG6*Params!$B$38*Params!$B$5*Params!$B$87*Params!$B$73</f>
        <v/>
      </c>
      <c r="BH113" s="3">
        <f>MAU!BH6*Params!$B$38*Params!$B$5*Params!$B$87*Params!$B$73</f>
        <v/>
      </c>
      <c r="BI113" s="3">
        <f>MAU!BI6*Params!$B$38*Params!$B$5*Params!$B$87*Params!$B$73</f>
        <v/>
      </c>
      <c r="BJ113" s="3">
        <f>MAU!BJ6*Params!$B$38*Params!$B$5*Params!$B$87*Params!$B$73</f>
        <v/>
      </c>
      <c r="BK113" s="3">
        <f>MAU!BK6*Params!$B$38*Params!$B$5*Params!$B$87*Params!$B$73</f>
        <v/>
      </c>
      <c r="BL113" s="3">
        <f>MAU!BL6*Params!$B$38*Params!$B$5*Params!$B$87*Params!$B$73</f>
        <v/>
      </c>
      <c r="BM113" s="3">
        <f>MAU!BM6*Params!$B$38*Params!$B$5*Params!$B$87*Params!$B$73</f>
        <v/>
      </c>
      <c r="BN113" s="3">
        <f>MAU!BN6*Params!$B$38*Params!$B$5*Params!$B$87*Params!$B$73</f>
        <v/>
      </c>
      <c r="BO113" s="3">
        <f>MAU!BO6*Params!$B$38*Params!$B$5*Params!$B$87*Params!$B$73</f>
        <v/>
      </c>
      <c r="BP113" s="3">
        <f>MAU!BP6*Params!$B$38*Params!$B$5*Params!$B$87*Params!$B$73</f>
        <v/>
      </c>
      <c r="BQ113" s="3">
        <f>MAU!BQ6*Params!$B$38*Params!$B$5*Params!$B$87*Params!$B$73</f>
        <v/>
      </c>
      <c r="BR113" s="3">
        <f>MAU!BR6*Params!$B$38*Params!$B$5*Params!$B$87*Params!$B$73</f>
        <v/>
      </c>
      <c r="BS113" s="3">
        <f>MAU!BS6*Params!$B$38*Params!$B$5*Params!$B$87*Params!$B$73</f>
        <v/>
      </c>
      <c r="BT113" s="3">
        <f>MAU!BT6*Params!$B$38*Params!$B$5*Params!$B$87*Params!$B$73</f>
        <v/>
      </c>
      <c r="BU113" s="3">
        <f>MAU!BU6*Params!$B$38*Params!$B$5*Params!$B$87*Params!$B$73</f>
        <v/>
      </c>
      <c r="BV113" s="3">
        <f>MAU!BV6*Params!$B$38*Params!$B$5*Params!$B$87*Params!$B$73</f>
        <v/>
      </c>
    </row>
    <row r="114">
      <c r="A114" t="inlineStr">
        <is>
          <t>trial starts</t>
        </is>
      </c>
      <c r="B114" t="inlineStr">
        <is>
          <t>LATAM|BASIC_M</t>
        </is>
      </c>
      <c r="C114" s="3">
        <f>C113*Params!$B$6</f>
        <v/>
      </c>
      <c r="D114" s="3">
        <f>D113*Params!$B$6</f>
        <v/>
      </c>
      <c r="E114" s="3">
        <f>E113*Params!$B$6</f>
        <v/>
      </c>
      <c r="F114" s="3">
        <f>F113*Params!$B$6</f>
        <v/>
      </c>
      <c r="G114" s="3">
        <f>G113*Params!$B$6</f>
        <v/>
      </c>
      <c r="H114" s="3">
        <f>H113*Params!$B$6</f>
        <v/>
      </c>
      <c r="I114" s="3">
        <f>I113*Params!$B$6</f>
        <v/>
      </c>
      <c r="J114" s="3">
        <f>J113*Params!$B$6</f>
        <v/>
      </c>
      <c r="K114" s="3">
        <f>K113*Params!$B$6</f>
        <v/>
      </c>
      <c r="L114" s="3">
        <f>L113*Params!$B$6</f>
        <v/>
      </c>
      <c r="M114" s="3">
        <f>M113*Params!$B$6</f>
        <v/>
      </c>
      <c r="N114" s="3">
        <f>N113*Params!$B$6</f>
        <v/>
      </c>
      <c r="O114" s="3">
        <f>O113*Params!$B$6</f>
        <v/>
      </c>
      <c r="P114" s="3">
        <f>P113*Params!$B$6</f>
        <v/>
      </c>
      <c r="Q114" s="3">
        <f>Q113*Params!$B$6</f>
        <v/>
      </c>
      <c r="R114" s="3">
        <f>R113*Params!$B$6</f>
        <v/>
      </c>
      <c r="S114" s="3">
        <f>S113*Params!$B$6</f>
        <v/>
      </c>
      <c r="T114" s="3">
        <f>T113*Params!$B$6</f>
        <v/>
      </c>
      <c r="U114" s="3">
        <f>U113*Params!$B$6</f>
        <v/>
      </c>
      <c r="V114" s="3">
        <f>V113*Params!$B$6</f>
        <v/>
      </c>
      <c r="W114" s="3">
        <f>W113*Params!$B$6</f>
        <v/>
      </c>
      <c r="X114" s="3">
        <f>X113*Params!$B$6</f>
        <v/>
      </c>
      <c r="Y114" s="3">
        <f>Y113*Params!$B$6</f>
        <v/>
      </c>
      <c r="Z114" s="3">
        <f>Z113*Params!$B$6</f>
        <v/>
      </c>
      <c r="AA114" s="3">
        <f>AA113*Params!$B$6</f>
        <v/>
      </c>
      <c r="AB114" s="3">
        <f>AB113*Params!$B$6</f>
        <v/>
      </c>
      <c r="AC114" s="3">
        <f>AC113*Params!$B$6</f>
        <v/>
      </c>
      <c r="AD114" s="3">
        <f>AD113*Params!$B$6</f>
        <v/>
      </c>
      <c r="AE114" s="3">
        <f>AE113*Params!$B$6</f>
        <v/>
      </c>
      <c r="AF114" s="3">
        <f>AF113*Params!$B$6</f>
        <v/>
      </c>
      <c r="AG114" s="3">
        <f>AG113*Params!$B$6</f>
        <v/>
      </c>
      <c r="AH114" s="3">
        <f>AH113*Params!$B$6</f>
        <v/>
      </c>
      <c r="AI114" s="3">
        <f>AI113*Params!$B$6</f>
        <v/>
      </c>
      <c r="AJ114" s="3">
        <f>AJ113*Params!$B$6</f>
        <v/>
      </c>
      <c r="AK114" s="3">
        <f>AK113*Params!$B$6</f>
        <v/>
      </c>
      <c r="AL114" s="3">
        <f>AL113*Params!$B$6</f>
        <v/>
      </c>
      <c r="AM114" s="3">
        <f>AM113*Params!$B$6</f>
        <v/>
      </c>
      <c r="AN114" s="3">
        <f>AN113*Params!$B$6</f>
        <v/>
      </c>
      <c r="AO114" s="3">
        <f>AO113*Params!$B$6</f>
        <v/>
      </c>
      <c r="AP114" s="3">
        <f>AP113*Params!$B$6</f>
        <v/>
      </c>
      <c r="AQ114" s="3">
        <f>AQ113*Params!$B$6</f>
        <v/>
      </c>
      <c r="AR114" s="3">
        <f>AR113*Params!$B$6</f>
        <v/>
      </c>
      <c r="AS114" s="3">
        <f>AS113*Params!$B$6</f>
        <v/>
      </c>
      <c r="AT114" s="3">
        <f>AT113*Params!$B$6</f>
        <v/>
      </c>
      <c r="AU114" s="3">
        <f>AU113*Params!$B$6</f>
        <v/>
      </c>
      <c r="AV114" s="3">
        <f>AV113*Params!$B$6</f>
        <v/>
      </c>
      <c r="AW114" s="3">
        <f>AW113*Params!$B$6</f>
        <v/>
      </c>
      <c r="AX114" s="3">
        <f>AX113*Params!$B$6</f>
        <v/>
      </c>
      <c r="AY114" s="3">
        <f>AY113*Params!$B$6</f>
        <v/>
      </c>
      <c r="AZ114" s="3">
        <f>AZ113*Params!$B$6</f>
        <v/>
      </c>
      <c r="BA114" s="3">
        <f>BA113*Params!$B$6</f>
        <v/>
      </c>
      <c r="BB114" s="3">
        <f>BB113*Params!$B$6</f>
        <v/>
      </c>
      <c r="BC114" s="3">
        <f>BC113*Params!$B$6</f>
        <v/>
      </c>
      <c r="BD114" s="3">
        <f>BD113*Params!$B$6</f>
        <v/>
      </c>
      <c r="BE114" s="3">
        <f>BE113*Params!$B$6</f>
        <v/>
      </c>
      <c r="BF114" s="3">
        <f>BF113*Params!$B$6</f>
        <v/>
      </c>
      <c r="BG114" s="3">
        <f>BG113*Params!$B$6</f>
        <v/>
      </c>
      <c r="BH114" s="3">
        <f>BH113*Params!$B$6</f>
        <v/>
      </c>
      <c r="BI114" s="3">
        <f>BI113*Params!$B$6</f>
        <v/>
      </c>
      <c r="BJ114" s="3">
        <f>BJ113*Params!$B$6</f>
        <v/>
      </c>
      <c r="BK114" s="3">
        <f>BK113*Params!$B$6</f>
        <v/>
      </c>
      <c r="BL114" s="3">
        <f>BL113*Params!$B$6</f>
        <v/>
      </c>
      <c r="BM114" s="3">
        <f>BM113*Params!$B$6</f>
        <v/>
      </c>
      <c r="BN114" s="3">
        <f>BN113*Params!$B$6</f>
        <v/>
      </c>
      <c r="BO114" s="3">
        <f>BO113*Params!$B$6</f>
        <v/>
      </c>
      <c r="BP114" s="3">
        <f>BP113*Params!$B$6</f>
        <v/>
      </c>
      <c r="BQ114" s="3">
        <f>BQ113*Params!$B$6</f>
        <v/>
      </c>
      <c r="BR114" s="3">
        <f>BR113*Params!$B$6</f>
        <v/>
      </c>
      <c r="BS114" s="3">
        <f>BS113*Params!$B$6</f>
        <v/>
      </c>
      <c r="BT114" s="3">
        <f>BT113*Params!$B$6</f>
        <v/>
      </c>
      <c r="BU114" s="3">
        <f>BU113*Params!$B$6</f>
        <v/>
      </c>
      <c r="BV114" s="3">
        <f>BV113*Params!$B$6</f>
        <v/>
      </c>
    </row>
    <row r="115">
      <c r="A115" t="inlineStr">
        <is>
          <t>direct paid starts</t>
        </is>
      </c>
      <c r="B115" t="inlineStr">
        <is>
          <t>LATAM|BASIC_M</t>
        </is>
      </c>
      <c r="C115" s="3">
        <f>C113-C114</f>
        <v/>
      </c>
      <c r="D115" s="3">
        <f>D113-D114</f>
        <v/>
      </c>
      <c r="E115" s="3">
        <f>E113-E114</f>
        <v/>
      </c>
      <c r="F115" s="3">
        <f>F113-F114</f>
        <v/>
      </c>
      <c r="G115" s="3">
        <f>G113-G114</f>
        <v/>
      </c>
      <c r="H115" s="3">
        <f>H113-H114</f>
        <v/>
      </c>
      <c r="I115" s="3">
        <f>I113-I114</f>
        <v/>
      </c>
      <c r="J115" s="3">
        <f>J113-J114</f>
        <v/>
      </c>
      <c r="K115" s="3">
        <f>K113-K114</f>
        <v/>
      </c>
      <c r="L115" s="3">
        <f>L113-L114</f>
        <v/>
      </c>
      <c r="M115" s="3">
        <f>M113-M114</f>
        <v/>
      </c>
      <c r="N115" s="3">
        <f>N113-N114</f>
        <v/>
      </c>
      <c r="O115" s="3">
        <f>O113-O114</f>
        <v/>
      </c>
      <c r="P115" s="3">
        <f>P113-P114</f>
        <v/>
      </c>
      <c r="Q115" s="3">
        <f>Q113-Q114</f>
        <v/>
      </c>
      <c r="R115" s="3">
        <f>R113-R114</f>
        <v/>
      </c>
      <c r="S115" s="3">
        <f>S113-S114</f>
        <v/>
      </c>
      <c r="T115" s="3">
        <f>T113-T114</f>
        <v/>
      </c>
      <c r="U115" s="3">
        <f>U113-U114</f>
        <v/>
      </c>
      <c r="V115" s="3">
        <f>V113-V114</f>
        <v/>
      </c>
      <c r="W115" s="3">
        <f>W113-W114</f>
        <v/>
      </c>
      <c r="X115" s="3">
        <f>X113-X114</f>
        <v/>
      </c>
      <c r="Y115" s="3">
        <f>Y113-Y114</f>
        <v/>
      </c>
      <c r="Z115" s="3">
        <f>Z113-Z114</f>
        <v/>
      </c>
      <c r="AA115" s="3">
        <f>AA113-AA114</f>
        <v/>
      </c>
      <c r="AB115" s="3">
        <f>AB113-AB114</f>
        <v/>
      </c>
      <c r="AC115" s="3">
        <f>AC113-AC114</f>
        <v/>
      </c>
      <c r="AD115" s="3">
        <f>AD113-AD114</f>
        <v/>
      </c>
      <c r="AE115" s="3">
        <f>AE113-AE114</f>
        <v/>
      </c>
      <c r="AF115" s="3">
        <f>AF113-AF114</f>
        <v/>
      </c>
      <c r="AG115" s="3">
        <f>AG113-AG114</f>
        <v/>
      </c>
      <c r="AH115" s="3">
        <f>AH113-AH114</f>
        <v/>
      </c>
      <c r="AI115" s="3">
        <f>AI113-AI114</f>
        <v/>
      </c>
      <c r="AJ115" s="3">
        <f>AJ113-AJ114</f>
        <v/>
      </c>
      <c r="AK115" s="3">
        <f>AK113-AK114</f>
        <v/>
      </c>
      <c r="AL115" s="3">
        <f>AL113-AL114</f>
        <v/>
      </c>
      <c r="AM115" s="3">
        <f>AM113-AM114</f>
        <v/>
      </c>
      <c r="AN115" s="3">
        <f>AN113-AN114</f>
        <v/>
      </c>
      <c r="AO115" s="3">
        <f>AO113-AO114</f>
        <v/>
      </c>
      <c r="AP115" s="3">
        <f>AP113-AP114</f>
        <v/>
      </c>
      <c r="AQ115" s="3">
        <f>AQ113-AQ114</f>
        <v/>
      </c>
      <c r="AR115" s="3">
        <f>AR113-AR114</f>
        <v/>
      </c>
      <c r="AS115" s="3">
        <f>AS113-AS114</f>
        <v/>
      </c>
      <c r="AT115" s="3">
        <f>AT113-AT114</f>
        <v/>
      </c>
      <c r="AU115" s="3">
        <f>AU113-AU114</f>
        <v/>
      </c>
      <c r="AV115" s="3">
        <f>AV113-AV114</f>
        <v/>
      </c>
      <c r="AW115" s="3">
        <f>AW113-AW114</f>
        <v/>
      </c>
      <c r="AX115" s="3">
        <f>AX113-AX114</f>
        <v/>
      </c>
      <c r="AY115" s="3">
        <f>AY113-AY114</f>
        <v/>
      </c>
      <c r="AZ115" s="3">
        <f>AZ113-AZ114</f>
        <v/>
      </c>
      <c r="BA115" s="3">
        <f>BA113-BA114</f>
        <v/>
      </c>
      <c r="BB115" s="3">
        <f>BB113-BB114</f>
        <v/>
      </c>
      <c r="BC115" s="3">
        <f>BC113-BC114</f>
        <v/>
      </c>
      <c r="BD115" s="3">
        <f>BD113-BD114</f>
        <v/>
      </c>
      <c r="BE115" s="3">
        <f>BE113-BE114</f>
        <v/>
      </c>
      <c r="BF115" s="3">
        <f>BF113-BF114</f>
        <v/>
      </c>
      <c r="BG115" s="3">
        <f>BG113-BG114</f>
        <v/>
      </c>
      <c r="BH115" s="3">
        <f>BH113-BH114</f>
        <v/>
      </c>
      <c r="BI115" s="3">
        <f>BI113-BI114</f>
        <v/>
      </c>
      <c r="BJ115" s="3">
        <f>BJ113-BJ114</f>
        <v/>
      </c>
      <c r="BK115" s="3">
        <f>BK113-BK114</f>
        <v/>
      </c>
      <c r="BL115" s="3">
        <f>BL113-BL114</f>
        <v/>
      </c>
      <c r="BM115" s="3">
        <f>BM113-BM114</f>
        <v/>
      </c>
      <c r="BN115" s="3">
        <f>BN113-BN114</f>
        <v/>
      </c>
      <c r="BO115" s="3">
        <f>BO113-BO114</f>
        <v/>
      </c>
      <c r="BP115" s="3">
        <f>BP113-BP114</f>
        <v/>
      </c>
      <c r="BQ115" s="3">
        <f>BQ113-BQ114</f>
        <v/>
      </c>
      <c r="BR115" s="3">
        <f>BR113-BR114</f>
        <v/>
      </c>
      <c r="BS115" s="3">
        <f>BS113-BS114</f>
        <v/>
      </c>
      <c r="BT115" s="3">
        <f>BT113-BT114</f>
        <v/>
      </c>
      <c r="BU115" s="3">
        <f>BU113-BU114</f>
        <v/>
      </c>
      <c r="BV115" s="3">
        <f>BV113-BV114</f>
        <v/>
      </c>
    </row>
    <row r="116">
      <c r="A116" t="inlineStr">
        <is>
          <t>trials ending</t>
        </is>
      </c>
      <c r="B116" t="inlineStr">
        <is>
          <t>LATAM|BASIC_M</t>
        </is>
      </c>
      <c r="C116" s="3">
        <f>IF(C$2&gt;=Params!$B$7,INDEX($C$114:$BV$114,C$2-Params!$B$7+1),0)</f>
        <v/>
      </c>
      <c r="D116" s="3">
        <f>IF(D$2&gt;=Params!$B$7,INDEX($C$114:$BV$114,D$2-Params!$B$7+1),0)</f>
        <v/>
      </c>
      <c r="E116" s="3">
        <f>IF(E$2&gt;=Params!$B$7,INDEX($C$114:$BV$114,E$2-Params!$B$7+1),0)</f>
        <v/>
      </c>
      <c r="F116" s="3">
        <f>IF(F$2&gt;=Params!$B$7,INDEX($C$114:$BV$114,F$2-Params!$B$7+1),0)</f>
        <v/>
      </c>
      <c r="G116" s="3">
        <f>IF(G$2&gt;=Params!$B$7,INDEX($C$114:$BV$114,G$2-Params!$B$7+1),0)</f>
        <v/>
      </c>
      <c r="H116" s="3">
        <f>IF(H$2&gt;=Params!$B$7,INDEX($C$114:$BV$114,H$2-Params!$B$7+1),0)</f>
        <v/>
      </c>
      <c r="I116" s="3">
        <f>IF(I$2&gt;=Params!$B$7,INDEX($C$114:$BV$114,I$2-Params!$B$7+1),0)</f>
        <v/>
      </c>
      <c r="J116" s="3">
        <f>IF(J$2&gt;=Params!$B$7,INDEX($C$114:$BV$114,J$2-Params!$B$7+1),0)</f>
        <v/>
      </c>
      <c r="K116" s="3">
        <f>IF(K$2&gt;=Params!$B$7,INDEX($C$114:$BV$114,K$2-Params!$B$7+1),0)</f>
        <v/>
      </c>
      <c r="L116" s="3">
        <f>IF(L$2&gt;=Params!$B$7,INDEX($C$114:$BV$114,L$2-Params!$B$7+1),0)</f>
        <v/>
      </c>
      <c r="M116" s="3">
        <f>IF(M$2&gt;=Params!$B$7,INDEX($C$114:$BV$114,M$2-Params!$B$7+1),0)</f>
        <v/>
      </c>
      <c r="N116" s="3">
        <f>IF(N$2&gt;=Params!$B$7,INDEX($C$114:$BV$114,N$2-Params!$B$7+1),0)</f>
        <v/>
      </c>
      <c r="O116" s="3">
        <f>IF(O$2&gt;=Params!$B$7,INDEX($C$114:$BV$114,O$2-Params!$B$7+1),0)</f>
        <v/>
      </c>
      <c r="P116" s="3">
        <f>IF(P$2&gt;=Params!$B$7,INDEX($C$114:$BV$114,P$2-Params!$B$7+1),0)</f>
        <v/>
      </c>
      <c r="Q116" s="3">
        <f>IF(Q$2&gt;=Params!$B$7,INDEX($C$114:$BV$114,Q$2-Params!$B$7+1),0)</f>
        <v/>
      </c>
      <c r="R116" s="3">
        <f>IF(R$2&gt;=Params!$B$7,INDEX($C$114:$BV$114,R$2-Params!$B$7+1),0)</f>
        <v/>
      </c>
      <c r="S116" s="3">
        <f>IF(S$2&gt;=Params!$B$7,INDEX($C$114:$BV$114,S$2-Params!$B$7+1),0)</f>
        <v/>
      </c>
      <c r="T116" s="3">
        <f>IF(T$2&gt;=Params!$B$7,INDEX($C$114:$BV$114,T$2-Params!$B$7+1),0)</f>
        <v/>
      </c>
      <c r="U116" s="3">
        <f>IF(U$2&gt;=Params!$B$7,INDEX($C$114:$BV$114,U$2-Params!$B$7+1),0)</f>
        <v/>
      </c>
      <c r="V116" s="3">
        <f>IF(V$2&gt;=Params!$B$7,INDEX($C$114:$BV$114,V$2-Params!$B$7+1),0)</f>
        <v/>
      </c>
      <c r="W116" s="3">
        <f>IF(W$2&gt;=Params!$B$7,INDEX($C$114:$BV$114,W$2-Params!$B$7+1),0)</f>
        <v/>
      </c>
      <c r="X116" s="3">
        <f>IF(X$2&gt;=Params!$B$7,INDEX($C$114:$BV$114,X$2-Params!$B$7+1),0)</f>
        <v/>
      </c>
      <c r="Y116" s="3">
        <f>IF(Y$2&gt;=Params!$B$7,INDEX($C$114:$BV$114,Y$2-Params!$B$7+1),0)</f>
        <v/>
      </c>
      <c r="Z116" s="3">
        <f>IF(Z$2&gt;=Params!$B$7,INDEX($C$114:$BV$114,Z$2-Params!$B$7+1),0)</f>
        <v/>
      </c>
      <c r="AA116" s="3">
        <f>IF(AA$2&gt;=Params!$B$7,INDEX($C$114:$BV$114,AA$2-Params!$B$7+1),0)</f>
        <v/>
      </c>
      <c r="AB116" s="3">
        <f>IF(AB$2&gt;=Params!$B$7,INDEX($C$114:$BV$114,AB$2-Params!$B$7+1),0)</f>
        <v/>
      </c>
      <c r="AC116" s="3">
        <f>IF(AC$2&gt;=Params!$B$7,INDEX($C$114:$BV$114,AC$2-Params!$B$7+1),0)</f>
        <v/>
      </c>
      <c r="AD116" s="3">
        <f>IF(AD$2&gt;=Params!$B$7,INDEX($C$114:$BV$114,AD$2-Params!$B$7+1),0)</f>
        <v/>
      </c>
      <c r="AE116" s="3">
        <f>IF(AE$2&gt;=Params!$B$7,INDEX($C$114:$BV$114,AE$2-Params!$B$7+1),0)</f>
        <v/>
      </c>
      <c r="AF116" s="3">
        <f>IF(AF$2&gt;=Params!$B$7,INDEX($C$114:$BV$114,AF$2-Params!$B$7+1),0)</f>
        <v/>
      </c>
      <c r="AG116" s="3">
        <f>IF(AG$2&gt;=Params!$B$7,INDEX($C$114:$BV$114,AG$2-Params!$B$7+1),0)</f>
        <v/>
      </c>
      <c r="AH116" s="3">
        <f>IF(AH$2&gt;=Params!$B$7,INDEX($C$114:$BV$114,AH$2-Params!$B$7+1),0)</f>
        <v/>
      </c>
      <c r="AI116" s="3">
        <f>IF(AI$2&gt;=Params!$B$7,INDEX($C$114:$BV$114,AI$2-Params!$B$7+1),0)</f>
        <v/>
      </c>
      <c r="AJ116" s="3">
        <f>IF(AJ$2&gt;=Params!$B$7,INDEX($C$114:$BV$114,AJ$2-Params!$B$7+1),0)</f>
        <v/>
      </c>
      <c r="AK116" s="3">
        <f>IF(AK$2&gt;=Params!$B$7,INDEX($C$114:$BV$114,AK$2-Params!$B$7+1),0)</f>
        <v/>
      </c>
      <c r="AL116" s="3">
        <f>IF(AL$2&gt;=Params!$B$7,INDEX($C$114:$BV$114,AL$2-Params!$B$7+1),0)</f>
        <v/>
      </c>
      <c r="AM116" s="3">
        <f>IF(AM$2&gt;=Params!$B$7,INDEX($C$114:$BV$114,AM$2-Params!$B$7+1),0)</f>
        <v/>
      </c>
      <c r="AN116" s="3">
        <f>IF(AN$2&gt;=Params!$B$7,INDEX($C$114:$BV$114,AN$2-Params!$B$7+1),0)</f>
        <v/>
      </c>
      <c r="AO116" s="3">
        <f>IF(AO$2&gt;=Params!$B$7,INDEX($C$114:$BV$114,AO$2-Params!$B$7+1),0)</f>
        <v/>
      </c>
      <c r="AP116" s="3">
        <f>IF(AP$2&gt;=Params!$B$7,INDEX($C$114:$BV$114,AP$2-Params!$B$7+1),0)</f>
        <v/>
      </c>
      <c r="AQ116" s="3">
        <f>IF(AQ$2&gt;=Params!$B$7,INDEX($C$114:$BV$114,AQ$2-Params!$B$7+1),0)</f>
        <v/>
      </c>
      <c r="AR116" s="3">
        <f>IF(AR$2&gt;=Params!$B$7,INDEX($C$114:$BV$114,AR$2-Params!$B$7+1),0)</f>
        <v/>
      </c>
      <c r="AS116" s="3">
        <f>IF(AS$2&gt;=Params!$B$7,INDEX($C$114:$BV$114,AS$2-Params!$B$7+1),0)</f>
        <v/>
      </c>
      <c r="AT116" s="3">
        <f>IF(AT$2&gt;=Params!$B$7,INDEX($C$114:$BV$114,AT$2-Params!$B$7+1),0)</f>
        <v/>
      </c>
      <c r="AU116" s="3">
        <f>IF(AU$2&gt;=Params!$B$7,INDEX($C$114:$BV$114,AU$2-Params!$B$7+1),0)</f>
        <v/>
      </c>
      <c r="AV116" s="3">
        <f>IF(AV$2&gt;=Params!$B$7,INDEX($C$114:$BV$114,AV$2-Params!$B$7+1),0)</f>
        <v/>
      </c>
      <c r="AW116" s="3">
        <f>IF(AW$2&gt;=Params!$B$7,INDEX($C$114:$BV$114,AW$2-Params!$B$7+1),0)</f>
        <v/>
      </c>
      <c r="AX116" s="3">
        <f>IF(AX$2&gt;=Params!$B$7,INDEX($C$114:$BV$114,AX$2-Params!$B$7+1),0)</f>
        <v/>
      </c>
      <c r="AY116" s="3">
        <f>IF(AY$2&gt;=Params!$B$7,INDEX($C$114:$BV$114,AY$2-Params!$B$7+1),0)</f>
        <v/>
      </c>
      <c r="AZ116" s="3">
        <f>IF(AZ$2&gt;=Params!$B$7,INDEX($C$114:$BV$114,AZ$2-Params!$B$7+1),0)</f>
        <v/>
      </c>
      <c r="BA116" s="3">
        <f>IF(BA$2&gt;=Params!$B$7,INDEX($C$114:$BV$114,BA$2-Params!$B$7+1),0)</f>
        <v/>
      </c>
      <c r="BB116" s="3">
        <f>IF(BB$2&gt;=Params!$B$7,INDEX($C$114:$BV$114,BB$2-Params!$B$7+1),0)</f>
        <v/>
      </c>
      <c r="BC116" s="3">
        <f>IF(BC$2&gt;=Params!$B$7,INDEX($C$114:$BV$114,BC$2-Params!$B$7+1),0)</f>
        <v/>
      </c>
      <c r="BD116" s="3">
        <f>IF(BD$2&gt;=Params!$B$7,INDEX($C$114:$BV$114,BD$2-Params!$B$7+1),0)</f>
        <v/>
      </c>
      <c r="BE116" s="3">
        <f>IF(BE$2&gt;=Params!$B$7,INDEX($C$114:$BV$114,BE$2-Params!$B$7+1),0)</f>
        <v/>
      </c>
      <c r="BF116" s="3">
        <f>IF(BF$2&gt;=Params!$B$7,INDEX($C$114:$BV$114,BF$2-Params!$B$7+1),0)</f>
        <v/>
      </c>
      <c r="BG116" s="3">
        <f>IF(BG$2&gt;=Params!$B$7,INDEX($C$114:$BV$114,BG$2-Params!$B$7+1),0)</f>
        <v/>
      </c>
      <c r="BH116" s="3">
        <f>IF(BH$2&gt;=Params!$B$7,INDEX($C$114:$BV$114,BH$2-Params!$B$7+1),0)</f>
        <v/>
      </c>
      <c r="BI116" s="3">
        <f>IF(BI$2&gt;=Params!$B$7,INDEX($C$114:$BV$114,BI$2-Params!$B$7+1),0)</f>
        <v/>
      </c>
      <c r="BJ116" s="3">
        <f>IF(BJ$2&gt;=Params!$B$7,INDEX($C$114:$BV$114,BJ$2-Params!$B$7+1),0)</f>
        <v/>
      </c>
      <c r="BK116" s="3">
        <f>IF(BK$2&gt;=Params!$B$7,INDEX($C$114:$BV$114,BK$2-Params!$B$7+1),0)</f>
        <v/>
      </c>
      <c r="BL116" s="3">
        <f>IF(BL$2&gt;=Params!$B$7,INDEX($C$114:$BV$114,BL$2-Params!$B$7+1),0)</f>
        <v/>
      </c>
      <c r="BM116" s="3">
        <f>IF(BM$2&gt;=Params!$B$7,INDEX($C$114:$BV$114,BM$2-Params!$B$7+1),0)</f>
        <v/>
      </c>
      <c r="BN116" s="3">
        <f>IF(BN$2&gt;=Params!$B$7,INDEX($C$114:$BV$114,BN$2-Params!$B$7+1),0)</f>
        <v/>
      </c>
      <c r="BO116" s="3">
        <f>IF(BO$2&gt;=Params!$B$7,INDEX($C$114:$BV$114,BO$2-Params!$B$7+1),0)</f>
        <v/>
      </c>
      <c r="BP116" s="3">
        <f>IF(BP$2&gt;=Params!$B$7,INDEX($C$114:$BV$114,BP$2-Params!$B$7+1),0)</f>
        <v/>
      </c>
      <c r="BQ116" s="3">
        <f>IF(BQ$2&gt;=Params!$B$7,INDEX($C$114:$BV$114,BQ$2-Params!$B$7+1),0)</f>
        <v/>
      </c>
      <c r="BR116" s="3">
        <f>IF(BR$2&gt;=Params!$B$7,INDEX($C$114:$BV$114,BR$2-Params!$B$7+1),0)</f>
        <v/>
      </c>
      <c r="BS116" s="3">
        <f>IF(BS$2&gt;=Params!$B$7,INDEX($C$114:$BV$114,BS$2-Params!$B$7+1),0)</f>
        <v/>
      </c>
      <c r="BT116" s="3">
        <f>IF(BT$2&gt;=Params!$B$7,INDEX($C$114:$BV$114,BT$2-Params!$B$7+1),0)</f>
        <v/>
      </c>
      <c r="BU116" s="3">
        <f>IF(BU$2&gt;=Params!$B$7,INDEX($C$114:$BV$114,BU$2-Params!$B$7+1),0)</f>
        <v/>
      </c>
      <c r="BV116" s="3">
        <f>IF(BV$2&gt;=Params!$B$7,INDEX($C$114:$BV$114,BV$2-Params!$B$7+1),0)</f>
        <v/>
      </c>
    </row>
    <row r="117">
      <c r="A117" t="inlineStr">
        <is>
          <t>trials converted</t>
        </is>
      </c>
      <c r="B117" t="inlineStr">
        <is>
          <t>LATAM|BASIC_M</t>
        </is>
      </c>
      <c r="C117" s="3">
        <f>C116*Params!$B$8</f>
        <v/>
      </c>
      <c r="D117" s="3">
        <f>D116*Params!$B$8</f>
        <v/>
      </c>
      <c r="E117" s="3">
        <f>E116*Params!$B$8</f>
        <v/>
      </c>
      <c r="F117" s="3">
        <f>F116*Params!$B$8</f>
        <v/>
      </c>
      <c r="G117" s="3">
        <f>G116*Params!$B$8</f>
        <v/>
      </c>
      <c r="H117" s="3">
        <f>H116*Params!$B$8</f>
        <v/>
      </c>
      <c r="I117" s="3">
        <f>I116*Params!$B$8</f>
        <v/>
      </c>
      <c r="J117" s="3">
        <f>J116*Params!$B$8</f>
        <v/>
      </c>
      <c r="K117" s="3">
        <f>K116*Params!$B$8</f>
        <v/>
      </c>
      <c r="L117" s="3">
        <f>L116*Params!$B$8</f>
        <v/>
      </c>
      <c r="M117" s="3">
        <f>M116*Params!$B$8</f>
        <v/>
      </c>
      <c r="N117" s="3">
        <f>N116*Params!$B$8</f>
        <v/>
      </c>
      <c r="O117" s="3">
        <f>O116*Params!$B$8</f>
        <v/>
      </c>
      <c r="P117" s="3">
        <f>P116*Params!$B$8</f>
        <v/>
      </c>
      <c r="Q117" s="3">
        <f>Q116*Params!$B$8</f>
        <v/>
      </c>
      <c r="R117" s="3">
        <f>R116*Params!$B$8</f>
        <v/>
      </c>
      <c r="S117" s="3">
        <f>S116*Params!$B$8</f>
        <v/>
      </c>
      <c r="T117" s="3">
        <f>T116*Params!$B$8</f>
        <v/>
      </c>
      <c r="U117" s="3">
        <f>U116*Params!$B$8</f>
        <v/>
      </c>
      <c r="V117" s="3">
        <f>V116*Params!$B$8</f>
        <v/>
      </c>
      <c r="W117" s="3">
        <f>W116*Params!$B$8</f>
        <v/>
      </c>
      <c r="X117" s="3">
        <f>X116*Params!$B$8</f>
        <v/>
      </c>
      <c r="Y117" s="3">
        <f>Y116*Params!$B$8</f>
        <v/>
      </c>
      <c r="Z117" s="3">
        <f>Z116*Params!$B$8</f>
        <v/>
      </c>
      <c r="AA117" s="3">
        <f>AA116*Params!$B$8</f>
        <v/>
      </c>
      <c r="AB117" s="3">
        <f>AB116*Params!$B$8</f>
        <v/>
      </c>
      <c r="AC117" s="3">
        <f>AC116*Params!$B$8</f>
        <v/>
      </c>
      <c r="AD117" s="3">
        <f>AD116*Params!$B$8</f>
        <v/>
      </c>
      <c r="AE117" s="3">
        <f>AE116*Params!$B$8</f>
        <v/>
      </c>
      <c r="AF117" s="3">
        <f>AF116*Params!$B$8</f>
        <v/>
      </c>
      <c r="AG117" s="3">
        <f>AG116*Params!$B$8</f>
        <v/>
      </c>
      <c r="AH117" s="3">
        <f>AH116*Params!$B$8</f>
        <v/>
      </c>
      <c r="AI117" s="3">
        <f>AI116*Params!$B$8</f>
        <v/>
      </c>
      <c r="AJ117" s="3">
        <f>AJ116*Params!$B$8</f>
        <v/>
      </c>
      <c r="AK117" s="3">
        <f>AK116*Params!$B$8</f>
        <v/>
      </c>
      <c r="AL117" s="3">
        <f>AL116*Params!$B$8</f>
        <v/>
      </c>
      <c r="AM117" s="3">
        <f>AM116*Params!$B$8</f>
        <v/>
      </c>
      <c r="AN117" s="3">
        <f>AN116*Params!$B$8</f>
        <v/>
      </c>
      <c r="AO117" s="3">
        <f>AO116*Params!$B$8</f>
        <v/>
      </c>
      <c r="AP117" s="3">
        <f>AP116*Params!$B$8</f>
        <v/>
      </c>
      <c r="AQ117" s="3">
        <f>AQ116*Params!$B$8</f>
        <v/>
      </c>
      <c r="AR117" s="3">
        <f>AR116*Params!$B$8</f>
        <v/>
      </c>
      <c r="AS117" s="3">
        <f>AS116*Params!$B$8</f>
        <v/>
      </c>
      <c r="AT117" s="3">
        <f>AT116*Params!$B$8</f>
        <v/>
      </c>
      <c r="AU117" s="3">
        <f>AU116*Params!$B$8</f>
        <v/>
      </c>
      <c r="AV117" s="3">
        <f>AV116*Params!$B$8</f>
        <v/>
      </c>
      <c r="AW117" s="3">
        <f>AW116*Params!$B$8</f>
        <v/>
      </c>
      <c r="AX117" s="3">
        <f>AX116*Params!$B$8</f>
        <v/>
      </c>
      <c r="AY117" s="3">
        <f>AY116*Params!$B$8</f>
        <v/>
      </c>
      <c r="AZ117" s="3">
        <f>AZ116*Params!$B$8</f>
        <v/>
      </c>
      <c r="BA117" s="3">
        <f>BA116*Params!$B$8</f>
        <v/>
      </c>
      <c r="BB117" s="3">
        <f>BB116*Params!$B$8</f>
        <v/>
      </c>
      <c r="BC117" s="3">
        <f>BC116*Params!$B$8</f>
        <v/>
      </c>
      <c r="BD117" s="3">
        <f>BD116*Params!$B$8</f>
        <v/>
      </c>
      <c r="BE117" s="3">
        <f>BE116*Params!$B$8</f>
        <v/>
      </c>
      <c r="BF117" s="3">
        <f>BF116*Params!$B$8</f>
        <v/>
      </c>
      <c r="BG117" s="3">
        <f>BG116*Params!$B$8</f>
        <v/>
      </c>
      <c r="BH117" s="3">
        <f>BH116*Params!$B$8</f>
        <v/>
      </c>
      <c r="BI117" s="3">
        <f>BI116*Params!$B$8</f>
        <v/>
      </c>
      <c r="BJ117" s="3">
        <f>BJ116*Params!$B$8</f>
        <v/>
      </c>
      <c r="BK117" s="3">
        <f>BK116*Params!$B$8</f>
        <v/>
      </c>
      <c r="BL117" s="3">
        <f>BL116*Params!$B$8</f>
        <v/>
      </c>
      <c r="BM117" s="3">
        <f>BM116*Params!$B$8</f>
        <v/>
      </c>
      <c r="BN117" s="3">
        <f>BN116*Params!$B$8</f>
        <v/>
      </c>
      <c r="BO117" s="3">
        <f>BO116*Params!$B$8</f>
        <v/>
      </c>
      <c r="BP117" s="3">
        <f>BP116*Params!$B$8</f>
        <v/>
      </c>
      <c r="BQ117" s="3">
        <f>BQ116*Params!$B$8</f>
        <v/>
      </c>
      <c r="BR117" s="3">
        <f>BR116*Params!$B$8</f>
        <v/>
      </c>
      <c r="BS117" s="3">
        <f>BS116*Params!$B$8</f>
        <v/>
      </c>
      <c r="BT117" s="3">
        <f>BT116*Params!$B$8</f>
        <v/>
      </c>
      <c r="BU117" s="3">
        <f>BU116*Params!$B$8</f>
        <v/>
      </c>
      <c r="BV117" s="3">
        <f>BV116*Params!$B$8</f>
        <v/>
      </c>
    </row>
    <row r="118">
      <c r="A118" t="inlineStr">
        <is>
          <t>trials lost</t>
        </is>
      </c>
      <c r="B118" t="inlineStr">
        <is>
          <t>LATAM|BASIC_M</t>
        </is>
      </c>
      <c r="C118" s="3">
        <f>C116-C117</f>
        <v/>
      </c>
      <c r="D118" s="3">
        <f>D116-D117</f>
        <v/>
      </c>
      <c r="E118" s="3">
        <f>E116-E117</f>
        <v/>
      </c>
      <c r="F118" s="3">
        <f>F116-F117</f>
        <v/>
      </c>
      <c r="G118" s="3">
        <f>G116-G117</f>
        <v/>
      </c>
      <c r="H118" s="3">
        <f>H116-H117</f>
        <v/>
      </c>
      <c r="I118" s="3">
        <f>I116-I117</f>
        <v/>
      </c>
      <c r="J118" s="3">
        <f>J116-J117</f>
        <v/>
      </c>
      <c r="K118" s="3">
        <f>K116-K117</f>
        <v/>
      </c>
      <c r="L118" s="3">
        <f>L116-L117</f>
        <v/>
      </c>
      <c r="M118" s="3">
        <f>M116-M117</f>
        <v/>
      </c>
      <c r="N118" s="3">
        <f>N116-N117</f>
        <v/>
      </c>
      <c r="O118" s="3">
        <f>O116-O117</f>
        <v/>
      </c>
      <c r="P118" s="3">
        <f>P116-P117</f>
        <v/>
      </c>
      <c r="Q118" s="3">
        <f>Q116-Q117</f>
        <v/>
      </c>
      <c r="R118" s="3">
        <f>R116-R117</f>
        <v/>
      </c>
      <c r="S118" s="3">
        <f>S116-S117</f>
        <v/>
      </c>
      <c r="T118" s="3">
        <f>T116-T117</f>
        <v/>
      </c>
      <c r="U118" s="3">
        <f>U116-U117</f>
        <v/>
      </c>
      <c r="V118" s="3">
        <f>V116-V117</f>
        <v/>
      </c>
      <c r="W118" s="3">
        <f>W116-W117</f>
        <v/>
      </c>
      <c r="X118" s="3">
        <f>X116-X117</f>
        <v/>
      </c>
      <c r="Y118" s="3">
        <f>Y116-Y117</f>
        <v/>
      </c>
      <c r="Z118" s="3">
        <f>Z116-Z117</f>
        <v/>
      </c>
      <c r="AA118" s="3">
        <f>AA116-AA117</f>
        <v/>
      </c>
      <c r="AB118" s="3">
        <f>AB116-AB117</f>
        <v/>
      </c>
      <c r="AC118" s="3">
        <f>AC116-AC117</f>
        <v/>
      </c>
      <c r="AD118" s="3">
        <f>AD116-AD117</f>
        <v/>
      </c>
      <c r="AE118" s="3">
        <f>AE116-AE117</f>
        <v/>
      </c>
      <c r="AF118" s="3">
        <f>AF116-AF117</f>
        <v/>
      </c>
      <c r="AG118" s="3">
        <f>AG116-AG117</f>
        <v/>
      </c>
      <c r="AH118" s="3">
        <f>AH116-AH117</f>
        <v/>
      </c>
      <c r="AI118" s="3">
        <f>AI116-AI117</f>
        <v/>
      </c>
      <c r="AJ118" s="3">
        <f>AJ116-AJ117</f>
        <v/>
      </c>
      <c r="AK118" s="3">
        <f>AK116-AK117</f>
        <v/>
      </c>
      <c r="AL118" s="3">
        <f>AL116-AL117</f>
        <v/>
      </c>
      <c r="AM118" s="3">
        <f>AM116-AM117</f>
        <v/>
      </c>
      <c r="AN118" s="3">
        <f>AN116-AN117</f>
        <v/>
      </c>
      <c r="AO118" s="3">
        <f>AO116-AO117</f>
        <v/>
      </c>
      <c r="AP118" s="3">
        <f>AP116-AP117</f>
        <v/>
      </c>
      <c r="AQ118" s="3">
        <f>AQ116-AQ117</f>
        <v/>
      </c>
      <c r="AR118" s="3">
        <f>AR116-AR117</f>
        <v/>
      </c>
      <c r="AS118" s="3">
        <f>AS116-AS117</f>
        <v/>
      </c>
      <c r="AT118" s="3">
        <f>AT116-AT117</f>
        <v/>
      </c>
      <c r="AU118" s="3">
        <f>AU116-AU117</f>
        <v/>
      </c>
      <c r="AV118" s="3">
        <f>AV116-AV117</f>
        <v/>
      </c>
      <c r="AW118" s="3">
        <f>AW116-AW117</f>
        <v/>
      </c>
      <c r="AX118" s="3">
        <f>AX116-AX117</f>
        <v/>
      </c>
      <c r="AY118" s="3">
        <f>AY116-AY117</f>
        <v/>
      </c>
      <c r="AZ118" s="3">
        <f>AZ116-AZ117</f>
        <v/>
      </c>
      <c r="BA118" s="3">
        <f>BA116-BA117</f>
        <v/>
      </c>
      <c r="BB118" s="3">
        <f>BB116-BB117</f>
        <v/>
      </c>
      <c r="BC118" s="3">
        <f>BC116-BC117</f>
        <v/>
      </c>
      <c r="BD118" s="3">
        <f>BD116-BD117</f>
        <v/>
      </c>
      <c r="BE118" s="3">
        <f>BE116-BE117</f>
        <v/>
      </c>
      <c r="BF118" s="3">
        <f>BF116-BF117</f>
        <v/>
      </c>
      <c r="BG118" s="3">
        <f>BG116-BG117</f>
        <v/>
      </c>
      <c r="BH118" s="3">
        <f>BH116-BH117</f>
        <v/>
      </c>
      <c r="BI118" s="3">
        <f>BI116-BI117</f>
        <v/>
      </c>
      <c r="BJ118" s="3">
        <f>BJ116-BJ117</f>
        <v/>
      </c>
      <c r="BK118" s="3">
        <f>BK116-BK117</f>
        <v/>
      </c>
      <c r="BL118" s="3">
        <f>BL116-BL117</f>
        <v/>
      </c>
      <c r="BM118" s="3">
        <f>BM116-BM117</f>
        <v/>
      </c>
      <c r="BN118" s="3">
        <f>BN116-BN117</f>
        <v/>
      </c>
      <c r="BO118" s="3">
        <f>BO116-BO117</f>
        <v/>
      </c>
      <c r="BP118" s="3">
        <f>BP116-BP117</f>
        <v/>
      </c>
      <c r="BQ118" s="3">
        <f>BQ116-BQ117</f>
        <v/>
      </c>
      <c r="BR118" s="3">
        <f>BR116-BR117</f>
        <v/>
      </c>
      <c r="BS118" s="3">
        <f>BS116-BS117</f>
        <v/>
      </c>
      <c r="BT118" s="3">
        <f>BT116-BT117</f>
        <v/>
      </c>
      <c r="BU118" s="3">
        <f>BU116-BU117</f>
        <v/>
      </c>
      <c r="BV118" s="3">
        <f>BV116-BV117</f>
        <v/>
      </c>
    </row>
    <row r="119">
      <c r="A119" t="inlineStr">
        <is>
          <t>cum trial starts</t>
        </is>
      </c>
      <c r="B119" t="inlineStr">
        <is>
          <t>LATAM|BASIC_M</t>
        </is>
      </c>
      <c r="C119" s="3">
        <f>SUM($C114:C114)</f>
        <v/>
      </c>
      <c r="D119" s="3">
        <f>SUM($C114:D114)</f>
        <v/>
      </c>
      <c r="E119" s="3">
        <f>SUM($C114:E114)</f>
        <v/>
      </c>
      <c r="F119" s="3">
        <f>SUM($C114:F114)</f>
        <v/>
      </c>
      <c r="G119" s="3">
        <f>SUM($C114:G114)</f>
        <v/>
      </c>
      <c r="H119" s="3">
        <f>SUM($C114:H114)</f>
        <v/>
      </c>
      <c r="I119" s="3">
        <f>SUM($C114:I114)</f>
        <v/>
      </c>
      <c r="J119" s="3">
        <f>SUM($C114:J114)</f>
        <v/>
      </c>
      <c r="K119" s="3">
        <f>SUM($C114:K114)</f>
        <v/>
      </c>
      <c r="L119" s="3">
        <f>SUM($C114:L114)</f>
        <v/>
      </c>
      <c r="M119" s="3">
        <f>SUM($C114:M114)</f>
        <v/>
      </c>
      <c r="N119" s="3">
        <f>SUM($C114:N114)</f>
        <v/>
      </c>
      <c r="O119" s="3">
        <f>SUM($C114:O114)</f>
        <v/>
      </c>
      <c r="P119" s="3">
        <f>SUM($C114:P114)</f>
        <v/>
      </c>
      <c r="Q119" s="3">
        <f>SUM($C114:Q114)</f>
        <v/>
      </c>
      <c r="R119" s="3">
        <f>SUM($C114:R114)</f>
        <v/>
      </c>
      <c r="S119" s="3">
        <f>SUM($C114:S114)</f>
        <v/>
      </c>
      <c r="T119" s="3">
        <f>SUM($C114:T114)</f>
        <v/>
      </c>
      <c r="U119" s="3">
        <f>SUM($C114:U114)</f>
        <v/>
      </c>
      <c r="V119" s="3">
        <f>SUM($C114:V114)</f>
        <v/>
      </c>
      <c r="W119" s="3">
        <f>SUM($C114:W114)</f>
        <v/>
      </c>
      <c r="X119" s="3">
        <f>SUM($C114:X114)</f>
        <v/>
      </c>
      <c r="Y119" s="3">
        <f>SUM($C114:Y114)</f>
        <v/>
      </c>
      <c r="Z119" s="3">
        <f>SUM($C114:Z114)</f>
        <v/>
      </c>
      <c r="AA119" s="3">
        <f>SUM($C114:AA114)</f>
        <v/>
      </c>
      <c r="AB119" s="3">
        <f>SUM($C114:AB114)</f>
        <v/>
      </c>
      <c r="AC119" s="3">
        <f>SUM($C114:AC114)</f>
        <v/>
      </c>
      <c r="AD119" s="3">
        <f>SUM($C114:AD114)</f>
        <v/>
      </c>
      <c r="AE119" s="3">
        <f>SUM($C114:AE114)</f>
        <v/>
      </c>
      <c r="AF119" s="3">
        <f>SUM($C114:AF114)</f>
        <v/>
      </c>
      <c r="AG119" s="3">
        <f>SUM($C114:AG114)</f>
        <v/>
      </c>
      <c r="AH119" s="3">
        <f>SUM($C114:AH114)</f>
        <v/>
      </c>
      <c r="AI119" s="3">
        <f>SUM($C114:AI114)</f>
        <v/>
      </c>
      <c r="AJ119" s="3">
        <f>SUM($C114:AJ114)</f>
        <v/>
      </c>
      <c r="AK119" s="3">
        <f>SUM($C114:AK114)</f>
        <v/>
      </c>
      <c r="AL119" s="3">
        <f>SUM($C114:AL114)</f>
        <v/>
      </c>
      <c r="AM119" s="3">
        <f>SUM($C114:AM114)</f>
        <v/>
      </c>
      <c r="AN119" s="3">
        <f>SUM($C114:AN114)</f>
        <v/>
      </c>
      <c r="AO119" s="3">
        <f>SUM($C114:AO114)</f>
        <v/>
      </c>
      <c r="AP119" s="3">
        <f>SUM($C114:AP114)</f>
        <v/>
      </c>
      <c r="AQ119" s="3">
        <f>SUM($C114:AQ114)</f>
        <v/>
      </c>
      <c r="AR119" s="3">
        <f>SUM($C114:AR114)</f>
        <v/>
      </c>
      <c r="AS119" s="3">
        <f>SUM($C114:AS114)</f>
        <v/>
      </c>
      <c r="AT119" s="3">
        <f>SUM($C114:AT114)</f>
        <v/>
      </c>
      <c r="AU119" s="3">
        <f>SUM($C114:AU114)</f>
        <v/>
      </c>
      <c r="AV119" s="3">
        <f>SUM($C114:AV114)</f>
        <v/>
      </c>
      <c r="AW119" s="3">
        <f>SUM($C114:AW114)</f>
        <v/>
      </c>
      <c r="AX119" s="3">
        <f>SUM($C114:AX114)</f>
        <v/>
      </c>
      <c r="AY119" s="3">
        <f>SUM($C114:AY114)</f>
        <v/>
      </c>
      <c r="AZ119" s="3">
        <f>SUM($C114:AZ114)</f>
        <v/>
      </c>
      <c r="BA119" s="3">
        <f>SUM($C114:BA114)</f>
        <v/>
      </c>
      <c r="BB119" s="3">
        <f>SUM($C114:BB114)</f>
        <v/>
      </c>
      <c r="BC119" s="3">
        <f>SUM($C114:BC114)</f>
        <v/>
      </c>
      <c r="BD119" s="3">
        <f>SUM($C114:BD114)</f>
        <v/>
      </c>
      <c r="BE119" s="3">
        <f>SUM($C114:BE114)</f>
        <v/>
      </c>
      <c r="BF119" s="3">
        <f>SUM($C114:BF114)</f>
        <v/>
      </c>
      <c r="BG119" s="3">
        <f>SUM($C114:BG114)</f>
        <v/>
      </c>
      <c r="BH119" s="3">
        <f>SUM($C114:BH114)</f>
        <v/>
      </c>
      <c r="BI119" s="3">
        <f>SUM($C114:BI114)</f>
        <v/>
      </c>
      <c r="BJ119" s="3">
        <f>SUM($C114:BJ114)</f>
        <v/>
      </c>
      <c r="BK119" s="3">
        <f>SUM($C114:BK114)</f>
        <v/>
      </c>
      <c r="BL119" s="3">
        <f>SUM($C114:BL114)</f>
        <v/>
      </c>
      <c r="BM119" s="3">
        <f>SUM($C114:BM114)</f>
        <v/>
      </c>
      <c r="BN119" s="3">
        <f>SUM($C114:BN114)</f>
        <v/>
      </c>
      <c r="BO119" s="3">
        <f>SUM($C114:BO114)</f>
        <v/>
      </c>
      <c r="BP119" s="3">
        <f>SUM($C114:BP114)</f>
        <v/>
      </c>
      <c r="BQ119" s="3">
        <f>SUM($C114:BQ114)</f>
        <v/>
      </c>
      <c r="BR119" s="3">
        <f>SUM($C114:BR114)</f>
        <v/>
      </c>
      <c r="BS119" s="3">
        <f>SUM($C114:BS114)</f>
        <v/>
      </c>
      <c r="BT119" s="3">
        <f>SUM($C114:BT114)</f>
        <v/>
      </c>
      <c r="BU119" s="3">
        <f>SUM($C114:BU114)</f>
        <v/>
      </c>
      <c r="BV119" s="3">
        <f>SUM($C114:BV114)</f>
        <v/>
      </c>
    </row>
    <row r="120">
      <c r="A120" t="inlineStr">
        <is>
          <t>cum trials ending</t>
        </is>
      </c>
      <c r="B120" t="inlineStr">
        <is>
          <t>LATAM|BASIC_M</t>
        </is>
      </c>
      <c r="C120" s="3">
        <f>SUM($C116:C116)</f>
        <v/>
      </c>
      <c r="D120" s="3">
        <f>SUM($C116:D116)</f>
        <v/>
      </c>
      <c r="E120" s="3">
        <f>SUM($C116:E116)</f>
        <v/>
      </c>
      <c r="F120" s="3">
        <f>SUM($C116:F116)</f>
        <v/>
      </c>
      <c r="G120" s="3">
        <f>SUM($C116:G116)</f>
        <v/>
      </c>
      <c r="H120" s="3">
        <f>SUM($C116:H116)</f>
        <v/>
      </c>
      <c r="I120" s="3">
        <f>SUM($C116:I116)</f>
        <v/>
      </c>
      <c r="J120" s="3">
        <f>SUM($C116:J116)</f>
        <v/>
      </c>
      <c r="K120" s="3">
        <f>SUM($C116:K116)</f>
        <v/>
      </c>
      <c r="L120" s="3">
        <f>SUM($C116:L116)</f>
        <v/>
      </c>
      <c r="M120" s="3">
        <f>SUM($C116:M116)</f>
        <v/>
      </c>
      <c r="N120" s="3">
        <f>SUM($C116:N116)</f>
        <v/>
      </c>
      <c r="O120" s="3">
        <f>SUM($C116:O116)</f>
        <v/>
      </c>
      <c r="P120" s="3">
        <f>SUM($C116:P116)</f>
        <v/>
      </c>
      <c r="Q120" s="3">
        <f>SUM($C116:Q116)</f>
        <v/>
      </c>
      <c r="R120" s="3">
        <f>SUM($C116:R116)</f>
        <v/>
      </c>
      <c r="S120" s="3">
        <f>SUM($C116:S116)</f>
        <v/>
      </c>
      <c r="T120" s="3">
        <f>SUM($C116:T116)</f>
        <v/>
      </c>
      <c r="U120" s="3">
        <f>SUM($C116:U116)</f>
        <v/>
      </c>
      <c r="V120" s="3">
        <f>SUM($C116:V116)</f>
        <v/>
      </c>
      <c r="W120" s="3">
        <f>SUM($C116:W116)</f>
        <v/>
      </c>
      <c r="X120" s="3">
        <f>SUM($C116:X116)</f>
        <v/>
      </c>
      <c r="Y120" s="3">
        <f>SUM($C116:Y116)</f>
        <v/>
      </c>
      <c r="Z120" s="3">
        <f>SUM($C116:Z116)</f>
        <v/>
      </c>
      <c r="AA120" s="3">
        <f>SUM($C116:AA116)</f>
        <v/>
      </c>
      <c r="AB120" s="3">
        <f>SUM($C116:AB116)</f>
        <v/>
      </c>
      <c r="AC120" s="3">
        <f>SUM($C116:AC116)</f>
        <v/>
      </c>
      <c r="AD120" s="3">
        <f>SUM($C116:AD116)</f>
        <v/>
      </c>
      <c r="AE120" s="3">
        <f>SUM($C116:AE116)</f>
        <v/>
      </c>
      <c r="AF120" s="3">
        <f>SUM($C116:AF116)</f>
        <v/>
      </c>
      <c r="AG120" s="3">
        <f>SUM($C116:AG116)</f>
        <v/>
      </c>
      <c r="AH120" s="3">
        <f>SUM($C116:AH116)</f>
        <v/>
      </c>
      <c r="AI120" s="3">
        <f>SUM($C116:AI116)</f>
        <v/>
      </c>
      <c r="AJ120" s="3">
        <f>SUM($C116:AJ116)</f>
        <v/>
      </c>
      <c r="AK120" s="3">
        <f>SUM($C116:AK116)</f>
        <v/>
      </c>
      <c r="AL120" s="3">
        <f>SUM($C116:AL116)</f>
        <v/>
      </c>
      <c r="AM120" s="3">
        <f>SUM($C116:AM116)</f>
        <v/>
      </c>
      <c r="AN120" s="3">
        <f>SUM($C116:AN116)</f>
        <v/>
      </c>
      <c r="AO120" s="3">
        <f>SUM($C116:AO116)</f>
        <v/>
      </c>
      <c r="AP120" s="3">
        <f>SUM($C116:AP116)</f>
        <v/>
      </c>
      <c r="AQ120" s="3">
        <f>SUM($C116:AQ116)</f>
        <v/>
      </c>
      <c r="AR120" s="3">
        <f>SUM($C116:AR116)</f>
        <v/>
      </c>
      <c r="AS120" s="3">
        <f>SUM($C116:AS116)</f>
        <v/>
      </c>
      <c r="AT120" s="3">
        <f>SUM($C116:AT116)</f>
        <v/>
      </c>
      <c r="AU120" s="3">
        <f>SUM($C116:AU116)</f>
        <v/>
      </c>
      <c r="AV120" s="3">
        <f>SUM($C116:AV116)</f>
        <v/>
      </c>
      <c r="AW120" s="3">
        <f>SUM($C116:AW116)</f>
        <v/>
      </c>
      <c r="AX120" s="3">
        <f>SUM($C116:AX116)</f>
        <v/>
      </c>
      <c r="AY120" s="3">
        <f>SUM($C116:AY116)</f>
        <v/>
      </c>
      <c r="AZ120" s="3">
        <f>SUM($C116:AZ116)</f>
        <v/>
      </c>
      <c r="BA120" s="3">
        <f>SUM($C116:BA116)</f>
        <v/>
      </c>
      <c r="BB120" s="3">
        <f>SUM($C116:BB116)</f>
        <v/>
      </c>
      <c r="BC120" s="3">
        <f>SUM($C116:BC116)</f>
        <v/>
      </c>
      <c r="BD120" s="3">
        <f>SUM($C116:BD116)</f>
        <v/>
      </c>
      <c r="BE120" s="3">
        <f>SUM($C116:BE116)</f>
        <v/>
      </c>
      <c r="BF120" s="3">
        <f>SUM($C116:BF116)</f>
        <v/>
      </c>
      <c r="BG120" s="3">
        <f>SUM($C116:BG116)</f>
        <v/>
      </c>
      <c r="BH120" s="3">
        <f>SUM($C116:BH116)</f>
        <v/>
      </c>
      <c r="BI120" s="3">
        <f>SUM($C116:BI116)</f>
        <v/>
      </c>
      <c r="BJ120" s="3">
        <f>SUM($C116:BJ116)</f>
        <v/>
      </c>
      <c r="BK120" s="3">
        <f>SUM($C116:BK116)</f>
        <v/>
      </c>
      <c r="BL120" s="3">
        <f>SUM($C116:BL116)</f>
        <v/>
      </c>
      <c r="BM120" s="3">
        <f>SUM($C116:BM116)</f>
        <v/>
      </c>
      <c r="BN120" s="3">
        <f>SUM($C116:BN116)</f>
        <v/>
      </c>
      <c r="BO120" s="3">
        <f>SUM($C116:BO116)</f>
        <v/>
      </c>
      <c r="BP120" s="3">
        <f>SUM($C116:BP116)</f>
        <v/>
      </c>
      <c r="BQ120" s="3">
        <f>SUM($C116:BQ116)</f>
        <v/>
      </c>
      <c r="BR120" s="3">
        <f>SUM($C116:BR116)</f>
        <v/>
      </c>
      <c r="BS120" s="3">
        <f>SUM($C116:BS116)</f>
        <v/>
      </c>
      <c r="BT120" s="3">
        <f>SUM($C116:BT116)</f>
        <v/>
      </c>
      <c r="BU120" s="3">
        <f>SUM($C116:BU116)</f>
        <v/>
      </c>
      <c r="BV120" s="3">
        <f>SUM($C116:BV116)</f>
        <v/>
      </c>
    </row>
    <row r="121">
      <c r="A121" t="inlineStr">
        <is>
          <t>trials active</t>
        </is>
      </c>
      <c r="B121" t="inlineStr">
        <is>
          <t>LATAM|BASIC_M</t>
        </is>
      </c>
      <c r="C121" s="3">
        <f>C119-C120</f>
        <v/>
      </c>
      <c r="D121" s="3">
        <f>D119-D120</f>
        <v/>
      </c>
      <c r="E121" s="3">
        <f>E119-E120</f>
        <v/>
      </c>
      <c r="F121" s="3">
        <f>F119-F120</f>
        <v/>
      </c>
      <c r="G121" s="3">
        <f>G119-G120</f>
        <v/>
      </c>
      <c r="H121" s="3">
        <f>H119-H120</f>
        <v/>
      </c>
      <c r="I121" s="3">
        <f>I119-I120</f>
        <v/>
      </c>
      <c r="J121" s="3">
        <f>J119-J120</f>
        <v/>
      </c>
      <c r="K121" s="3">
        <f>K119-K120</f>
        <v/>
      </c>
      <c r="L121" s="3">
        <f>L119-L120</f>
        <v/>
      </c>
      <c r="M121" s="3">
        <f>M119-M120</f>
        <v/>
      </c>
      <c r="N121" s="3">
        <f>N119-N120</f>
        <v/>
      </c>
      <c r="O121" s="3">
        <f>O119-O120</f>
        <v/>
      </c>
      <c r="P121" s="3">
        <f>P119-P120</f>
        <v/>
      </c>
      <c r="Q121" s="3">
        <f>Q119-Q120</f>
        <v/>
      </c>
      <c r="R121" s="3">
        <f>R119-R120</f>
        <v/>
      </c>
      <c r="S121" s="3">
        <f>S119-S120</f>
        <v/>
      </c>
      <c r="T121" s="3">
        <f>T119-T120</f>
        <v/>
      </c>
      <c r="U121" s="3">
        <f>U119-U120</f>
        <v/>
      </c>
      <c r="V121" s="3">
        <f>V119-V120</f>
        <v/>
      </c>
      <c r="W121" s="3">
        <f>W119-W120</f>
        <v/>
      </c>
      <c r="X121" s="3">
        <f>X119-X120</f>
        <v/>
      </c>
      <c r="Y121" s="3">
        <f>Y119-Y120</f>
        <v/>
      </c>
      <c r="Z121" s="3">
        <f>Z119-Z120</f>
        <v/>
      </c>
      <c r="AA121" s="3">
        <f>AA119-AA120</f>
        <v/>
      </c>
      <c r="AB121" s="3">
        <f>AB119-AB120</f>
        <v/>
      </c>
      <c r="AC121" s="3">
        <f>AC119-AC120</f>
        <v/>
      </c>
      <c r="AD121" s="3">
        <f>AD119-AD120</f>
        <v/>
      </c>
      <c r="AE121" s="3">
        <f>AE119-AE120</f>
        <v/>
      </c>
      <c r="AF121" s="3">
        <f>AF119-AF120</f>
        <v/>
      </c>
      <c r="AG121" s="3">
        <f>AG119-AG120</f>
        <v/>
      </c>
      <c r="AH121" s="3">
        <f>AH119-AH120</f>
        <v/>
      </c>
      <c r="AI121" s="3">
        <f>AI119-AI120</f>
        <v/>
      </c>
      <c r="AJ121" s="3">
        <f>AJ119-AJ120</f>
        <v/>
      </c>
      <c r="AK121" s="3">
        <f>AK119-AK120</f>
        <v/>
      </c>
      <c r="AL121" s="3">
        <f>AL119-AL120</f>
        <v/>
      </c>
      <c r="AM121" s="3">
        <f>AM119-AM120</f>
        <v/>
      </c>
      <c r="AN121" s="3">
        <f>AN119-AN120</f>
        <v/>
      </c>
      <c r="AO121" s="3">
        <f>AO119-AO120</f>
        <v/>
      </c>
      <c r="AP121" s="3">
        <f>AP119-AP120</f>
        <v/>
      </c>
      <c r="AQ121" s="3">
        <f>AQ119-AQ120</f>
        <v/>
      </c>
      <c r="AR121" s="3">
        <f>AR119-AR120</f>
        <v/>
      </c>
      <c r="AS121" s="3">
        <f>AS119-AS120</f>
        <v/>
      </c>
      <c r="AT121" s="3">
        <f>AT119-AT120</f>
        <v/>
      </c>
      <c r="AU121" s="3">
        <f>AU119-AU120</f>
        <v/>
      </c>
      <c r="AV121" s="3">
        <f>AV119-AV120</f>
        <v/>
      </c>
      <c r="AW121" s="3">
        <f>AW119-AW120</f>
        <v/>
      </c>
      <c r="AX121" s="3">
        <f>AX119-AX120</f>
        <v/>
      </c>
      <c r="AY121" s="3">
        <f>AY119-AY120</f>
        <v/>
      </c>
      <c r="AZ121" s="3">
        <f>AZ119-AZ120</f>
        <v/>
      </c>
      <c r="BA121" s="3">
        <f>BA119-BA120</f>
        <v/>
      </c>
      <c r="BB121" s="3">
        <f>BB119-BB120</f>
        <v/>
      </c>
      <c r="BC121" s="3">
        <f>BC119-BC120</f>
        <v/>
      </c>
      <c r="BD121" s="3">
        <f>BD119-BD120</f>
        <v/>
      </c>
      <c r="BE121" s="3">
        <f>BE119-BE120</f>
        <v/>
      </c>
      <c r="BF121" s="3">
        <f>BF119-BF120</f>
        <v/>
      </c>
      <c r="BG121" s="3">
        <f>BG119-BG120</f>
        <v/>
      </c>
      <c r="BH121" s="3">
        <f>BH119-BH120</f>
        <v/>
      </c>
      <c r="BI121" s="3">
        <f>BI119-BI120</f>
        <v/>
      </c>
      <c r="BJ121" s="3">
        <f>BJ119-BJ120</f>
        <v/>
      </c>
      <c r="BK121" s="3">
        <f>BK119-BK120</f>
        <v/>
      </c>
      <c r="BL121" s="3">
        <f>BL119-BL120</f>
        <v/>
      </c>
      <c r="BM121" s="3">
        <f>BM119-BM120</f>
        <v/>
      </c>
      <c r="BN121" s="3">
        <f>BN119-BN120</f>
        <v/>
      </c>
      <c r="BO121" s="3">
        <f>BO119-BO120</f>
        <v/>
      </c>
      <c r="BP121" s="3">
        <f>BP119-BP120</f>
        <v/>
      </c>
      <c r="BQ121" s="3">
        <f>BQ119-BQ120</f>
        <v/>
      </c>
      <c r="BR121" s="3">
        <f>BR119-BR120</f>
        <v/>
      </c>
      <c r="BS121" s="3">
        <f>BS119-BS120</f>
        <v/>
      </c>
      <c r="BT121" s="3">
        <f>BT119-BT120</f>
        <v/>
      </c>
      <c r="BU121" s="3">
        <f>BU119-BU120</f>
        <v/>
      </c>
      <c r="BV121" s="3">
        <f>BV119-BV120</f>
        <v/>
      </c>
    </row>
    <row r="122">
      <c r="A122" t="inlineStr">
        <is>
          <t>paid starts</t>
        </is>
      </c>
      <c r="B122" t="inlineStr">
        <is>
          <t>LATAM|BASIC_M</t>
        </is>
      </c>
      <c r="C122" s="3">
        <f>C115+C117</f>
        <v/>
      </c>
      <c r="D122" s="3">
        <f>D115+D117</f>
        <v/>
      </c>
      <c r="E122" s="3">
        <f>E115+E117</f>
        <v/>
      </c>
      <c r="F122" s="3">
        <f>F115+F117</f>
        <v/>
      </c>
      <c r="G122" s="3">
        <f>G115+G117</f>
        <v/>
      </c>
      <c r="H122" s="3">
        <f>H115+H117</f>
        <v/>
      </c>
      <c r="I122" s="3">
        <f>I115+I117</f>
        <v/>
      </c>
      <c r="J122" s="3">
        <f>J115+J117</f>
        <v/>
      </c>
      <c r="K122" s="3">
        <f>K115+K117</f>
        <v/>
      </c>
      <c r="L122" s="3">
        <f>L115+L117</f>
        <v/>
      </c>
      <c r="M122" s="3">
        <f>M115+M117</f>
        <v/>
      </c>
      <c r="N122" s="3">
        <f>N115+N117</f>
        <v/>
      </c>
      <c r="O122" s="3">
        <f>O115+O117</f>
        <v/>
      </c>
      <c r="P122" s="3">
        <f>P115+P117</f>
        <v/>
      </c>
      <c r="Q122" s="3">
        <f>Q115+Q117</f>
        <v/>
      </c>
      <c r="R122" s="3">
        <f>R115+R117</f>
        <v/>
      </c>
      <c r="S122" s="3">
        <f>S115+S117</f>
        <v/>
      </c>
      <c r="T122" s="3">
        <f>T115+T117</f>
        <v/>
      </c>
      <c r="U122" s="3">
        <f>U115+U117</f>
        <v/>
      </c>
      <c r="V122" s="3">
        <f>V115+V117</f>
        <v/>
      </c>
      <c r="W122" s="3">
        <f>W115+W117</f>
        <v/>
      </c>
      <c r="X122" s="3">
        <f>X115+X117</f>
        <v/>
      </c>
      <c r="Y122" s="3">
        <f>Y115+Y117</f>
        <v/>
      </c>
      <c r="Z122" s="3">
        <f>Z115+Z117</f>
        <v/>
      </c>
      <c r="AA122" s="3">
        <f>AA115+AA117</f>
        <v/>
      </c>
      <c r="AB122" s="3">
        <f>AB115+AB117</f>
        <v/>
      </c>
      <c r="AC122" s="3">
        <f>AC115+AC117</f>
        <v/>
      </c>
      <c r="AD122" s="3">
        <f>AD115+AD117</f>
        <v/>
      </c>
      <c r="AE122" s="3">
        <f>AE115+AE117</f>
        <v/>
      </c>
      <c r="AF122" s="3">
        <f>AF115+AF117</f>
        <v/>
      </c>
      <c r="AG122" s="3">
        <f>AG115+AG117</f>
        <v/>
      </c>
      <c r="AH122" s="3">
        <f>AH115+AH117</f>
        <v/>
      </c>
      <c r="AI122" s="3">
        <f>AI115+AI117</f>
        <v/>
      </c>
      <c r="AJ122" s="3">
        <f>AJ115+AJ117</f>
        <v/>
      </c>
      <c r="AK122" s="3">
        <f>AK115+AK117</f>
        <v/>
      </c>
      <c r="AL122" s="3">
        <f>AL115+AL117</f>
        <v/>
      </c>
      <c r="AM122" s="3">
        <f>AM115+AM117</f>
        <v/>
      </c>
      <c r="AN122" s="3">
        <f>AN115+AN117</f>
        <v/>
      </c>
      <c r="AO122" s="3">
        <f>AO115+AO117</f>
        <v/>
      </c>
      <c r="AP122" s="3">
        <f>AP115+AP117</f>
        <v/>
      </c>
      <c r="AQ122" s="3">
        <f>AQ115+AQ117</f>
        <v/>
      </c>
      <c r="AR122" s="3">
        <f>AR115+AR117</f>
        <v/>
      </c>
      <c r="AS122" s="3">
        <f>AS115+AS117</f>
        <v/>
      </c>
      <c r="AT122" s="3">
        <f>AT115+AT117</f>
        <v/>
      </c>
      <c r="AU122" s="3">
        <f>AU115+AU117</f>
        <v/>
      </c>
      <c r="AV122" s="3">
        <f>AV115+AV117</f>
        <v/>
      </c>
      <c r="AW122" s="3">
        <f>AW115+AW117</f>
        <v/>
      </c>
      <c r="AX122" s="3">
        <f>AX115+AX117</f>
        <v/>
      </c>
      <c r="AY122" s="3">
        <f>AY115+AY117</f>
        <v/>
      </c>
      <c r="AZ122" s="3">
        <f>AZ115+AZ117</f>
        <v/>
      </c>
      <c r="BA122" s="3">
        <f>BA115+BA117</f>
        <v/>
      </c>
      <c r="BB122" s="3">
        <f>BB115+BB117</f>
        <v/>
      </c>
      <c r="BC122" s="3">
        <f>BC115+BC117</f>
        <v/>
      </c>
      <c r="BD122" s="3">
        <f>BD115+BD117</f>
        <v/>
      </c>
      <c r="BE122" s="3">
        <f>BE115+BE117</f>
        <v/>
      </c>
      <c r="BF122" s="3">
        <f>BF115+BF117</f>
        <v/>
      </c>
      <c r="BG122" s="3">
        <f>BG115+BG117</f>
        <v/>
      </c>
      <c r="BH122" s="3">
        <f>BH115+BH117</f>
        <v/>
      </c>
      <c r="BI122" s="3">
        <f>BI115+BI117</f>
        <v/>
      </c>
      <c r="BJ122" s="3">
        <f>BJ115+BJ117</f>
        <v/>
      </c>
      <c r="BK122" s="3">
        <f>BK115+BK117</f>
        <v/>
      </c>
      <c r="BL122" s="3">
        <f>BL115+BL117</f>
        <v/>
      </c>
      <c r="BM122" s="3">
        <f>BM115+BM117</f>
        <v/>
      </c>
      <c r="BN122" s="3">
        <f>BN115+BN117</f>
        <v/>
      </c>
      <c r="BO122" s="3">
        <f>BO115+BO117</f>
        <v/>
      </c>
      <c r="BP122" s="3">
        <f>BP115+BP117</f>
        <v/>
      </c>
      <c r="BQ122" s="3">
        <f>BQ115+BQ117</f>
        <v/>
      </c>
      <c r="BR122" s="3">
        <f>BR115+BR117</f>
        <v/>
      </c>
      <c r="BS122" s="3">
        <f>BS115+BS117</f>
        <v/>
      </c>
      <c r="BT122" s="3">
        <f>BT115+BT117</f>
        <v/>
      </c>
      <c r="BU122" s="3">
        <f>BU115+BU117</f>
        <v/>
      </c>
      <c r="BV122" s="3">
        <f>BV115+BV117</f>
        <v/>
      </c>
    </row>
    <row r="124">
      <c r="A124" t="inlineStr">
        <is>
          <t>gross adds</t>
        </is>
      </c>
      <c r="B124" t="inlineStr">
        <is>
          <t>LATAM|BASIC_A</t>
        </is>
      </c>
      <c r="C124" s="3">
        <f>MAU!C6*Params!$B$38*Params!$B$5*Params!$B$87*Params!$B$74</f>
        <v/>
      </c>
      <c r="D124" s="3">
        <f>MAU!D6*Params!$B$38*Params!$B$5*Params!$B$87*Params!$B$74</f>
        <v/>
      </c>
      <c r="E124" s="3">
        <f>MAU!E6*Params!$B$38*Params!$B$5*Params!$B$87*Params!$B$74</f>
        <v/>
      </c>
      <c r="F124" s="3">
        <f>MAU!F6*Params!$B$38*Params!$B$5*Params!$B$87*Params!$B$74</f>
        <v/>
      </c>
      <c r="G124" s="3">
        <f>MAU!G6*Params!$B$38*Params!$B$5*Params!$B$87*Params!$B$74</f>
        <v/>
      </c>
      <c r="H124" s="3">
        <f>MAU!H6*Params!$B$38*Params!$B$5*Params!$B$87*Params!$B$74</f>
        <v/>
      </c>
      <c r="I124" s="3">
        <f>MAU!I6*Params!$B$38*Params!$B$5*Params!$B$87*Params!$B$74</f>
        <v/>
      </c>
      <c r="J124" s="3">
        <f>MAU!J6*Params!$B$38*Params!$B$5*Params!$B$87*Params!$B$74</f>
        <v/>
      </c>
      <c r="K124" s="3">
        <f>MAU!K6*Params!$B$38*Params!$B$5*Params!$B$87*Params!$B$74</f>
        <v/>
      </c>
      <c r="L124" s="3">
        <f>MAU!L6*Params!$B$38*Params!$B$5*Params!$B$87*Params!$B$74</f>
        <v/>
      </c>
      <c r="M124" s="3">
        <f>MAU!M6*Params!$B$38*Params!$B$5*Params!$B$87*Params!$B$74</f>
        <v/>
      </c>
      <c r="N124" s="3">
        <f>MAU!N6*Params!$B$38*Params!$B$5*Params!$B$87*Params!$B$74</f>
        <v/>
      </c>
      <c r="O124" s="3">
        <f>MAU!O6*Params!$B$38*Params!$B$5*Params!$B$87*Params!$B$74</f>
        <v/>
      </c>
      <c r="P124" s="3">
        <f>MAU!P6*Params!$B$38*Params!$B$5*Params!$B$87*Params!$B$74</f>
        <v/>
      </c>
      <c r="Q124" s="3">
        <f>MAU!Q6*Params!$B$38*Params!$B$5*Params!$B$87*Params!$B$74</f>
        <v/>
      </c>
      <c r="R124" s="3">
        <f>MAU!R6*Params!$B$38*Params!$B$5*Params!$B$87*Params!$B$74</f>
        <v/>
      </c>
      <c r="S124" s="3">
        <f>MAU!S6*Params!$B$38*Params!$B$5*Params!$B$87*Params!$B$74</f>
        <v/>
      </c>
      <c r="T124" s="3">
        <f>MAU!T6*Params!$B$38*Params!$B$5*Params!$B$87*Params!$B$74</f>
        <v/>
      </c>
      <c r="U124" s="3">
        <f>MAU!U6*Params!$B$38*Params!$B$5*Params!$B$87*Params!$B$74</f>
        <v/>
      </c>
      <c r="V124" s="3">
        <f>MAU!V6*Params!$B$38*Params!$B$5*Params!$B$87*Params!$B$74</f>
        <v/>
      </c>
      <c r="W124" s="3">
        <f>MAU!W6*Params!$B$38*Params!$B$5*Params!$B$87*Params!$B$74</f>
        <v/>
      </c>
      <c r="X124" s="3">
        <f>MAU!X6*Params!$B$38*Params!$B$5*Params!$B$87*Params!$B$74</f>
        <v/>
      </c>
      <c r="Y124" s="3">
        <f>MAU!Y6*Params!$B$38*Params!$B$5*Params!$B$87*Params!$B$74</f>
        <v/>
      </c>
      <c r="Z124" s="3">
        <f>MAU!Z6*Params!$B$38*Params!$B$5*Params!$B$87*Params!$B$74</f>
        <v/>
      </c>
      <c r="AA124" s="3">
        <f>MAU!AA6*Params!$B$38*Params!$B$5*Params!$B$87*Params!$B$74</f>
        <v/>
      </c>
      <c r="AB124" s="3">
        <f>MAU!AB6*Params!$B$38*Params!$B$5*Params!$B$87*Params!$B$74</f>
        <v/>
      </c>
      <c r="AC124" s="3">
        <f>MAU!AC6*Params!$B$38*Params!$B$5*Params!$B$87*Params!$B$74</f>
        <v/>
      </c>
      <c r="AD124" s="3">
        <f>MAU!AD6*Params!$B$38*Params!$B$5*Params!$B$87*Params!$B$74</f>
        <v/>
      </c>
      <c r="AE124" s="3">
        <f>MAU!AE6*Params!$B$38*Params!$B$5*Params!$B$87*Params!$B$74</f>
        <v/>
      </c>
      <c r="AF124" s="3">
        <f>MAU!AF6*Params!$B$38*Params!$B$5*Params!$B$87*Params!$B$74</f>
        <v/>
      </c>
      <c r="AG124" s="3">
        <f>MAU!AG6*Params!$B$38*Params!$B$5*Params!$B$87*Params!$B$74</f>
        <v/>
      </c>
      <c r="AH124" s="3">
        <f>MAU!AH6*Params!$B$38*Params!$B$5*Params!$B$87*Params!$B$74</f>
        <v/>
      </c>
      <c r="AI124" s="3">
        <f>MAU!AI6*Params!$B$38*Params!$B$5*Params!$B$87*Params!$B$74</f>
        <v/>
      </c>
      <c r="AJ124" s="3">
        <f>MAU!AJ6*Params!$B$38*Params!$B$5*Params!$B$87*Params!$B$74</f>
        <v/>
      </c>
      <c r="AK124" s="3">
        <f>MAU!AK6*Params!$B$38*Params!$B$5*Params!$B$87*Params!$B$74</f>
        <v/>
      </c>
      <c r="AL124" s="3">
        <f>MAU!AL6*Params!$B$38*Params!$B$5*Params!$B$87*Params!$B$74</f>
        <v/>
      </c>
      <c r="AM124" s="3">
        <f>MAU!AM6*Params!$B$38*Params!$B$5*Params!$B$87*Params!$B$74</f>
        <v/>
      </c>
      <c r="AN124" s="3">
        <f>MAU!AN6*Params!$B$38*Params!$B$5*Params!$B$87*Params!$B$74</f>
        <v/>
      </c>
      <c r="AO124" s="3">
        <f>MAU!AO6*Params!$B$38*Params!$B$5*Params!$B$87*Params!$B$74</f>
        <v/>
      </c>
      <c r="AP124" s="3">
        <f>MAU!AP6*Params!$B$38*Params!$B$5*Params!$B$87*Params!$B$74</f>
        <v/>
      </c>
      <c r="AQ124" s="3">
        <f>MAU!AQ6*Params!$B$38*Params!$B$5*Params!$B$87*Params!$B$74</f>
        <v/>
      </c>
      <c r="AR124" s="3">
        <f>MAU!AR6*Params!$B$38*Params!$B$5*Params!$B$87*Params!$B$74</f>
        <v/>
      </c>
      <c r="AS124" s="3">
        <f>MAU!AS6*Params!$B$38*Params!$B$5*Params!$B$87*Params!$B$74</f>
        <v/>
      </c>
      <c r="AT124" s="3">
        <f>MAU!AT6*Params!$B$38*Params!$B$5*Params!$B$87*Params!$B$74</f>
        <v/>
      </c>
      <c r="AU124" s="3">
        <f>MAU!AU6*Params!$B$38*Params!$B$5*Params!$B$87*Params!$B$74</f>
        <v/>
      </c>
      <c r="AV124" s="3">
        <f>MAU!AV6*Params!$B$38*Params!$B$5*Params!$B$87*Params!$B$74</f>
        <v/>
      </c>
      <c r="AW124" s="3">
        <f>MAU!AW6*Params!$B$38*Params!$B$5*Params!$B$87*Params!$B$74</f>
        <v/>
      </c>
      <c r="AX124" s="3">
        <f>MAU!AX6*Params!$B$38*Params!$B$5*Params!$B$87*Params!$B$74</f>
        <v/>
      </c>
      <c r="AY124" s="3">
        <f>MAU!AY6*Params!$B$38*Params!$B$5*Params!$B$87*Params!$B$74</f>
        <v/>
      </c>
      <c r="AZ124" s="3">
        <f>MAU!AZ6*Params!$B$38*Params!$B$5*Params!$B$87*Params!$B$74</f>
        <v/>
      </c>
      <c r="BA124" s="3">
        <f>MAU!BA6*Params!$B$38*Params!$B$5*Params!$B$87*Params!$B$74</f>
        <v/>
      </c>
      <c r="BB124" s="3">
        <f>MAU!BB6*Params!$B$38*Params!$B$5*Params!$B$87*Params!$B$74</f>
        <v/>
      </c>
      <c r="BC124" s="3">
        <f>MAU!BC6*Params!$B$38*Params!$B$5*Params!$B$87*Params!$B$74</f>
        <v/>
      </c>
      <c r="BD124" s="3">
        <f>MAU!BD6*Params!$B$38*Params!$B$5*Params!$B$87*Params!$B$74</f>
        <v/>
      </c>
      <c r="BE124" s="3">
        <f>MAU!BE6*Params!$B$38*Params!$B$5*Params!$B$87*Params!$B$74</f>
        <v/>
      </c>
      <c r="BF124" s="3">
        <f>MAU!BF6*Params!$B$38*Params!$B$5*Params!$B$87*Params!$B$74</f>
        <v/>
      </c>
      <c r="BG124" s="3">
        <f>MAU!BG6*Params!$B$38*Params!$B$5*Params!$B$87*Params!$B$74</f>
        <v/>
      </c>
      <c r="BH124" s="3">
        <f>MAU!BH6*Params!$B$38*Params!$B$5*Params!$B$87*Params!$B$74</f>
        <v/>
      </c>
      <c r="BI124" s="3">
        <f>MAU!BI6*Params!$B$38*Params!$B$5*Params!$B$87*Params!$B$74</f>
        <v/>
      </c>
      <c r="BJ124" s="3">
        <f>MAU!BJ6*Params!$B$38*Params!$B$5*Params!$B$87*Params!$B$74</f>
        <v/>
      </c>
      <c r="BK124" s="3">
        <f>MAU!BK6*Params!$B$38*Params!$B$5*Params!$B$87*Params!$B$74</f>
        <v/>
      </c>
      <c r="BL124" s="3">
        <f>MAU!BL6*Params!$B$38*Params!$B$5*Params!$B$87*Params!$B$74</f>
        <v/>
      </c>
      <c r="BM124" s="3">
        <f>MAU!BM6*Params!$B$38*Params!$B$5*Params!$B$87*Params!$B$74</f>
        <v/>
      </c>
      <c r="BN124" s="3">
        <f>MAU!BN6*Params!$B$38*Params!$B$5*Params!$B$87*Params!$B$74</f>
        <v/>
      </c>
      <c r="BO124" s="3">
        <f>MAU!BO6*Params!$B$38*Params!$B$5*Params!$B$87*Params!$B$74</f>
        <v/>
      </c>
      <c r="BP124" s="3">
        <f>MAU!BP6*Params!$B$38*Params!$B$5*Params!$B$87*Params!$B$74</f>
        <v/>
      </c>
      <c r="BQ124" s="3">
        <f>MAU!BQ6*Params!$B$38*Params!$B$5*Params!$B$87*Params!$B$74</f>
        <v/>
      </c>
      <c r="BR124" s="3">
        <f>MAU!BR6*Params!$B$38*Params!$B$5*Params!$B$87*Params!$B$74</f>
        <v/>
      </c>
      <c r="BS124" s="3">
        <f>MAU!BS6*Params!$B$38*Params!$B$5*Params!$B$87*Params!$B$74</f>
        <v/>
      </c>
      <c r="BT124" s="3">
        <f>MAU!BT6*Params!$B$38*Params!$B$5*Params!$B$87*Params!$B$74</f>
        <v/>
      </c>
      <c r="BU124" s="3">
        <f>MAU!BU6*Params!$B$38*Params!$B$5*Params!$B$87*Params!$B$74</f>
        <v/>
      </c>
      <c r="BV124" s="3">
        <f>MAU!BV6*Params!$B$38*Params!$B$5*Params!$B$87*Params!$B$74</f>
        <v/>
      </c>
    </row>
    <row r="125">
      <c r="A125" t="inlineStr">
        <is>
          <t>trial starts</t>
        </is>
      </c>
      <c r="B125" t="inlineStr">
        <is>
          <t>LATAM|BASIC_A</t>
        </is>
      </c>
      <c r="C125" s="3">
        <f>C124*Params!$B$6</f>
        <v/>
      </c>
      <c r="D125" s="3">
        <f>D124*Params!$B$6</f>
        <v/>
      </c>
      <c r="E125" s="3">
        <f>E124*Params!$B$6</f>
        <v/>
      </c>
      <c r="F125" s="3">
        <f>F124*Params!$B$6</f>
        <v/>
      </c>
      <c r="G125" s="3">
        <f>G124*Params!$B$6</f>
        <v/>
      </c>
      <c r="H125" s="3">
        <f>H124*Params!$B$6</f>
        <v/>
      </c>
      <c r="I125" s="3">
        <f>I124*Params!$B$6</f>
        <v/>
      </c>
      <c r="J125" s="3">
        <f>J124*Params!$B$6</f>
        <v/>
      </c>
      <c r="K125" s="3">
        <f>K124*Params!$B$6</f>
        <v/>
      </c>
      <c r="L125" s="3">
        <f>L124*Params!$B$6</f>
        <v/>
      </c>
      <c r="M125" s="3">
        <f>M124*Params!$B$6</f>
        <v/>
      </c>
      <c r="N125" s="3">
        <f>N124*Params!$B$6</f>
        <v/>
      </c>
      <c r="O125" s="3">
        <f>O124*Params!$B$6</f>
        <v/>
      </c>
      <c r="P125" s="3">
        <f>P124*Params!$B$6</f>
        <v/>
      </c>
      <c r="Q125" s="3">
        <f>Q124*Params!$B$6</f>
        <v/>
      </c>
      <c r="R125" s="3">
        <f>R124*Params!$B$6</f>
        <v/>
      </c>
      <c r="S125" s="3">
        <f>S124*Params!$B$6</f>
        <v/>
      </c>
      <c r="T125" s="3">
        <f>T124*Params!$B$6</f>
        <v/>
      </c>
      <c r="U125" s="3">
        <f>U124*Params!$B$6</f>
        <v/>
      </c>
      <c r="V125" s="3">
        <f>V124*Params!$B$6</f>
        <v/>
      </c>
      <c r="W125" s="3">
        <f>W124*Params!$B$6</f>
        <v/>
      </c>
      <c r="X125" s="3">
        <f>X124*Params!$B$6</f>
        <v/>
      </c>
      <c r="Y125" s="3">
        <f>Y124*Params!$B$6</f>
        <v/>
      </c>
      <c r="Z125" s="3">
        <f>Z124*Params!$B$6</f>
        <v/>
      </c>
      <c r="AA125" s="3">
        <f>AA124*Params!$B$6</f>
        <v/>
      </c>
      <c r="AB125" s="3">
        <f>AB124*Params!$B$6</f>
        <v/>
      </c>
      <c r="AC125" s="3">
        <f>AC124*Params!$B$6</f>
        <v/>
      </c>
      <c r="AD125" s="3">
        <f>AD124*Params!$B$6</f>
        <v/>
      </c>
      <c r="AE125" s="3">
        <f>AE124*Params!$B$6</f>
        <v/>
      </c>
      <c r="AF125" s="3">
        <f>AF124*Params!$B$6</f>
        <v/>
      </c>
      <c r="AG125" s="3">
        <f>AG124*Params!$B$6</f>
        <v/>
      </c>
      <c r="AH125" s="3">
        <f>AH124*Params!$B$6</f>
        <v/>
      </c>
      <c r="AI125" s="3">
        <f>AI124*Params!$B$6</f>
        <v/>
      </c>
      <c r="AJ125" s="3">
        <f>AJ124*Params!$B$6</f>
        <v/>
      </c>
      <c r="AK125" s="3">
        <f>AK124*Params!$B$6</f>
        <v/>
      </c>
      <c r="AL125" s="3">
        <f>AL124*Params!$B$6</f>
        <v/>
      </c>
      <c r="AM125" s="3">
        <f>AM124*Params!$B$6</f>
        <v/>
      </c>
      <c r="AN125" s="3">
        <f>AN124*Params!$B$6</f>
        <v/>
      </c>
      <c r="AO125" s="3">
        <f>AO124*Params!$B$6</f>
        <v/>
      </c>
      <c r="AP125" s="3">
        <f>AP124*Params!$B$6</f>
        <v/>
      </c>
      <c r="AQ125" s="3">
        <f>AQ124*Params!$B$6</f>
        <v/>
      </c>
      <c r="AR125" s="3">
        <f>AR124*Params!$B$6</f>
        <v/>
      </c>
      <c r="AS125" s="3">
        <f>AS124*Params!$B$6</f>
        <v/>
      </c>
      <c r="AT125" s="3">
        <f>AT124*Params!$B$6</f>
        <v/>
      </c>
      <c r="AU125" s="3">
        <f>AU124*Params!$B$6</f>
        <v/>
      </c>
      <c r="AV125" s="3">
        <f>AV124*Params!$B$6</f>
        <v/>
      </c>
      <c r="AW125" s="3">
        <f>AW124*Params!$B$6</f>
        <v/>
      </c>
      <c r="AX125" s="3">
        <f>AX124*Params!$B$6</f>
        <v/>
      </c>
      <c r="AY125" s="3">
        <f>AY124*Params!$B$6</f>
        <v/>
      </c>
      <c r="AZ125" s="3">
        <f>AZ124*Params!$B$6</f>
        <v/>
      </c>
      <c r="BA125" s="3">
        <f>BA124*Params!$B$6</f>
        <v/>
      </c>
      <c r="BB125" s="3">
        <f>BB124*Params!$B$6</f>
        <v/>
      </c>
      <c r="BC125" s="3">
        <f>BC124*Params!$B$6</f>
        <v/>
      </c>
      <c r="BD125" s="3">
        <f>BD124*Params!$B$6</f>
        <v/>
      </c>
      <c r="BE125" s="3">
        <f>BE124*Params!$B$6</f>
        <v/>
      </c>
      <c r="BF125" s="3">
        <f>BF124*Params!$B$6</f>
        <v/>
      </c>
      <c r="BG125" s="3">
        <f>BG124*Params!$B$6</f>
        <v/>
      </c>
      <c r="BH125" s="3">
        <f>BH124*Params!$B$6</f>
        <v/>
      </c>
      <c r="BI125" s="3">
        <f>BI124*Params!$B$6</f>
        <v/>
      </c>
      <c r="BJ125" s="3">
        <f>BJ124*Params!$B$6</f>
        <v/>
      </c>
      <c r="BK125" s="3">
        <f>BK124*Params!$B$6</f>
        <v/>
      </c>
      <c r="BL125" s="3">
        <f>BL124*Params!$B$6</f>
        <v/>
      </c>
      <c r="BM125" s="3">
        <f>BM124*Params!$B$6</f>
        <v/>
      </c>
      <c r="BN125" s="3">
        <f>BN124*Params!$B$6</f>
        <v/>
      </c>
      <c r="BO125" s="3">
        <f>BO124*Params!$B$6</f>
        <v/>
      </c>
      <c r="BP125" s="3">
        <f>BP124*Params!$B$6</f>
        <v/>
      </c>
      <c r="BQ125" s="3">
        <f>BQ124*Params!$B$6</f>
        <v/>
      </c>
      <c r="BR125" s="3">
        <f>BR124*Params!$B$6</f>
        <v/>
      </c>
      <c r="BS125" s="3">
        <f>BS124*Params!$B$6</f>
        <v/>
      </c>
      <c r="BT125" s="3">
        <f>BT124*Params!$B$6</f>
        <v/>
      </c>
      <c r="BU125" s="3">
        <f>BU124*Params!$B$6</f>
        <v/>
      </c>
      <c r="BV125" s="3">
        <f>BV124*Params!$B$6</f>
        <v/>
      </c>
    </row>
    <row r="126">
      <c r="A126" t="inlineStr">
        <is>
          <t>direct paid starts</t>
        </is>
      </c>
      <c r="B126" t="inlineStr">
        <is>
          <t>LATAM|BASIC_A</t>
        </is>
      </c>
      <c r="C126" s="3">
        <f>C124-C125</f>
        <v/>
      </c>
      <c r="D126" s="3">
        <f>D124-D125</f>
        <v/>
      </c>
      <c r="E126" s="3">
        <f>E124-E125</f>
        <v/>
      </c>
      <c r="F126" s="3">
        <f>F124-F125</f>
        <v/>
      </c>
      <c r="G126" s="3">
        <f>G124-G125</f>
        <v/>
      </c>
      <c r="H126" s="3">
        <f>H124-H125</f>
        <v/>
      </c>
      <c r="I126" s="3">
        <f>I124-I125</f>
        <v/>
      </c>
      <c r="J126" s="3">
        <f>J124-J125</f>
        <v/>
      </c>
      <c r="K126" s="3">
        <f>K124-K125</f>
        <v/>
      </c>
      <c r="L126" s="3">
        <f>L124-L125</f>
        <v/>
      </c>
      <c r="M126" s="3">
        <f>M124-M125</f>
        <v/>
      </c>
      <c r="N126" s="3">
        <f>N124-N125</f>
        <v/>
      </c>
      <c r="O126" s="3">
        <f>O124-O125</f>
        <v/>
      </c>
      <c r="P126" s="3">
        <f>P124-P125</f>
        <v/>
      </c>
      <c r="Q126" s="3">
        <f>Q124-Q125</f>
        <v/>
      </c>
      <c r="R126" s="3">
        <f>R124-R125</f>
        <v/>
      </c>
      <c r="S126" s="3">
        <f>S124-S125</f>
        <v/>
      </c>
      <c r="T126" s="3">
        <f>T124-T125</f>
        <v/>
      </c>
      <c r="U126" s="3">
        <f>U124-U125</f>
        <v/>
      </c>
      <c r="V126" s="3">
        <f>V124-V125</f>
        <v/>
      </c>
      <c r="W126" s="3">
        <f>W124-W125</f>
        <v/>
      </c>
      <c r="X126" s="3">
        <f>X124-X125</f>
        <v/>
      </c>
      <c r="Y126" s="3">
        <f>Y124-Y125</f>
        <v/>
      </c>
      <c r="Z126" s="3">
        <f>Z124-Z125</f>
        <v/>
      </c>
      <c r="AA126" s="3">
        <f>AA124-AA125</f>
        <v/>
      </c>
      <c r="AB126" s="3">
        <f>AB124-AB125</f>
        <v/>
      </c>
      <c r="AC126" s="3">
        <f>AC124-AC125</f>
        <v/>
      </c>
      <c r="AD126" s="3">
        <f>AD124-AD125</f>
        <v/>
      </c>
      <c r="AE126" s="3">
        <f>AE124-AE125</f>
        <v/>
      </c>
      <c r="AF126" s="3">
        <f>AF124-AF125</f>
        <v/>
      </c>
      <c r="AG126" s="3">
        <f>AG124-AG125</f>
        <v/>
      </c>
      <c r="AH126" s="3">
        <f>AH124-AH125</f>
        <v/>
      </c>
      <c r="AI126" s="3">
        <f>AI124-AI125</f>
        <v/>
      </c>
      <c r="AJ126" s="3">
        <f>AJ124-AJ125</f>
        <v/>
      </c>
      <c r="AK126" s="3">
        <f>AK124-AK125</f>
        <v/>
      </c>
      <c r="AL126" s="3">
        <f>AL124-AL125</f>
        <v/>
      </c>
      <c r="AM126" s="3">
        <f>AM124-AM125</f>
        <v/>
      </c>
      <c r="AN126" s="3">
        <f>AN124-AN125</f>
        <v/>
      </c>
      <c r="AO126" s="3">
        <f>AO124-AO125</f>
        <v/>
      </c>
      <c r="AP126" s="3">
        <f>AP124-AP125</f>
        <v/>
      </c>
      <c r="AQ126" s="3">
        <f>AQ124-AQ125</f>
        <v/>
      </c>
      <c r="AR126" s="3">
        <f>AR124-AR125</f>
        <v/>
      </c>
      <c r="AS126" s="3">
        <f>AS124-AS125</f>
        <v/>
      </c>
      <c r="AT126" s="3">
        <f>AT124-AT125</f>
        <v/>
      </c>
      <c r="AU126" s="3">
        <f>AU124-AU125</f>
        <v/>
      </c>
      <c r="AV126" s="3">
        <f>AV124-AV125</f>
        <v/>
      </c>
      <c r="AW126" s="3">
        <f>AW124-AW125</f>
        <v/>
      </c>
      <c r="AX126" s="3">
        <f>AX124-AX125</f>
        <v/>
      </c>
      <c r="AY126" s="3">
        <f>AY124-AY125</f>
        <v/>
      </c>
      <c r="AZ126" s="3">
        <f>AZ124-AZ125</f>
        <v/>
      </c>
      <c r="BA126" s="3">
        <f>BA124-BA125</f>
        <v/>
      </c>
      <c r="BB126" s="3">
        <f>BB124-BB125</f>
        <v/>
      </c>
      <c r="BC126" s="3">
        <f>BC124-BC125</f>
        <v/>
      </c>
      <c r="BD126" s="3">
        <f>BD124-BD125</f>
        <v/>
      </c>
      <c r="BE126" s="3">
        <f>BE124-BE125</f>
        <v/>
      </c>
      <c r="BF126" s="3">
        <f>BF124-BF125</f>
        <v/>
      </c>
      <c r="BG126" s="3">
        <f>BG124-BG125</f>
        <v/>
      </c>
      <c r="BH126" s="3">
        <f>BH124-BH125</f>
        <v/>
      </c>
      <c r="BI126" s="3">
        <f>BI124-BI125</f>
        <v/>
      </c>
      <c r="BJ126" s="3">
        <f>BJ124-BJ125</f>
        <v/>
      </c>
      <c r="BK126" s="3">
        <f>BK124-BK125</f>
        <v/>
      </c>
      <c r="BL126" s="3">
        <f>BL124-BL125</f>
        <v/>
      </c>
      <c r="BM126" s="3">
        <f>BM124-BM125</f>
        <v/>
      </c>
      <c r="BN126" s="3">
        <f>BN124-BN125</f>
        <v/>
      </c>
      <c r="BO126" s="3">
        <f>BO124-BO125</f>
        <v/>
      </c>
      <c r="BP126" s="3">
        <f>BP124-BP125</f>
        <v/>
      </c>
      <c r="BQ126" s="3">
        <f>BQ124-BQ125</f>
        <v/>
      </c>
      <c r="BR126" s="3">
        <f>BR124-BR125</f>
        <v/>
      </c>
      <c r="BS126" s="3">
        <f>BS124-BS125</f>
        <v/>
      </c>
      <c r="BT126" s="3">
        <f>BT124-BT125</f>
        <v/>
      </c>
      <c r="BU126" s="3">
        <f>BU124-BU125</f>
        <v/>
      </c>
      <c r="BV126" s="3">
        <f>BV124-BV125</f>
        <v/>
      </c>
    </row>
    <row r="127">
      <c r="A127" t="inlineStr">
        <is>
          <t>trials ending</t>
        </is>
      </c>
      <c r="B127" t="inlineStr">
        <is>
          <t>LATAM|BASIC_A</t>
        </is>
      </c>
      <c r="C127" s="3">
        <f>IF(C$2&gt;=Params!$B$7,INDEX($C$125:$BV$125,C$2-Params!$B$7+1),0)</f>
        <v/>
      </c>
      <c r="D127" s="3">
        <f>IF(D$2&gt;=Params!$B$7,INDEX($C$125:$BV$125,D$2-Params!$B$7+1),0)</f>
        <v/>
      </c>
      <c r="E127" s="3">
        <f>IF(E$2&gt;=Params!$B$7,INDEX($C$125:$BV$125,E$2-Params!$B$7+1),0)</f>
        <v/>
      </c>
      <c r="F127" s="3">
        <f>IF(F$2&gt;=Params!$B$7,INDEX($C$125:$BV$125,F$2-Params!$B$7+1),0)</f>
        <v/>
      </c>
      <c r="G127" s="3">
        <f>IF(G$2&gt;=Params!$B$7,INDEX($C$125:$BV$125,G$2-Params!$B$7+1),0)</f>
        <v/>
      </c>
      <c r="H127" s="3">
        <f>IF(H$2&gt;=Params!$B$7,INDEX($C$125:$BV$125,H$2-Params!$B$7+1),0)</f>
        <v/>
      </c>
      <c r="I127" s="3">
        <f>IF(I$2&gt;=Params!$B$7,INDEX($C$125:$BV$125,I$2-Params!$B$7+1),0)</f>
        <v/>
      </c>
      <c r="J127" s="3">
        <f>IF(J$2&gt;=Params!$B$7,INDEX($C$125:$BV$125,J$2-Params!$B$7+1),0)</f>
        <v/>
      </c>
      <c r="K127" s="3">
        <f>IF(K$2&gt;=Params!$B$7,INDEX($C$125:$BV$125,K$2-Params!$B$7+1),0)</f>
        <v/>
      </c>
      <c r="L127" s="3">
        <f>IF(L$2&gt;=Params!$B$7,INDEX($C$125:$BV$125,L$2-Params!$B$7+1),0)</f>
        <v/>
      </c>
      <c r="M127" s="3">
        <f>IF(M$2&gt;=Params!$B$7,INDEX($C$125:$BV$125,M$2-Params!$B$7+1),0)</f>
        <v/>
      </c>
      <c r="N127" s="3">
        <f>IF(N$2&gt;=Params!$B$7,INDEX($C$125:$BV$125,N$2-Params!$B$7+1),0)</f>
        <v/>
      </c>
      <c r="O127" s="3">
        <f>IF(O$2&gt;=Params!$B$7,INDEX($C$125:$BV$125,O$2-Params!$B$7+1),0)</f>
        <v/>
      </c>
      <c r="P127" s="3">
        <f>IF(P$2&gt;=Params!$B$7,INDEX($C$125:$BV$125,P$2-Params!$B$7+1),0)</f>
        <v/>
      </c>
      <c r="Q127" s="3">
        <f>IF(Q$2&gt;=Params!$B$7,INDEX($C$125:$BV$125,Q$2-Params!$B$7+1),0)</f>
        <v/>
      </c>
      <c r="R127" s="3">
        <f>IF(R$2&gt;=Params!$B$7,INDEX($C$125:$BV$125,R$2-Params!$B$7+1),0)</f>
        <v/>
      </c>
      <c r="S127" s="3">
        <f>IF(S$2&gt;=Params!$B$7,INDEX($C$125:$BV$125,S$2-Params!$B$7+1),0)</f>
        <v/>
      </c>
      <c r="T127" s="3">
        <f>IF(T$2&gt;=Params!$B$7,INDEX($C$125:$BV$125,T$2-Params!$B$7+1),0)</f>
        <v/>
      </c>
      <c r="U127" s="3">
        <f>IF(U$2&gt;=Params!$B$7,INDEX($C$125:$BV$125,U$2-Params!$B$7+1),0)</f>
        <v/>
      </c>
      <c r="V127" s="3">
        <f>IF(V$2&gt;=Params!$B$7,INDEX($C$125:$BV$125,V$2-Params!$B$7+1),0)</f>
        <v/>
      </c>
      <c r="W127" s="3">
        <f>IF(W$2&gt;=Params!$B$7,INDEX($C$125:$BV$125,W$2-Params!$B$7+1),0)</f>
        <v/>
      </c>
      <c r="X127" s="3">
        <f>IF(X$2&gt;=Params!$B$7,INDEX($C$125:$BV$125,X$2-Params!$B$7+1),0)</f>
        <v/>
      </c>
      <c r="Y127" s="3">
        <f>IF(Y$2&gt;=Params!$B$7,INDEX($C$125:$BV$125,Y$2-Params!$B$7+1),0)</f>
        <v/>
      </c>
      <c r="Z127" s="3">
        <f>IF(Z$2&gt;=Params!$B$7,INDEX($C$125:$BV$125,Z$2-Params!$B$7+1),0)</f>
        <v/>
      </c>
      <c r="AA127" s="3">
        <f>IF(AA$2&gt;=Params!$B$7,INDEX($C$125:$BV$125,AA$2-Params!$B$7+1),0)</f>
        <v/>
      </c>
      <c r="AB127" s="3">
        <f>IF(AB$2&gt;=Params!$B$7,INDEX($C$125:$BV$125,AB$2-Params!$B$7+1),0)</f>
        <v/>
      </c>
      <c r="AC127" s="3">
        <f>IF(AC$2&gt;=Params!$B$7,INDEX($C$125:$BV$125,AC$2-Params!$B$7+1),0)</f>
        <v/>
      </c>
      <c r="AD127" s="3">
        <f>IF(AD$2&gt;=Params!$B$7,INDEX($C$125:$BV$125,AD$2-Params!$B$7+1),0)</f>
        <v/>
      </c>
      <c r="AE127" s="3">
        <f>IF(AE$2&gt;=Params!$B$7,INDEX($C$125:$BV$125,AE$2-Params!$B$7+1),0)</f>
        <v/>
      </c>
      <c r="AF127" s="3">
        <f>IF(AF$2&gt;=Params!$B$7,INDEX($C$125:$BV$125,AF$2-Params!$B$7+1),0)</f>
        <v/>
      </c>
      <c r="AG127" s="3">
        <f>IF(AG$2&gt;=Params!$B$7,INDEX($C$125:$BV$125,AG$2-Params!$B$7+1),0)</f>
        <v/>
      </c>
      <c r="AH127" s="3">
        <f>IF(AH$2&gt;=Params!$B$7,INDEX($C$125:$BV$125,AH$2-Params!$B$7+1),0)</f>
        <v/>
      </c>
      <c r="AI127" s="3">
        <f>IF(AI$2&gt;=Params!$B$7,INDEX($C$125:$BV$125,AI$2-Params!$B$7+1),0)</f>
        <v/>
      </c>
      <c r="AJ127" s="3">
        <f>IF(AJ$2&gt;=Params!$B$7,INDEX($C$125:$BV$125,AJ$2-Params!$B$7+1),0)</f>
        <v/>
      </c>
      <c r="AK127" s="3">
        <f>IF(AK$2&gt;=Params!$B$7,INDEX($C$125:$BV$125,AK$2-Params!$B$7+1),0)</f>
        <v/>
      </c>
      <c r="AL127" s="3">
        <f>IF(AL$2&gt;=Params!$B$7,INDEX($C$125:$BV$125,AL$2-Params!$B$7+1),0)</f>
        <v/>
      </c>
      <c r="AM127" s="3">
        <f>IF(AM$2&gt;=Params!$B$7,INDEX($C$125:$BV$125,AM$2-Params!$B$7+1),0)</f>
        <v/>
      </c>
      <c r="AN127" s="3">
        <f>IF(AN$2&gt;=Params!$B$7,INDEX($C$125:$BV$125,AN$2-Params!$B$7+1),0)</f>
        <v/>
      </c>
      <c r="AO127" s="3">
        <f>IF(AO$2&gt;=Params!$B$7,INDEX($C$125:$BV$125,AO$2-Params!$B$7+1),0)</f>
        <v/>
      </c>
      <c r="AP127" s="3">
        <f>IF(AP$2&gt;=Params!$B$7,INDEX($C$125:$BV$125,AP$2-Params!$B$7+1),0)</f>
        <v/>
      </c>
      <c r="AQ127" s="3">
        <f>IF(AQ$2&gt;=Params!$B$7,INDEX($C$125:$BV$125,AQ$2-Params!$B$7+1),0)</f>
        <v/>
      </c>
      <c r="AR127" s="3">
        <f>IF(AR$2&gt;=Params!$B$7,INDEX($C$125:$BV$125,AR$2-Params!$B$7+1),0)</f>
        <v/>
      </c>
      <c r="AS127" s="3">
        <f>IF(AS$2&gt;=Params!$B$7,INDEX($C$125:$BV$125,AS$2-Params!$B$7+1),0)</f>
        <v/>
      </c>
      <c r="AT127" s="3">
        <f>IF(AT$2&gt;=Params!$B$7,INDEX($C$125:$BV$125,AT$2-Params!$B$7+1),0)</f>
        <v/>
      </c>
      <c r="AU127" s="3">
        <f>IF(AU$2&gt;=Params!$B$7,INDEX($C$125:$BV$125,AU$2-Params!$B$7+1),0)</f>
        <v/>
      </c>
      <c r="AV127" s="3">
        <f>IF(AV$2&gt;=Params!$B$7,INDEX($C$125:$BV$125,AV$2-Params!$B$7+1),0)</f>
        <v/>
      </c>
      <c r="AW127" s="3">
        <f>IF(AW$2&gt;=Params!$B$7,INDEX($C$125:$BV$125,AW$2-Params!$B$7+1),0)</f>
        <v/>
      </c>
      <c r="AX127" s="3">
        <f>IF(AX$2&gt;=Params!$B$7,INDEX($C$125:$BV$125,AX$2-Params!$B$7+1),0)</f>
        <v/>
      </c>
      <c r="AY127" s="3">
        <f>IF(AY$2&gt;=Params!$B$7,INDEX($C$125:$BV$125,AY$2-Params!$B$7+1),0)</f>
        <v/>
      </c>
      <c r="AZ127" s="3">
        <f>IF(AZ$2&gt;=Params!$B$7,INDEX($C$125:$BV$125,AZ$2-Params!$B$7+1),0)</f>
        <v/>
      </c>
      <c r="BA127" s="3">
        <f>IF(BA$2&gt;=Params!$B$7,INDEX($C$125:$BV$125,BA$2-Params!$B$7+1),0)</f>
        <v/>
      </c>
      <c r="BB127" s="3">
        <f>IF(BB$2&gt;=Params!$B$7,INDEX($C$125:$BV$125,BB$2-Params!$B$7+1),0)</f>
        <v/>
      </c>
      <c r="BC127" s="3">
        <f>IF(BC$2&gt;=Params!$B$7,INDEX($C$125:$BV$125,BC$2-Params!$B$7+1),0)</f>
        <v/>
      </c>
      <c r="BD127" s="3">
        <f>IF(BD$2&gt;=Params!$B$7,INDEX($C$125:$BV$125,BD$2-Params!$B$7+1),0)</f>
        <v/>
      </c>
      <c r="BE127" s="3">
        <f>IF(BE$2&gt;=Params!$B$7,INDEX($C$125:$BV$125,BE$2-Params!$B$7+1),0)</f>
        <v/>
      </c>
      <c r="BF127" s="3">
        <f>IF(BF$2&gt;=Params!$B$7,INDEX($C$125:$BV$125,BF$2-Params!$B$7+1),0)</f>
        <v/>
      </c>
      <c r="BG127" s="3">
        <f>IF(BG$2&gt;=Params!$B$7,INDEX($C$125:$BV$125,BG$2-Params!$B$7+1),0)</f>
        <v/>
      </c>
      <c r="BH127" s="3">
        <f>IF(BH$2&gt;=Params!$B$7,INDEX($C$125:$BV$125,BH$2-Params!$B$7+1),0)</f>
        <v/>
      </c>
      <c r="BI127" s="3">
        <f>IF(BI$2&gt;=Params!$B$7,INDEX($C$125:$BV$125,BI$2-Params!$B$7+1),0)</f>
        <v/>
      </c>
      <c r="BJ127" s="3">
        <f>IF(BJ$2&gt;=Params!$B$7,INDEX($C$125:$BV$125,BJ$2-Params!$B$7+1),0)</f>
        <v/>
      </c>
      <c r="BK127" s="3">
        <f>IF(BK$2&gt;=Params!$B$7,INDEX($C$125:$BV$125,BK$2-Params!$B$7+1),0)</f>
        <v/>
      </c>
      <c r="BL127" s="3">
        <f>IF(BL$2&gt;=Params!$B$7,INDEX($C$125:$BV$125,BL$2-Params!$B$7+1),0)</f>
        <v/>
      </c>
      <c r="BM127" s="3">
        <f>IF(BM$2&gt;=Params!$B$7,INDEX($C$125:$BV$125,BM$2-Params!$B$7+1),0)</f>
        <v/>
      </c>
      <c r="BN127" s="3">
        <f>IF(BN$2&gt;=Params!$B$7,INDEX($C$125:$BV$125,BN$2-Params!$B$7+1),0)</f>
        <v/>
      </c>
      <c r="BO127" s="3">
        <f>IF(BO$2&gt;=Params!$B$7,INDEX($C$125:$BV$125,BO$2-Params!$B$7+1),0)</f>
        <v/>
      </c>
      <c r="BP127" s="3">
        <f>IF(BP$2&gt;=Params!$B$7,INDEX($C$125:$BV$125,BP$2-Params!$B$7+1),0)</f>
        <v/>
      </c>
      <c r="BQ127" s="3">
        <f>IF(BQ$2&gt;=Params!$B$7,INDEX($C$125:$BV$125,BQ$2-Params!$B$7+1),0)</f>
        <v/>
      </c>
      <c r="BR127" s="3">
        <f>IF(BR$2&gt;=Params!$B$7,INDEX($C$125:$BV$125,BR$2-Params!$B$7+1),0)</f>
        <v/>
      </c>
      <c r="BS127" s="3">
        <f>IF(BS$2&gt;=Params!$B$7,INDEX($C$125:$BV$125,BS$2-Params!$B$7+1),0)</f>
        <v/>
      </c>
      <c r="BT127" s="3">
        <f>IF(BT$2&gt;=Params!$B$7,INDEX($C$125:$BV$125,BT$2-Params!$B$7+1),0)</f>
        <v/>
      </c>
      <c r="BU127" s="3">
        <f>IF(BU$2&gt;=Params!$B$7,INDEX($C$125:$BV$125,BU$2-Params!$B$7+1),0)</f>
        <v/>
      </c>
      <c r="BV127" s="3">
        <f>IF(BV$2&gt;=Params!$B$7,INDEX($C$125:$BV$125,BV$2-Params!$B$7+1),0)</f>
        <v/>
      </c>
    </row>
    <row r="128">
      <c r="A128" t="inlineStr">
        <is>
          <t>trials converted</t>
        </is>
      </c>
      <c r="B128" t="inlineStr">
        <is>
          <t>LATAM|BASIC_A</t>
        </is>
      </c>
      <c r="C128" s="3">
        <f>C127*Params!$B$8</f>
        <v/>
      </c>
      <c r="D128" s="3">
        <f>D127*Params!$B$8</f>
        <v/>
      </c>
      <c r="E128" s="3">
        <f>E127*Params!$B$8</f>
        <v/>
      </c>
      <c r="F128" s="3">
        <f>F127*Params!$B$8</f>
        <v/>
      </c>
      <c r="G128" s="3">
        <f>G127*Params!$B$8</f>
        <v/>
      </c>
      <c r="H128" s="3">
        <f>H127*Params!$B$8</f>
        <v/>
      </c>
      <c r="I128" s="3">
        <f>I127*Params!$B$8</f>
        <v/>
      </c>
      <c r="J128" s="3">
        <f>J127*Params!$B$8</f>
        <v/>
      </c>
      <c r="K128" s="3">
        <f>K127*Params!$B$8</f>
        <v/>
      </c>
      <c r="L128" s="3">
        <f>L127*Params!$B$8</f>
        <v/>
      </c>
      <c r="M128" s="3">
        <f>M127*Params!$B$8</f>
        <v/>
      </c>
      <c r="N128" s="3">
        <f>N127*Params!$B$8</f>
        <v/>
      </c>
      <c r="O128" s="3">
        <f>O127*Params!$B$8</f>
        <v/>
      </c>
      <c r="P128" s="3">
        <f>P127*Params!$B$8</f>
        <v/>
      </c>
      <c r="Q128" s="3">
        <f>Q127*Params!$B$8</f>
        <v/>
      </c>
      <c r="R128" s="3">
        <f>R127*Params!$B$8</f>
        <v/>
      </c>
      <c r="S128" s="3">
        <f>S127*Params!$B$8</f>
        <v/>
      </c>
      <c r="T128" s="3">
        <f>T127*Params!$B$8</f>
        <v/>
      </c>
      <c r="U128" s="3">
        <f>U127*Params!$B$8</f>
        <v/>
      </c>
      <c r="V128" s="3">
        <f>V127*Params!$B$8</f>
        <v/>
      </c>
      <c r="W128" s="3">
        <f>W127*Params!$B$8</f>
        <v/>
      </c>
      <c r="X128" s="3">
        <f>X127*Params!$B$8</f>
        <v/>
      </c>
      <c r="Y128" s="3">
        <f>Y127*Params!$B$8</f>
        <v/>
      </c>
      <c r="Z128" s="3">
        <f>Z127*Params!$B$8</f>
        <v/>
      </c>
      <c r="AA128" s="3">
        <f>AA127*Params!$B$8</f>
        <v/>
      </c>
      <c r="AB128" s="3">
        <f>AB127*Params!$B$8</f>
        <v/>
      </c>
      <c r="AC128" s="3">
        <f>AC127*Params!$B$8</f>
        <v/>
      </c>
      <c r="AD128" s="3">
        <f>AD127*Params!$B$8</f>
        <v/>
      </c>
      <c r="AE128" s="3">
        <f>AE127*Params!$B$8</f>
        <v/>
      </c>
      <c r="AF128" s="3">
        <f>AF127*Params!$B$8</f>
        <v/>
      </c>
      <c r="AG128" s="3">
        <f>AG127*Params!$B$8</f>
        <v/>
      </c>
      <c r="AH128" s="3">
        <f>AH127*Params!$B$8</f>
        <v/>
      </c>
      <c r="AI128" s="3">
        <f>AI127*Params!$B$8</f>
        <v/>
      </c>
      <c r="AJ128" s="3">
        <f>AJ127*Params!$B$8</f>
        <v/>
      </c>
      <c r="AK128" s="3">
        <f>AK127*Params!$B$8</f>
        <v/>
      </c>
      <c r="AL128" s="3">
        <f>AL127*Params!$B$8</f>
        <v/>
      </c>
      <c r="AM128" s="3">
        <f>AM127*Params!$B$8</f>
        <v/>
      </c>
      <c r="AN128" s="3">
        <f>AN127*Params!$B$8</f>
        <v/>
      </c>
      <c r="AO128" s="3">
        <f>AO127*Params!$B$8</f>
        <v/>
      </c>
      <c r="AP128" s="3">
        <f>AP127*Params!$B$8</f>
        <v/>
      </c>
      <c r="AQ128" s="3">
        <f>AQ127*Params!$B$8</f>
        <v/>
      </c>
      <c r="AR128" s="3">
        <f>AR127*Params!$B$8</f>
        <v/>
      </c>
      <c r="AS128" s="3">
        <f>AS127*Params!$B$8</f>
        <v/>
      </c>
      <c r="AT128" s="3">
        <f>AT127*Params!$B$8</f>
        <v/>
      </c>
      <c r="AU128" s="3">
        <f>AU127*Params!$B$8</f>
        <v/>
      </c>
      <c r="AV128" s="3">
        <f>AV127*Params!$B$8</f>
        <v/>
      </c>
      <c r="AW128" s="3">
        <f>AW127*Params!$B$8</f>
        <v/>
      </c>
      <c r="AX128" s="3">
        <f>AX127*Params!$B$8</f>
        <v/>
      </c>
      <c r="AY128" s="3">
        <f>AY127*Params!$B$8</f>
        <v/>
      </c>
      <c r="AZ128" s="3">
        <f>AZ127*Params!$B$8</f>
        <v/>
      </c>
      <c r="BA128" s="3">
        <f>BA127*Params!$B$8</f>
        <v/>
      </c>
      <c r="BB128" s="3">
        <f>BB127*Params!$B$8</f>
        <v/>
      </c>
      <c r="BC128" s="3">
        <f>BC127*Params!$B$8</f>
        <v/>
      </c>
      <c r="BD128" s="3">
        <f>BD127*Params!$B$8</f>
        <v/>
      </c>
      <c r="BE128" s="3">
        <f>BE127*Params!$B$8</f>
        <v/>
      </c>
      <c r="BF128" s="3">
        <f>BF127*Params!$B$8</f>
        <v/>
      </c>
      <c r="BG128" s="3">
        <f>BG127*Params!$B$8</f>
        <v/>
      </c>
      <c r="BH128" s="3">
        <f>BH127*Params!$B$8</f>
        <v/>
      </c>
      <c r="BI128" s="3">
        <f>BI127*Params!$B$8</f>
        <v/>
      </c>
      <c r="BJ128" s="3">
        <f>BJ127*Params!$B$8</f>
        <v/>
      </c>
      <c r="BK128" s="3">
        <f>BK127*Params!$B$8</f>
        <v/>
      </c>
      <c r="BL128" s="3">
        <f>BL127*Params!$B$8</f>
        <v/>
      </c>
      <c r="BM128" s="3">
        <f>BM127*Params!$B$8</f>
        <v/>
      </c>
      <c r="BN128" s="3">
        <f>BN127*Params!$B$8</f>
        <v/>
      </c>
      <c r="BO128" s="3">
        <f>BO127*Params!$B$8</f>
        <v/>
      </c>
      <c r="BP128" s="3">
        <f>BP127*Params!$B$8</f>
        <v/>
      </c>
      <c r="BQ128" s="3">
        <f>BQ127*Params!$B$8</f>
        <v/>
      </c>
      <c r="BR128" s="3">
        <f>BR127*Params!$B$8</f>
        <v/>
      </c>
      <c r="BS128" s="3">
        <f>BS127*Params!$B$8</f>
        <v/>
      </c>
      <c r="BT128" s="3">
        <f>BT127*Params!$B$8</f>
        <v/>
      </c>
      <c r="BU128" s="3">
        <f>BU127*Params!$B$8</f>
        <v/>
      </c>
      <c r="BV128" s="3">
        <f>BV127*Params!$B$8</f>
        <v/>
      </c>
    </row>
    <row r="129">
      <c r="A129" t="inlineStr">
        <is>
          <t>trials lost</t>
        </is>
      </c>
      <c r="B129" t="inlineStr">
        <is>
          <t>LATAM|BASIC_A</t>
        </is>
      </c>
      <c r="C129" s="3">
        <f>C127-C128</f>
        <v/>
      </c>
      <c r="D129" s="3">
        <f>D127-D128</f>
        <v/>
      </c>
      <c r="E129" s="3">
        <f>E127-E128</f>
        <v/>
      </c>
      <c r="F129" s="3">
        <f>F127-F128</f>
        <v/>
      </c>
      <c r="G129" s="3">
        <f>G127-G128</f>
        <v/>
      </c>
      <c r="H129" s="3">
        <f>H127-H128</f>
        <v/>
      </c>
      <c r="I129" s="3">
        <f>I127-I128</f>
        <v/>
      </c>
      <c r="J129" s="3">
        <f>J127-J128</f>
        <v/>
      </c>
      <c r="K129" s="3">
        <f>K127-K128</f>
        <v/>
      </c>
      <c r="L129" s="3">
        <f>L127-L128</f>
        <v/>
      </c>
      <c r="M129" s="3">
        <f>M127-M128</f>
        <v/>
      </c>
      <c r="N129" s="3">
        <f>N127-N128</f>
        <v/>
      </c>
      <c r="O129" s="3">
        <f>O127-O128</f>
        <v/>
      </c>
      <c r="P129" s="3">
        <f>P127-P128</f>
        <v/>
      </c>
      <c r="Q129" s="3">
        <f>Q127-Q128</f>
        <v/>
      </c>
      <c r="R129" s="3">
        <f>R127-R128</f>
        <v/>
      </c>
      <c r="S129" s="3">
        <f>S127-S128</f>
        <v/>
      </c>
      <c r="T129" s="3">
        <f>T127-T128</f>
        <v/>
      </c>
      <c r="U129" s="3">
        <f>U127-U128</f>
        <v/>
      </c>
      <c r="V129" s="3">
        <f>V127-V128</f>
        <v/>
      </c>
      <c r="W129" s="3">
        <f>W127-W128</f>
        <v/>
      </c>
      <c r="X129" s="3">
        <f>X127-X128</f>
        <v/>
      </c>
      <c r="Y129" s="3">
        <f>Y127-Y128</f>
        <v/>
      </c>
      <c r="Z129" s="3">
        <f>Z127-Z128</f>
        <v/>
      </c>
      <c r="AA129" s="3">
        <f>AA127-AA128</f>
        <v/>
      </c>
      <c r="AB129" s="3">
        <f>AB127-AB128</f>
        <v/>
      </c>
      <c r="AC129" s="3">
        <f>AC127-AC128</f>
        <v/>
      </c>
      <c r="AD129" s="3">
        <f>AD127-AD128</f>
        <v/>
      </c>
      <c r="AE129" s="3">
        <f>AE127-AE128</f>
        <v/>
      </c>
      <c r="AF129" s="3">
        <f>AF127-AF128</f>
        <v/>
      </c>
      <c r="AG129" s="3">
        <f>AG127-AG128</f>
        <v/>
      </c>
      <c r="AH129" s="3">
        <f>AH127-AH128</f>
        <v/>
      </c>
      <c r="AI129" s="3">
        <f>AI127-AI128</f>
        <v/>
      </c>
      <c r="AJ129" s="3">
        <f>AJ127-AJ128</f>
        <v/>
      </c>
      <c r="AK129" s="3">
        <f>AK127-AK128</f>
        <v/>
      </c>
      <c r="AL129" s="3">
        <f>AL127-AL128</f>
        <v/>
      </c>
      <c r="AM129" s="3">
        <f>AM127-AM128</f>
        <v/>
      </c>
      <c r="AN129" s="3">
        <f>AN127-AN128</f>
        <v/>
      </c>
      <c r="AO129" s="3">
        <f>AO127-AO128</f>
        <v/>
      </c>
      <c r="AP129" s="3">
        <f>AP127-AP128</f>
        <v/>
      </c>
      <c r="AQ129" s="3">
        <f>AQ127-AQ128</f>
        <v/>
      </c>
      <c r="AR129" s="3">
        <f>AR127-AR128</f>
        <v/>
      </c>
      <c r="AS129" s="3">
        <f>AS127-AS128</f>
        <v/>
      </c>
      <c r="AT129" s="3">
        <f>AT127-AT128</f>
        <v/>
      </c>
      <c r="AU129" s="3">
        <f>AU127-AU128</f>
        <v/>
      </c>
      <c r="AV129" s="3">
        <f>AV127-AV128</f>
        <v/>
      </c>
      <c r="AW129" s="3">
        <f>AW127-AW128</f>
        <v/>
      </c>
      <c r="AX129" s="3">
        <f>AX127-AX128</f>
        <v/>
      </c>
      <c r="AY129" s="3">
        <f>AY127-AY128</f>
        <v/>
      </c>
      <c r="AZ129" s="3">
        <f>AZ127-AZ128</f>
        <v/>
      </c>
      <c r="BA129" s="3">
        <f>BA127-BA128</f>
        <v/>
      </c>
      <c r="BB129" s="3">
        <f>BB127-BB128</f>
        <v/>
      </c>
      <c r="BC129" s="3">
        <f>BC127-BC128</f>
        <v/>
      </c>
      <c r="BD129" s="3">
        <f>BD127-BD128</f>
        <v/>
      </c>
      <c r="BE129" s="3">
        <f>BE127-BE128</f>
        <v/>
      </c>
      <c r="BF129" s="3">
        <f>BF127-BF128</f>
        <v/>
      </c>
      <c r="BG129" s="3">
        <f>BG127-BG128</f>
        <v/>
      </c>
      <c r="BH129" s="3">
        <f>BH127-BH128</f>
        <v/>
      </c>
      <c r="BI129" s="3">
        <f>BI127-BI128</f>
        <v/>
      </c>
      <c r="BJ129" s="3">
        <f>BJ127-BJ128</f>
        <v/>
      </c>
      <c r="BK129" s="3">
        <f>BK127-BK128</f>
        <v/>
      </c>
      <c r="BL129" s="3">
        <f>BL127-BL128</f>
        <v/>
      </c>
      <c r="BM129" s="3">
        <f>BM127-BM128</f>
        <v/>
      </c>
      <c r="BN129" s="3">
        <f>BN127-BN128</f>
        <v/>
      </c>
      <c r="BO129" s="3">
        <f>BO127-BO128</f>
        <v/>
      </c>
      <c r="BP129" s="3">
        <f>BP127-BP128</f>
        <v/>
      </c>
      <c r="BQ129" s="3">
        <f>BQ127-BQ128</f>
        <v/>
      </c>
      <c r="BR129" s="3">
        <f>BR127-BR128</f>
        <v/>
      </c>
      <c r="BS129" s="3">
        <f>BS127-BS128</f>
        <v/>
      </c>
      <c r="BT129" s="3">
        <f>BT127-BT128</f>
        <v/>
      </c>
      <c r="BU129" s="3">
        <f>BU127-BU128</f>
        <v/>
      </c>
      <c r="BV129" s="3">
        <f>BV127-BV128</f>
        <v/>
      </c>
    </row>
    <row r="130">
      <c r="A130" t="inlineStr">
        <is>
          <t>cum trial starts</t>
        </is>
      </c>
      <c r="B130" t="inlineStr">
        <is>
          <t>LATAM|BASIC_A</t>
        </is>
      </c>
      <c r="C130" s="3">
        <f>SUM($C125:C125)</f>
        <v/>
      </c>
      <c r="D130" s="3">
        <f>SUM($C125:D125)</f>
        <v/>
      </c>
      <c r="E130" s="3">
        <f>SUM($C125:E125)</f>
        <v/>
      </c>
      <c r="F130" s="3">
        <f>SUM($C125:F125)</f>
        <v/>
      </c>
      <c r="G130" s="3">
        <f>SUM($C125:G125)</f>
        <v/>
      </c>
      <c r="H130" s="3">
        <f>SUM($C125:H125)</f>
        <v/>
      </c>
      <c r="I130" s="3">
        <f>SUM($C125:I125)</f>
        <v/>
      </c>
      <c r="J130" s="3">
        <f>SUM($C125:J125)</f>
        <v/>
      </c>
      <c r="K130" s="3">
        <f>SUM($C125:K125)</f>
        <v/>
      </c>
      <c r="L130" s="3">
        <f>SUM($C125:L125)</f>
        <v/>
      </c>
      <c r="M130" s="3">
        <f>SUM($C125:M125)</f>
        <v/>
      </c>
      <c r="N130" s="3">
        <f>SUM($C125:N125)</f>
        <v/>
      </c>
      <c r="O130" s="3">
        <f>SUM($C125:O125)</f>
        <v/>
      </c>
      <c r="P130" s="3">
        <f>SUM($C125:P125)</f>
        <v/>
      </c>
      <c r="Q130" s="3">
        <f>SUM($C125:Q125)</f>
        <v/>
      </c>
      <c r="R130" s="3">
        <f>SUM($C125:R125)</f>
        <v/>
      </c>
      <c r="S130" s="3">
        <f>SUM($C125:S125)</f>
        <v/>
      </c>
      <c r="T130" s="3">
        <f>SUM($C125:T125)</f>
        <v/>
      </c>
      <c r="U130" s="3">
        <f>SUM($C125:U125)</f>
        <v/>
      </c>
      <c r="V130" s="3">
        <f>SUM($C125:V125)</f>
        <v/>
      </c>
      <c r="W130" s="3">
        <f>SUM($C125:W125)</f>
        <v/>
      </c>
      <c r="X130" s="3">
        <f>SUM($C125:X125)</f>
        <v/>
      </c>
      <c r="Y130" s="3">
        <f>SUM($C125:Y125)</f>
        <v/>
      </c>
      <c r="Z130" s="3">
        <f>SUM($C125:Z125)</f>
        <v/>
      </c>
      <c r="AA130" s="3">
        <f>SUM($C125:AA125)</f>
        <v/>
      </c>
      <c r="AB130" s="3">
        <f>SUM($C125:AB125)</f>
        <v/>
      </c>
      <c r="AC130" s="3">
        <f>SUM($C125:AC125)</f>
        <v/>
      </c>
      <c r="AD130" s="3">
        <f>SUM($C125:AD125)</f>
        <v/>
      </c>
      <c r="AE130" s="3">
        <f>SUM($C125:AE125)</f>
        <v/>
      </c>
      <c r="AF130" s="3">
        <f>SUM($C125:AF125)</f>
        <v/>
      </c>
      <c r="AG130" s="3">
        <f>SUM($C125:AG125)</f>
        <v/>
      </c>
      <c r="AH130" s="3">
        <f>SUM($C125:AH125)</f>
        <v/>
      </c>
      <c r="AI130" s="3">
        <f>SUM($C125:AI125)</f>
        <v/>
      </c>
      <c r="AJ130" s="3">
        <f>SUM($C125:AJ125)</f>
        <v/>
      </c>
      <c r="AK130" s="3">
        <f>SUM($C125:AK125)</f>
        <v/>
      </c>
      <c r="AL130" s="3">
        <f>SUM($C125:AL125)</f>
        <v/>
      </c>
      <c r="AM130" s="3">
        <f>SUM($C125:AM125)</f>
        <v/>
      </c>
      <c r="AN130" s="3">
        <f>SUM($C125:AN125)</f>
        <v/>
      </c>
      <c r="AO130" s="3">
        <f>SUM($C125:AO125)</f>
        <v/>
      </c>
      <c r="AP130" s="3">
        <f>SUM($C125:AP125)</f>
        <v/>
      </c>
      <c r="AQ130" s="3">
        <f>SUM($C125:AQ125)</f>
        <v/>
      </c>
      <c r="AR130" s="3">
        <f>SUM($C125:AR125)</f>
        <v/>
      </c>
      <c r="AS130" s="3">
        <f>SUM($C125:AS125)</f>
        <v/>
      </c>
      <c r="AT130" s="3">
        <f>SUM($C125:AT125)</f>
        <v/>
      </c>
      <c r="AU130" s="3">
        <f>SUM($C125:AU125)</f>
        <v/>
      </c>
      <c r="AV130" s="3">
        <f>SUM($C125:AV125)</f>
        <v/>
      </c>
      <c r="AW130" s="3">
        <f>SUM($C125:AW125)</f>
        <v/>
      </c>
      <c r="AX130" s="3">
        <f>SUM($C125:AX125)</f>
        <v/>
      </c>
      <c r="AY130" s="3">
        <f>SUM($C125:AY125)</f>
        <v/>
      </c>
      <c r="AZ130" s="3">
        <f>SUM($C125:AZ125)</f>
        <v/>
      </c>
      <c r="BA130" s="3">
        <f>SUM($C125:BA125)</f>
        <v/>
      </c>
      <c r="BB130" s="3">
        <f>SUM($C125:BB125)</f>
        <v/>
      </c>
      <c r="BC130" s="3">
        <f>SUM($C125:BC125)</f>
        <v/>
      </c>
      <c r="BD130" s="3">
        <f>SUM($C125:BD125)</f>
        <v/>
      </c>
      <c r="BE130" s="3">
        <f>SUM($C125:BE125)</f>
        <v/>
      </c>
      <c r="BF130" s="3">
        <f>SUM($C125:BF125)</f>
        <v/>
      </c>
      <c r="BG130" s="3">
        <f>SUM($C125:BG125)</f>
        <v/>
      </c>
      <c r="BH130" s="3">
        <f>SUM($C125:BH125)</f>
        <v/>
      </c>
      <c r="BI130" s="3">
        <f>SUM($C125:BI125)</f>
        <v/>
      </c>
      <c r="BJ130" s="3">
        <f>SUM($C125:BJ125)</f>
        <v/>
      </c>
      <c r="BK130" s="3">
        <f>SUM($C125:BK125)</f>
        <v/>
      </c>
      <c r="BL130" s="3">
        <f>SUM($C125:BL125)</f>
        <v/>
      </c>
      <c r="BM130" s="3">
        <f>SUM($C125:BM125)</f>
        <v/>
      </c>
      <c r="BN130" s="3">
        <f>SUM($C125:BN125)</f>
        <v/>
      </c>
      <c r="BO130" s="3">
        <f>SUM($C125:BO125)</f>
        <v/>
      </c>
      <c r="BP130" s="3">
        <f>SUM($C125:BP125)</f>
        <v/>
      </c>
      <c r="BQ130" s="3">
        <f>SUM($C125:BQ125)</f>
        <v/>
      </c>
      <c r="BR130" s="3">
        <f>SUM($C125:BR125)</f>
        <v/>
      </c>
      <c r="BS130" s="3">
        <f>SUM($C125:BS125)</f>
        <v/>
      </c>
      <c r="BT130" s="3">
        <f>SUM($C125:BT125)</f>
        <v/>
      </c>
      <c r="BU130" s="3">
        <f>SUM($C125:BU125)</f>
        <v/>
      </c>
      <c r="BV130" s="3">
        <f>SUM($C125:BV125)</f>
        <v/>
      </c>
    </row>
    <row r="131">
      <c r="A131" t="inlineStr">
        <is>
          <t>cum trials ending</t>
        </is>
      </c>
      <c r="B131" t="inlineStr">
        <is>
          <t>LATAM|BASIC_A</t>
        </is>
      </c>
      <c r="C131" s="3">
        <f>SUM($C127:C127)</f>
        <v/>
      </c>
      <c r="D131" s="3">
        <f>SUM($C127:D127)</f>
        <v/>
      </c>
      <c r="E131" s="3">
        <f>SUM($C127:E127)</f>
        <v/>
      </c>
      <c r="F131" s="3">
        <f>SUM($C127:F127)</f>
        <v/>
      </c>
      <c r="G131" s="3">
        <f>SUM($C127:G127)</f>
        <v/>
      </c>
      <c r="H131" s="3">
        <f>SUM($C127:H127)</f>
        <v/>
      </c>
      <c r="I131" s="3">
        <f>SUM($C127:I127)</f>
        <v/>
      </c>
      <c r="J131" s="3">
        <f>SUM($C127:J127)</f>
        <v/>
      </c>
      <c r="K131" s="3">
        <f>SUM($C127:K127)</f>
        <v/>
      </c>
      <c r="L131" s="3">
        <f>SUM($C127:L127)</f>
        <v/>
      </c>
      <c r="M131" s="3">
        <f>SUM($C127:M127)</f>
        <v/>
      </c>
      <c r="N131" s="3">
        <f>SUM($C127:N127)</f>
        <v/>
      </c>
      <c r="O131" s="3">
        <f>SUM($C127:O127)</f>
        <v/>
      </c>
      <c r="P131" s="3">
        <f>SUM($C127:P127)</f>
        <v/>
      </c>
      <c r="Q131" s="3">
        <f>SUM($C127:Q127)</f>
        <v/>
      </c>
      <c r="R131" s="3">
        <f>SUM($C127:R127)</f>
        <v/>
      </c>
      <c r="S131" s="3">
        <f>SUM($C127:S127)</f>
        <v/>
      </c>
      <c r="T131" s="3">
        <f>SUM($C127:T127)</f>
        <v/>
      </c>
      <c r="U131" s="3">
        <f>SUM($C127:U127)</f>
        <v/>
      </c>
      <c r="V131" s="3">
        <f>SUM($C127:V127)</f>
        <v/>
      </c>
      <c r="W131" s="3">
        <f>SUM($C127:W127)</f>
        <v/>
      </c>
      <c r="X131" s="3">
        <f>SUM($C127:X127)</f>
        <v/>
      </c>
      <c r="Y131" s="3">
        <f>SUM($C127:Y127)</f>
        <v/>
      </c>
      <c r="Z131" s="3">
        <f>SUM($C127:Z127)</f>
        <v/>
      </c>
      <c r="AA131" s="3">
        <f>SUM($C127:AA127)</f>
        <v/>
      </c>
      <c r="AB131" s="3">
        <f>SUM($C127:AB127)</f>
        <v/>
      </c>
      <c r="AC131" s="3">
        <f>SUM($C127:AC127)</f>
        <v/>
      </c>
      <c r="AD131" s="3">
        <f>SUM($C127:AD127)</f>
        <v/>
      </c>
      <c r="AE131" s="3">
        <f>SUM($C127:AE127)</f>
        <v/>
      </c>
      <c r="AF131" s="3">
        <f>SUM($C127:AF127)</f>
        <v/>
      </c>
      <c r="AG131" s="3">
        <f>SUM($C127:AG127)</f>
        <v/>
      </c>
      <c r="AH131" s="3">
        <f>SUM($C127:AH127)</f>
        <v/>
      </c>
      <c r="AI131" s="3">
        <f>SUM($C127:AI127)</f>
        <v/>
      </c>
      <c r="AJ131" s="3">
        <f>SUM($C127:AJ127)</f>
        <v/>
      </c>
      <c r="AK131" s="3">
        <f>SUM($C127:AK127)</f>
        <v/>
      </c>
      <c r="AL131" s="3">
        <f>SUM($C127:AL127)</f>
        <v/>
      </c>
      <c r="AM131" s="3">
        <f>SUM($C127:AM127)</f>
        <v/>
      </c>
      <c r="AN131" s="3">
        <f>SUM($C127:AN127)</f>
        <v/>
      </c>
      <c r="AO131" s="3">
        <f>SUM($C127:AO127)</f>
        <v/>
      </c>
      <c r="AP131" s="3">
        <f>SUM($C127:AP127)</f>
        <v/>
      </c>
      <c r="AQ131" s="3">
        <f>SUM($C127:AQ127)</f>
        <v/>
      </c>
      <c r="AR131" s="3">
        <f>SUM($C127:AR127)</f>
        <v/>
      </c>
      <c r="AS131" s="3">
        <f>SUM($C127:AS127)</f>
        <v/>
      </c>
      <c r="AT131" s="3">
        <f>SUM($C127:AT127)</f>
        <v/>
      </c>
      <c r="AU131" s="3">
        <f>SUM($C127:AU127)</f>
        <v/>
      </c>
      <c r="AV131" s="3">
        <f>SUM($C127:AV127)</f>
        <v/>
      </c>
      <c r="AW131" s="3">
        <f>SUM($C127:AW127)</f>
        <v/>
      </c>
      <c r="AX131" s="3">
        <f>SUM($C127:AX127)</f>
        <v/>
      </c>
      <c r="AY131" s="3">
        <f>SUM($C127:AY127)</f>
        <v/>
      </c>
      <c r="AZ131" s="3">
        <f>SUM($C127:AZ127)</f>
        <v/>
      </c>
      <c r="BA131" s="3">
        <f>SUM($C127:BA127)</f>
        <v/>
      </c>
      <c r="BB131" s="3">
        <f>SUM($C127:BB127)</f>
        <v/>
      </c>
      <c r="BC131" s="3">
        <f>SUM($C127:BC127)</f>
        <v/>
      </c>
      <c r="BD131" s="3">
        <f>SUM($C127:BD127)</f>
        <v/>
      </c>
      <c r="BE131" s="3">
        <f>SUM($C127:BE127)</f>
        <v/>
      </c>
      <c r="BF131" s="3">
        <f>SUM($C127:BF127)</f>
        <v/>
      </c>
      <c r="BG131" s="3">
        <f>SUM($C127:BG127)</f>
        <v/>
      </c>
      <c r="BH131" s="3">
        <f>SUM($C127:BH127)</f>
        <v/>
      </c>
      <c r="BI131" s="3">
        <f>SUM($C127:BI127)</f>
        <v/>
      </c>
      <c r="BJ131" s="3">
        <f>SUM($C127:BJ127)</f>
        <v/>
      </c>
      <c r="BK131" s="3">
        <f>SUM($C127:BK127)</f>
        <v/>
      </c>
      <c r="BL131" s="3">
        <f>SUM($C127:BL127)</f>
        <v/>
      </c>
      <c r="BM131" s="3">
        <f>SUM($C127:BM127)</f>
        <v/>
      </c>
      <c r="BN131" s="3">
        <f>SUM($C127:BN127)</f>
        <v/>
      </c>
      <c r="BO131" s="3">
        <f>SUM($C127:BO127)</f>
        <v/>
      </c>
      <c r="BP131" s="3">
        <f>SUM($C127:BP127)</f>
        <v/>
      </c>
      <c r="BQ131" s="3">
        <f>SUM($C127:BQ127)</f>
        <v/>
      </c>
      <c r="BR131" s="3">
        <f>SUM($C127:BR127)</f>
        <v/>
      </c>
      <c r="BS131" s="3">
        <f>SUM($C127:BS127)</f>
        <v/>
      </c>
      <c r="BT131" s="3">
        <f>SUM($C127:BT127)</f>
        <v/>
      </c>
      <c r="BU131" s="3">
        <f>SUM($C127:BU127)</f>
        <v/>
      </c>
      <c r="BV131" s="3">
        <f>SUM($C127:BV127)</f>
        <v/>
      </c>
    </row>
    <row r="132">
      <c r="A132" t="inlineStr">
        <is>
          <t>trials active</t>
        </is>
      </c>
      <c r="B132" t="inlineStr">
        <is>
          <t>LATAM|BASIC_A</t>
        </is>
      </c>
      <c r="C132" s="3">
        <f>C130-C131</f>
        <v/>
      </c>
      <c r="D132" s="3">
        <f>D130-D131</f>
        <v/>
      </c>
      <c r="E132" s="3">
        <f>E130-E131</f>
        <v/>
      </c>
      <c r="F132" s="3">
        <f>F130-F131</f>
        <v/>
      </c>
      <c r="G132" s="3">
        <f>G130-G131</f>
        <v/>
      </c>
      <c r="H132" s="3">
        <f>H130-H131</f>
        <v/>
      </c>
      <c r="I132" s="3">
        <f>I130-I131</f>
        <v/>
      </c>
      <c r="J132" s="3">
        <f>J130-J131</f>
        <v/>
      </c>
      <c r="K132" s="3">
        <f>K130-K131</f>
        <v/>
      </c>
      <c r="L132" s="3">
        <f>L130-L131</f>
        <v/>
      </c>
      <c r="M132" s="3">
        <f>M130-M131</f>
        <v/>
      </c>
      <c r="N132" s="3">
        <f>N130-N131</f>
        <v/>
      </c>
      <c r="O132" s="3">
        <f>O130-O131</f>
        <v/>
      </c>
      <c r="P132" s="3">
        <f>P130-P131</f>
        <v/>
      </c>
      <c r="Q132" s="3">
        <f>Q130-Q131</f>
        <v/>
      </c>
      <c r="R132" s="3">
        <f>R130-R131</f>
        <v/>
      </c>
      <c r="S132" s="3">
        <f>S130-S131</f>
        <v/>
      </c>
      <c r="T132" s="3">
        <f>T130-T131</f>
        <v/>
      </c>
      <c r="U132" s="3">
        <f>U130-U131</f>
        <v/>
      </c>
      <c r="V132" s="3">
        <f>V130-V131</f>
        <v/>
      </c>
      <c r="W132" s="3">
        <f>W130-W131</f>
        <v/>
      </c>
      <c r="X132" s="3">
        <f>X130-X131</f>
        <v/>
      </c>
      <c r="Y132" s="3">
        <f>Y130-Y131</f>
        <v/>
      </c>
      <c r="Z132" s="3">
        <f>Z130-Z131</f>
        <v/>
      </c>
      <c r="AA132" s="3">
        <f>AA130-AA131</f>
        <v/>
      </c>
      <c r="AB132" s="3">
        <f>AB130-AB131</f>
        <v/>
      </c>
      <c r="AC132" s="3">
        <f>AC130-AC131</f>
        <v/>
      </c>
      <c r="AD132" s="3">
        <f>AD130-AD131</f>
        <v/>
      </c>
      <c r="AE132" s="3">
        <f>AE130-AE131</f>
        <v/>
      </c>
      <c r="AF132" s="3">
        <f>AF130-AF131</f>
        <v/>
      </c>
      <c r="AG132" s="3">
        <f>AG130-AG131</f>
        <v/>
      </c>
      <c r="AH132" s="3">
        <f>AH130-AH131</f>
        <v/>
      </c>
      <c r="AI132" s="3">
        <f>AI130-AI131</f>
        <v/>
      </c>
      <c r="AJ132" s="3">
        <f>AJ130-AJ131</f>
        <v/>
      </c>
      <c r="AK132" s="3">
        <f>AK130-AK131</f>
        <v/>
      </c>
      <c r="AL132" s="3">
        <f>AL130-AL131</f>
        <v/>
      </c>
      <c r="AM132" s="3">
        <f>AM130-AM131</f>
        <v/>
      </c>
      <c r="AN132" s="3">
        <f>AN130-AN131</f>
        <v/>
      </c>
      <c r="AO132" s="3">
        <f>AO130-AO131</f>
        <v/>
      </c>
      <c r="AP132" s="3">
        <f>AP130-AP131</f>
        <v/>
      </c>
      <c r="AQ132" s="3">
        <f>AQ130-AQ131</f>
        <v/>
      </c>
      <c r="AR132" s="3">
        <f>AR130-AR131</f>
        <v/>
      </c>
      <c r="AS132" s="3">
        <f>AS130-AS131</f>
        <v/>
      </c>
      <c r="AT132" s="3">
        <f>AT130-AT131</f>
        <v/>
      </c>
      <c r="AU132" s="3">
        <f>AU130-AU131</f>
        <v/>
      </c>
      <c r="AV132" s="3">
        <f>AV130-AV131</f>
        <v/>
      </c>
      <c r="AW132" s="3">
        <f>AW130-AW131</f>
        <v/>
      </c>
      <c r="AX132" s="3">
        <f>AX130-AX131</f>
        <v/>
      </c>
      <c r="AY132" s="3">
        <f>AY130-AY131</f>
        <v/>
      </c>
      <c r="AZ132" s="3">
        <f>AZ130-AZ131</f>
        <v/>
      </c>
      <c r="BA132" s="3">
        <f>BA130-BA131</f>
        <v/>
      </c>
      <c r="BB132" s="3">
        <f>BB130-BB131</f>
        <v/>
      </c>
      <c r="BC132" s="3">
        <f>BC130-BC131</f>
        <v/>
      </c>
      <c r="BD132" s="3">
        <f>BD130-BD131</f>
        <v/>
      </c>
      <c r="BE132" s="3">
        <f>BE130-BE131</f>
        <v/>
      </c>
      <c r="BF132" s="3">
        <f>BF130-BF131</f>
        <v/>
      </c>
      <c r="BG132" s="3">
        <f>BG130-BG131</f>
        <v/>
      </c>
      <c r="BH132" s="3">
        <f>BH130-BH131</f>
        <v/>
      </c>
      <c r="BI132" s="3">
        <f>BI130-BI131</f>
        <v/>
      </c>
      <c r="BJ132" s="3">
        <f>BJ130-BJ131</f>
        <v/>
      </c>
      <c r="BK132" s="3">
        <f>BK130-BK131</f>
        <v/>
      </c>
      <c r="BL132" s="3">
        <f>BL130-BL131</f>
        <v/>
      </c>
      <c r="BM132" s="3">
        <f>BM130-BM131</f>
        <v/>
      </c>
      <c r="BN132" s="3">
        <f>BN130-BN131</f>
        <v/>
      </c>
      <c r="BO132" s="3">
        <f>BO130-BO131</f>
        <v/>
      </c>
      <c r="BP132" s="3">
        <f>BP130-BP131</f>
        <v/>
      </c>
      <c r="BQ132" s="3">
        <f>BQ130-BQ131</f>
        <v/>
      </c>
      <c r="BR132" s="3">
        <f>BR130-BR131</f>
        <v/>
      </c>
      <c r="BS132" s="3">
        <f>BS130-BS131</f>
        <v/>
      </c>
      <c r="BT132" s="3">
        <f>BT130-BT131</f>
        <v/>
      </c>
      <c r="BU132" s="3">
        <f>BU130-BU131</f>
        <v/>
      </c>
      <c r="BV132" s="3">
        <f>BV130-BV131</f>
        <v/>
      </c>
    </row>
    <row r="133">
      <c r="A133" t="inlineStr">
        <is>
          <t>paid starts</t>
        </is>
      </c>
      <c r="B133" t="inlineStr">
        <is>
          <t>LATAM|BASIC_A</t>
        </is>
      </c>
      <c r="C133" s="3">
        <f>C126+C128</f>
        <v/>
      </c>
      <c r="D133" s="3">
        <f>D126+D128</f>
        <v/>
      </c>
      <c r="E133" s="3">
        <f>E126+E128</f>
        <v/>
      </c>
      <c r="F133" s="3">
        <f>F126+F128</f>
        <v/>
      </c>
      <c r="G133" s="3">
        <f>G126+G128</f>
        <v/>
      </c>
      <c r="H133" s="3">
        <f>H126+H128</f>
        <v/>
      </c>
      <c r="I133" s="3">
        <f>I126+I128</f>
        <v/>
      </c>
      <c r="J133" s="3">
        <f>J126+J128</f>
        <v/>
      </c>
      <c r="K133" s="3">
        <f>K126+K128</f>
        <v/>
      </c>
      <c r="L133" s="3">
        <f>L126+L128</f>
        <v/>
      </c>
      <c r="M133" s="3">
        <f>M126+M128</f>
        <v/>
      </c>
      <c r="N133" s="3">
        <f>N126+N128</f>
        <v/>
      </c>
      <c r="O133" s="3">
        <f>O126+O128</f>
        <v/>
      </c>
      <c r="P133" s="3">
        <f>P126+P128</f>
        <v/>
      </c>
      <c r="Q133" s="3">
        <f>Q126+Q128</f>
        <v/>
      </c>
      <c r="R133" s="3">
        <f>R126+R128</f>
        <v/>
      </c>
      <c r="S133" s="3">
        <f>S126+S128</f>
        <v/>
      </c>
      <c r="T133" s="3">
        <f>T126+T128</f>
        <v/>
      </c>
      <c r="U133" s="3">
        <f>U126+U128</f>
        <v/>
      </c>
      <c r="V133" s="3">
        <f>V126+V128</f>
        <v/>
      </c>
      <c r="W133" s="3">
        <f>W126+W128</f>
        <v/>
      </c>
      <c r="X133" s="3">
        <f>X126+X128</f>
        <v/>
      </c>
      <c r="Y133" s="3">
        <f>Y126+Y128</f>
        <v/>
      </c>
      <c r="Z133" s="3">
        <f>Z126+Z128</f>
        <v/>
      </c>
      <c r="AA133" s="3">
        <f>AA126+AA128</f>
        <v/>
      </c>
      <c r="AB133" s="3">
        <f>AB126+AB128</f>
        <v/>
      </c>
      <c r="AC133" s="3">
        <f>AC126+AC128</f>
        <v/>
      </c>
      <c r="AD133" s="3">
        <f>AD126+AD128</f>
        <v/>
      </c>
      <c r="AE133" s="3">
        <f>AE126+AE128</f>
        <v/>
      </c>
      <c r="AF133" s="3">
        <f>AF126+AF128</f>
        <v/>
      </c>
      <c r="AG133" s="3">
        <f>AG126+AG128</f>
        <v/>
      </c>
      <c r="AH133" s="3">
        <f>AH126+AH128</f>
        <v/>
      </c>
      <c r="AI133" s="3">
        <f>AI126+AI128</f>
        <v/>
      </c>
      <c r="AJ133" s="3">
        <f>AJ126+AJ128</f>
        <v/>
      </c>
      <c r="AK133" s="3">
        <f>AK126+AK128</f>
        <v/>
      </c>
      <c r="AL133" s="3">
        <f>AL126+AL128</f>
        <v/>
      </c>
      <c r="AM133" s="3">
        <f>AM126+AM128</f>
        <v/>
      </c>
      <c r="AN133" s="3">
        <f>AN126+AN128</f>
        <v/>
      </c>
      <c r="AO133" s="3">
        <f>AO126+AO128</f>
        <v/>
      </c>
      <c r="AP133" s="3">
        <f>AP126+AP128</f>
        <v/>
      </c>
      <c r="AQ133" s="3">
        <f>AQ126+AQ128</f>
        <v/>
      </c>
      <c r="AR133" s="3">
        <f>AR126+AR128</f>
        <v/>
      </c>
      <c r="AS133" s="3">
        <f>AS126+AS128</f>
        <v/>
      </c>
      <c r="AT133" s="3">
        <f>AT126+AT128</f>
        <v/>
      </c>
      <c r="AU133" s="3">
        <f>AU126+AU128</f>
        <v/>
      </c>
      <c r="AV133" s="3">
        <f>AV126+AV128</f>
        <v/>
      </c>
      <c r="AW133" s="3">
        <f>AW126+AW128</f>
        <v/>
      </c>
      <c r="AX133" s="3">
        <f>AX126+AX128</f>
        <v/>
      </c>
      <c r="AY133" s="3">
        <f>AY126+AY128</f>
        <v/>
      </c>
      <c r="AZ133" s="3">
        <f>AZ126+AZ128</f>
        <v/>
      </c>
      <c r="BA133" s="3">
        <f>BA126+BA128</f>
        <v/>
      </c>
      <c r="BB133" s="3">
        <f>BB126+BB128</f>
        <v/>
      </c>
      <c r="BC133" s="3">
        <f>BC126+BC128</f>
        <v/>
      </c>
      <c r="BD133" s="3">
        <f>BD126+BD128</f>
        <v/>
      </c>
      <c r="BE133" s="3">
        <f>BE126+BE128</f>
        <v/>
      </c>
      <c r="BF133" s="3">
        <f>BF126+BF128</f>
        <v/>
      </c>
      <c r="BG133" s="3">
        <f>BG126+BG128</f>
        <v/>
      </c>
      <c r="BH133" s="3">
        <f>BH126+BH128</f>
        <v/>
      </c>
      <c r="BI133" s="3">
        <f>BI126+BI128</f>
        <v/>
      </c>
      <c r="BJ133" s="3">
        <f>BJ126+BJ128</f>
        <v/>
      </c>
      <c r="BK133" s="3">
        <f>BK126+BK128</f>
        <v/>
      </c>
      <c r="BL133" s="3">
        <f>BL126+BL128</f>
        <v/>
      </c>
      <c r="BM133" s="3">
        <f>BM126+BM128</f>
        <v/>
      </c>
      <c r="BN133" s="3">
        <f>BN126+BN128</f>
        <v/>
      </c>
      <c r="BO133" s="3">
        <f>BO126+BO128</f>
        <v/>
      </c>
      <c r="BP133" s="3">
        <f>BP126+BP128</f>
        <v/>
      </c>
      <c r="BQ133" s="3">
        <f>BQ126+BQ128</f>
        <v/>
      </c>
      <c r="BR133" s="3">
        <f>BR126+BR128</f>
        <v/>
      </c>
      <c r="BS133" s="3">
        <f>BS126+BS128</f>
        <v/>
      </c>
      <c r="BT133" s="3">
        <f>BT126+BT128</f>
        <v/>
      </c>
      <c r="BU133" s="3">
        <f>BU126+BU128</f>
        <v/>
      </c>
      <c r="BV133" s="3">
        <f>BV126+BV128</f>
        <v/>
      </c>
    </row>
    <row r="135">
      <c r="A135" t="inlineStr">
        <is>
          <t>gross adds</t>
        </is>
      </c>
      <c r="B135" t="inlineStr">
        <is>
          <t>APAC|NITRO_M</t>
        </is>
      </c>
      <c r="C135" s="3">
        <f>MAU!C7*Params!$B$39*Params!$B$5*Params!$B$87*Params!$B$71</f>
        <v/>
      </c>
      <c r="D135" s="3">
        <f>MAU!D7*Params!$B$39*Params!$B$5*Params!$B$87*Params!$B$71</f>
        <v/>
      </c>
      <c r="E135" s="3">
        <f>MAU!E7*Params!$B$39*Params!$B$5*Params!$B$87*Params!$B$71</f>
        <v/>
      </c>
      <c r="F135" s="3">
        <f>MAU!F7*Params!$B$39*Params!$B$5*Params!$B$87*Params!$B$71</f>
        <v/>
      </c>
      <c r="G135" s="3">
        <f>MAU!G7*Params!$B$39*Params!$B$5*Params!$B$87*Params!$B$71</f>
        <v/>
      </c>
      <c r="H135" s="3">
        <f>MAU!H7*Params!$B$39*Params!$B$5*Params!$B$87*Params!$B$71</f>
        <v/>
      </c>
      <c r="I135" s="3">
        <f>MAU!I7*Params!$B$39*Params!$B$5*Params!$B$87*Params!$B$71</f>
        <v/>
      </c>
      <c r="J135" s="3">
        <f>MAU!J7*Params!$B$39*Params!$B$5*Params!$B$87*Params!$B$71</f>
        <v/>
      </c>
      <c r="K135" s="3">
        <f>MAU!K7*Params!$B$39*Params!$B$5*Params!$B$87*Params!$B$71</f>
        <v/>
      </c>
      <c r="L135" s="3">
        <f>MAU!L7*Params!$B$39*Params!$B$5*Params!$B$87*Params!$B$71</f>
        <v/>
      </c>
      <c r="M135" s="3">
        <f>MAU!M7*Params!$B$39*Params!$B$5*Params!$B$87*Params!$B$71</f>
        <v/>
      </c>
      <c r="N135" s="3">
        <f>MAU!N7*Params!$B$39*Params!$B$5*Params!$B$87*Params!$B$71</f>
        <v/>
      </c>
      <c r="O135" s="3">
        <f>MAU!O7*Params!$B$39*Params!$B$5*Params!$B$87*Params!$B$71</f>
        <v/>
      </c>
      <c r="P135" s="3">
        <f>MAU!P7*Params!$B$39*Params!$B$5*Params!$B$87*Params!$B$71</f>
        <v/>
      </c>
      <c r="Q135" s="3">
        <f>MAU!Q7*Params!$B$39*Params!$B$5*Params!$B$87*Params!$B$71</f>
        <v/>
      </c>
      <c r="R135" s="3">
        <f>MAU!R7*Params!$B$39*Params!$B$5*Params!$B$87*Params!$B$71</f>
        <v/>
      </c>
      <c r="S135" s="3">
        <f>MAU!S7*Params!$B$39*Params!$B$5*Params!$B$87*Params!$B$71</f>
        <v/>
      </c>
      <c r="T135" s="3">
        <f>MAU!T7*Params!$B$39*Params!$B$5*Params!$B$87*Params!$B$71</f>
        <v/>
      </c>
      <c r="U135" s="3">
        <f>MAU!U7*Params!$B$39*Params!$B$5*Params!$B$87*Params!$B$71</f>
        <v/>
      </c>
      <c r="V135" s="3">
        <f>MAU!V7*Params!$B$39*Params!$B$5*Params!$B$87*Params!$B$71</f>
        <v/>
      </c>
      <c r="W135" s="3">
        <f>MAU!W7*Params!$B$39*Params!$B$5*Params!$B$87*Params!$B$71</f>
        <v/>
      </c>
      <c r="X135" s="3">
        <f>MAU!X7*Params!$B$39*Params!$B$5*Params!$B$87*Params!$B$71</f>
        <v/>
      </c>
      <c r="Y135" s="3">
        <f>MAU!Y7*Params!$B$39*Params!$B$5*Params!$B$87*Params!$B$71</f>
        <v/>
      </c>
      <c r="Z135" s="3">
        <f>MAU!Z7*Params!$B$39*Params!$B$5*Params!$B$87*Params!$B$71</f>
        <v/>
      </c>
      <c r="AA135" s="3">
        <f>MAU!AA7*Params!$B$39*Params!$B$5*Params!$B$87*Params!$B$71</f>
        <v/>
      </c>
      <c r="AB135" s="3">
        <f>MAU!AB7*Params!$B$39*Params!$B$5*Params!$B$87*Params!$B$71</f>
        <v/>
      </c>
      <c r="AC135" s="3">
        <f>MAU!AC7*Params!$B$39*Params!$B$5*Params!$B$87*Params!$B$71</f>
        <v/>
      </c>
      <c r="AD135" s="3">
        <f>MAU!AD7*Params!$B$39*Params!$B$5*Params!$B$87*Params!$B$71</f>
        <v/>
      </c>
      <c r="AE135" s="3">
        <f>MAU!AE7*Params!$B$39*Params!$B$5*Params!$B$87*Params!$B$71</f>
        <v/>
      </c>
      <c r="AF135" s="3">
        <f>MAU!AF7*Params!$B$39*Params!$B$5*Params!$B$87*Params!$B$71</f>
        <v/>
      </c>
      <c r="AG135" s="3">
        <f>MAU!AG7*Params!$B$39*Params!$B$5*Params!$B$87*Params!$B$71</f>
        <v/>
      </c>
      <c r="AH135" s="3">
        <f>MAU!AH7*Params!$B$39*Params!$B$5*Params!$B$87*Params!$B$71</f>
        <v/>
      </c>
      <c r="AI135" s="3">
        <f>MAU!AI7*Params!$B$39*Params!$B$5*Params!$B$87*Params!$B$71</f>
        <v/>
      </c>
      <c r="AJ135" s="3">
        <f>MAU!AJ7*Params!$B$39*Params!$B$5*Params!$B$87*Params!$B$71</f>
        <v/>
      </c>
      <c r="AK135" s="3">
        <f>MAU!AK7*Params!$B$39*Params!$B$5*Params!$B$87*Params!$B$71</f>
        <v/>
      </c>
      <c r="AL135" s="3">
        <f>MAU!AL7*Params!$B$39*Params!$B$5*Params!$B$87*Params!$B$71</f>
        <v/>
      </c>
      <c r="AM135" s="3">
        <f>MAU!AM7*Params!$B$39*Params!$B$5*Params!$B$87*Params!$B$71</f>
        <v/>
      </c>
      <c r="AN135" s="3">
        <f>MAU!AN7*Params!$B$39*Params!$B$5*Params!$B$87*Params!$B$71</f>
        <v/>
      </c>
      <c r="AO135" s="3">
        <f>MAU!AO7*Params!$B$39*Params!$B$5*Params!$B$87*Params!$B$71</f>
        <v/>
      </c>
      <c r="AP135" s="3">
        <f>MAU!AP7*Params!$B$39*Params!$B$5*Params!$B$87*Params!$B$71</f>
        <v/>
      </c>
      <c r="AQ135" s="3">
        <f>MAU!AQ7*Params!$B$39*Params!$B$5*Params!$B$87*Params!$B$71</f>
        <v/>
      </c>
      <c r="AR135" s="3">
        <f>MAU!AR7*Params!$B$39*Params!$B$5*Params!$B$87*Params!$B$71</f>
        <v/>
      </c>
      <c r="AS135" s="3">
        <f>MAU!AS7*Params!$B$39*Params!$B$5*Params!$B$87*Params!$B$71</f>
        <v/>
      </c>
      <c r="AT135" s="3">
        <f>MAU!AT7*Params!$B$39*Params!$B$5*Params!$B$87*Params!$B$71</f>
        <v/>
      </c>
      <c r="AU135" s="3">
        <f>MAU!AU7*Params!$B$39*Params!$B$5*Params!$B$87*Params!$B$71</f>
        <v/>
      </c>
      <c r="AV135" s="3">
        <f>MAU!AV7*Params!$B$39*Params!$B$5*Params!$B$87*Params!$B$71</f>
        <v/>
      </c>
      <c r="AW135" s="3">
        <f>MAU!AW7*Params!$B$39*Params!$B$5*Params!$B$87*Params!$B$71</f>
        <v/>
      </c>
      <c r="AX135" s="3">
        <f>MAU!AX7*Params!$B$39*Params!$B$5*Params!$B$87*Params!$B$71</f>
        <v/>
      </c>
      <c r="AY135" s="3">
        <f>MAU!AY7*Params!$B$39*Params!$B$5*Params!$B$87*Params!$B$71</f>
        <v/>
      </c>
      <c r="AZ135" s="3">
        <f>MAU!AZ7*Params!$B$39*Params!$B$5*Params!$B$87*Params!$B$71</f>
        <v/>
      </c>
      <c r="BA135" s="3">
        <f>MAU!BA7*Params!$B$39*Params!$B$5*Params!$B$87*Params!$B$71</f>
        <v/>
      </c>
      <c r="BB135" s="3">
        <f>MAU!BB7*Params!$B$39*Params!$B$5*Params!$B$87*Params!$B$71</f>
        <v/>
      </c>
      <c r="BC135" s="3">
        <f>MAU!BC7*Params!$B$39*Params!$B$5*Params!$B$87*Params!$B$71</f>
        <v/>
      </c>
      <c r="BD135" s="3">
        <f>MAU!BD7*Params!$B$39*Params!$B$5*Params!$B$87*Params!$B$71</f>
        <v/>
      </c>
      <c r="BE135" s="3">
        <f>MAU!BE7*Params!$B$39*Params!$B$5*Params!$B$87*Params!$B$71</f>
        <v/>
      </c>
      <c r="BF135" s="3">
        <f>MAU!BF7*Params!$B$39*Params!$B$5*Params!$B$87*Params!$B$71</f>
        <v/>
      </c>
      <c r="BG135" s="3">
        <f>MAU!BG7*Params!$B$39*Params!$B$5*Params!$B$87*Params!$B$71</f>
        <v/>
      </c>
      <c r="BH135" s="3">
        <f>MAU!BH7*Params!$B$39*Params!$B$5*Params!$B$87*Params!$B$71</f>
        <v/>
      </c>
      <c r="BI135" s="3">
        <f>MAU!BI7*Params!$B$39*Params!$B$5*Params!$B$87*Params!$B$71</f>
        <v/>
      </c>
      <c r="BJ135" s="3">
        <f>MAU!BJ7*Params!$B$39*Params!$B$5*Params!$B$87*Params!$B$71</f>
        <v/>
      </c>
      <c r="BK135" s="3">
        <f>MAU!BK7*Params!$B$39*Params!$B$5*Params!$B$87*Params!$B$71</f>
        <v/>
      </c>
      <c r="BL135" s="3">
        <f>MAU!BL7*Params!$B$39*Params!$B$5*Params!$B$87*Params!$B$71</f>
        <v/>
      </c>
      <c r="BM135" s="3">
        <f>MAU!BM7*Params!$B$39*Params!$B$5*Params!$B$87*Params!$B$71</f>
        <v/>
      </c>
      <c r="BN135" s="3">
        <f>MAU!BN7*Params!$B$39*Params!$B$5*Params!$B$87*Params!$B$71</f>
        <v/>
      </c>
      <c r="BO135" s="3">
        <f>MAU!BO7*Params!$B$39*Params!$B$5*Params!$B$87*Params!$B$71</f>
        <v/>
      </c>
      <c r="BP135" s="3">
        <f>MAU!BP7*Params!$B$39*Params!$B$5*Params!$B$87*Params!$B$71</f>
        <v/>
      </c>
      <c r="BQ135" s="3">
        <f>MAU!BQ7*Params!$B$39*Params!$B$5*Params!$B$87*Params!$B$71</f>
        <v/>
      </c>
      <c r="BR135" s="3">
        <f>MAU!BR7*Params!$B$39*Params!$B$5*Params!$B$87*Params!$B$71</f>
        <v/>
      </c>
      <c r="BS135" s="3">
        <f>MAU!BS7*Params!$B$39*Params!$B$5*Params!$B$87*Params!$B$71</f>
        <v/>
      </c>
      <c r="BT135" s="3">
        <f>MAU!BT7*Params!$B$39*Params!$B$5*Params!$B$87*Params!$B$71</f>
        <v/>
      </c>
      <c r="BU135" s="3">
        <f>MAU!BU7*Params!$B$39*Params!$B$5*Params!$B$87*Params!$B$71</f>
        <v/>
      </c>
      <c r="BV135" s="3">
        <f>MAU!BV7*Params!$B$39*Params!$B$5*Params!$B$87*Params!$B$71</f>
        <v/>
      </c>
    </row>
    <row r="136">
      <c r="A136" t="inlineStr">
        <is>
          <t>trial starts</t>
        </is>
      </c>
      <c r="B136" t="inlineStr">
        <is>
          <t>APAC|NITRO_M</t>
        </is>
      </c>
      <c r="C136" s="3">
        <f>C135*Params!$B$6</f>
        <v/>
      </c>
      <c r="D136" s="3">
        <f>D135*Params!$B$6</f>
        <v/>
      </c>
      <c r="E136" s="3">
        <f>E135*Params!$B$6</f>
        <v/>
      </c>
      <c r="F136" s="3">
        <f>F135*Params!$B$6</f>
        <v/>
      </c>
      <c r="G136" s="3">
        <f>G135*Params!$B$6</f>
        <v/>
      </c>
      <c r="H136" s="3">
        <f>H135*Params!$B$6</f>
        <v/>
      </c>
      <c r="I136" s="3">
        <f>I135*Params!$B$6</f>
        <v/>
      </c>
      <c r="J136" s="3">
        <f>J135*Params!$B$6</f>
        <v/>
      </c>
      <c r="K136" s="3">
        <f>K135*Params!$B$6</f>
        <v/>
      </c>
      <c r="L136" s="3">
        <f>L135*Params!$B$6</f>
        <v/>
      </c>
      <c r="M136" s="3">
        <f>M135*Params!$B$6</f>
        <v/>
      </c>
      <c r="N136" s="3">
        <f>N135*Params!$B$6</f>
        <v/>
      </c>
      <c r="O136" s="3">
        <f>O135*Params!$B$6</f>
        <v/>
      </c>
      <c r="P136" s="3">
        <f>P135*Params!$B$6</f>
        <v/>
      </c>
      <c r="Q136" s="3">
        <f>Q135*Params!$B$6</f>
        <v/>
      </c>
      <c r="R136" s="3">
        <f>R135*Params!$B$6</f>
        <v/>
      </c>
      <c r="S136" s="3">
        <f>S135*Params!$B$6</f>
        <v/>
      </c>
      <c r="T136" s="3">
        <f>T135*Params!$B$6</f>
        <v/>
      </c>
      <c r="U136" s="3">
        <f>U135*Params!$B$6</f>
        <v/>
      </c>
      <c r="V136" s="3">
        <f>V135*Params!$B$6</f>
        <v/>
      </c>
      <c r="W136" s="3">
        <f>W135*Params!$B$6</f>
        <v/>
      </c>
      <c r="X136" s="3">
        <f>X135*Params!$B$6</f>
        <v/>
      </c>
      <c r="Y136" s="3">
        <f>Y135*Params!$B$6</f>
        <v/>
      </c>
      <c r="Z136" s="3">
        <f>Z135*Params!$B$6</f>
        <v/>
      </c>
      <c r="AA136" s="3">
        <f>AA135*Params!$B$6</f>
        <v/>
      </c>
      <c r="AB136" s="3">
        <f>AB135*Params!$B$6</f>
        <v/>
      </c>
      <c r="AC136" s="3">
        <f>AC135*Params!$B$6</f>
        <v/>
      </c>
      <c r="AD136" s="3">
        <f>AD135*Params!$B$6</f>
        <v/>
      </c>
      <c r="AE136" s="3">
        <f>AE135*Params!$B$6</f>
        <v/>
      </c>
      <c r="AF136" s="3">
        <f>AF135*Params!$B$6</f>
        <v/>
      </c>
      <c r="AG136" s="3">
        <f>AG135*Params!$B$6</f>
        <v/>
      </c>
      <c r="AH136" s="3">
        <f>AH135*Params!$B$6</f>
        <v/>
      </c>
      <c r="AI136" s="3">
        <f>AI135*Params!$B$6</f>
        <v/>
      </c>
      <c r="AJ136" s="3">
        <f>AJ135*Params!$B$6</f>
        <v/>
      </c>
      <c r="AK136" s="3">
        <f>AK135*Params!$B$6</f>
        <v/>
      </c>
      <c r="AL136" s="3">
        <f>AL135*Params!$B$6</f>
        <v/>
      </c>
      <c r="AM136" s="3">
        <f>AM135*Params!$B$6</f>
        <v/>
      </c>
      <c r="AN136" s="3">
        <f>AN135*Params!$B$6</f>
        <v/>
      </c>
      <c r="AO136" s="3">
        <f>AO135*Params!$B$6</f>
        <v/>
      </c>
      <c r="AP136" s="3">
        <f>AP135*Params!$B$6</f>
        <v/>
      </c>
      <c r="AQ136" s="3">
        <f>AQ135*Params!$B$6</f>
        <v/>
      </c>
      <c r="AR136" s="3">
        <f>AR135*Params!$B$6</f>
        <v/>
      </c>
      <c r="AS136" s="3">
        <f>AS135*Params!$B$6</f>
        <v/>
      </c>
      <c r="AT136" s="3">
        <f>AT135*Params!$B$6</f>
        <v/>
      </c>
      <c r="AU136" s="3">
        <f>AU135*Params!$B$6</f>
        <v/>
      </c>
      <c r="AV136" s="3">
        <f>AV135*Params!$B$6</f>
        <v/>
      </c>
      <c r="AW136" s="3">
        <f>AW135*Params!$B$6</f>
        <v/>
      </c>
      <c r="AX136" s="3">
        <f>AX135*Params!$B$6</f>
        <v/>
      </c>
      <c r="AY136" s="3">
        <f>AY135*Params!$B$6</f>
        <v/>
      </c>
      <c r="AZ136" s="3">
        <f>AZ135*Params!$B$6</f>
        <v/>
      </c>
      <c r="BA136" s="3">
        <f>BA135*Params!$B$6</f>
        <v/>
      </c>
      <c r="BB136" s="3">
        <f>BB135*Params!$B$6</f>
        <v/>
      </c>
      <c r="BC136" s="3">
        <f>BC135*Params!$B$6</f>
        <v/>
      </c>
      <c r="BD136" s="3">
        <f>BD135*Params!$B$6</f>
        <v/>
      </c>
      <c r="BE136" s="3">
        <f>BE135*Params!$B$6</f>
        <v/>
      </c>
      <c r="BF136" s="3">
        <f>BF135*Params!$B$6</f>
        <v/>
      </c>
      <c r="BG136" s="3">
        <f>BG135*Params!$B$6</f>
        <v/>
      </c>
      <c r="BH136" s="3">
        <f>BH135*Params!$B$6</f>
        <v/>
      </c>
      <c r="BI136" s="3">
        <f>BI135*Params!$B$6</f>
        <v/>
      </c>
      <c r="BJ136" s="3">
        <f>BJ135*Params!$B$6</f>
        <v/>
      </c>
      <c r="BK136" s="3">
        <f>BK135*Params!$B$6</f>
        <v/>
      </c>
      <c r="BL136" s="3">
        <f>BL135*Params!$B$6</f>
        <v/>
      </c>
      <c r="BM136" s="3">
        <f>BM135*Params!$B$6</f>
        <v/>
      </c>
      <c r="BN136" s="3">
        <f>BN135*Params!$B$6</f>
        <v/>
      </c>
      <c r="BO136" s="3">
        <f>BO135*Params!$B$6</f>
        <v/>
      </c>
      <c r="BP136" s="3">
        <f>BP135*Params!$B$6</f>
        <v/>
      </c>
      <c r="BQ136" s="3">
        <f>BQ135*Params!$B$6</f>
        <v/>
      </c>
      <c r="BR136" s="3">
        <f>BR135*Params!$B$6</f>
        <v/>
      </c>
      <c r="BS136" s="3">
        <f>BS135*Params!$B$6</f>
        <v/>
      </c>
      <c r="BT136" s="3">
        <f>BT135*Params!$B$6</f>
        <v/>
      </c>
      <c r="BU136" s="3">
        <f>BU135*Params!$B$6</f>
        <v/>
      </c>
      <c r="BV136" s="3">
        <f>BV135*Params!$B$6</f>
        <v/>
      </c>
    </row>
    <row r="137">
      <c r="A137" t="inlineStr">
        <is>
          <t>direct paid starts</t>
        </is>
      </c>
      <c r="B137" t="inlineStr">
        <is>
          <t>APAC|NITRO_M</t>
        </is>
      </c>
      <c r="C137" s="3">
        <f>C135-C136</f>
        <v/>
      </c>
      <c r="D137" s="3">
        <f>D135-D136</f>
        <v/>
      </c>
      <c r="E137" s="3">
        <f>E135-E136</f>
        <v/>
      </c>
      <c r="F137" s="3">
        <f>F135-F136</f>
        <v/>
      </c>
      <c r="G137" s="3">
        <f>G135-G136</f>
        <v/>
      </c>
      <c r="H137" s="3">
        <f>H135-H136</f>
        <v/>
      </c>
      <c r="I137" s="3">
        <f>I135-I136</f>
        <v/>
      </c>
      <c r="J137" s="3">
        <f>J135-J136</f>
        <v/>
      </c>
      <c r="K137" s="3">
        <f>K135-K136</f>
        <v/>
      </c>
      <c r="L137" s="3">
        <f>L135-L136</f>
        <v/>
      </c>
      <c r="M137" s="3">
        <f>M135-M136</f>
        <v/>
      </c>
      <c r="N137" s="3">
        <f>N135-N136</f>
        <v/>
      </c>
      <c r="O137" s="3">
        <f>O135-O136</f>
        <v/>
      </c>
      <c r="P137" s="3">
        <f>P135-P136</f>
        <v/>
      </c>
      <c r="Q137" s="3">
        <f>Q135-Q136</f>
        <v/>
      </c>
      <c r="R137" s="3">
        <f>R135-R136</f>
        <v/>
      </c>
      <c r="S137" s="3">
        <f>S135-S136</f>
        <v/>
      </c>
      <c r="T137" s="3">
        <f>T135-T136</f>
        <v/>
      </c>
      <c r="U137" s="3">
        <f>U135-U136</f>
        <v/>
      </c>
      <c r="V137" s="3">
        <f>V135-V136</f>
        <v/>
      </c>
      <c r="W137" s="3">
        <f>W135-W136</f>
        <v/>
      </c>
      <c r="X137" s="3">
        <f>X135-X136</f>
        <v/>
      </c>
      <c r="Y137" s="3">
        <f>Y135-Y136</f>
        <v/>
      </c>
      <c r="Z137" s="3">
        <f>Z135-Z136</f>
        <v/>
      </c>
      <c r="AA137" s="3">
        <f>AA135-AA136</f>
        <v/>
      </c>
      <c r="AB137" s="3">
        <f>AB135-AB136</f>
        <v/>
      </c>
      <c r="AC137" s="3">
        <f>AC135-AC136</f>
        <v/>
      </c>
      <c r="AD137" s="3">
        <f>AD135-AD136</f>
        <v/>
      </c>
      <c r="AE137" s="3">
        <f>AE135-AE136</f>
        <v/>
      </c>
      <c r="AF137" s="3">
        <f>AF135-AF136</f>
        <v/>
      </c>
      <c r="AG137" s="3">
        <f>AG135-AG136</f>
        <v/>
      </c>
      <c r="AH137" s="3">
        <f>AH135-AH136</f>
        <v/>
      </c>
      <c r="AI137" s="3">
        <f>AI135-AI136</f>
        <v/>
      </c>
      <c r="AJ137" s="3">
        <f>AJ135-AJ136</f>
        <v/>
      </c>
      <c r="AK137" s="3">
        <f>AK135-AK136</f>
        <v/>
      </c>
      <c r="AL137" s="3">
        <f>AL135-AL136</f>
        <v/>
      </c>
      <c r="AM137" s="3">
        <f>AM135-AM136</f>
        <v/>
      </c>
      <c r="AN137" s="3">
        <f>AN135-AN136</f>
        <v/>
      </c>
      <c r="AO137" s="3">
        <f>AO135-AO136</f>
        <v/>
      </c>
      <c r="AP137" s="3">
        <f>AP135-AP136</f>
        <v/>
      </c>
      <c r="AQ137" s="3">
        <f>AQ135-AQ136</f>
        <v/>
      </c>
      <c r="AR137" s="3">
        <f>AR135-AR136</f>
        <v/>
      </c>
      <c r="AS137" s="3">
        <f>AS135-AS136</f>
        <v/>
      </c>
      <c r="AT137" s="3">
        <f>AT135-AT136</f>
        <v/>
      </c>
      <c r="AU137" s="3">
        <f>AU135-AU136</f>
        <v/>
      </c>
      <c r="AV137" s="3">
        <f>AV135-AV136</f>
        <v/>
      </c>
      <c r="AW137" s="3">
        <f>AW135-AW136</f>
        <v/>
      </c>
      <c r="AX137" s="3">
        <f>AX135-AX136</f>
        <v/>
      </c>
      <c r="AY137" s="3">
        <f>AY135-AY136</f>
        <v/>
      </c>
      <c r="AZ137" s="3">
        <f>AZ135-AZ136</f>
        <v/>
      </c>
      <c r="BA137" s="3">
        <f>BA135-BA136</f>
        <v/>
      </c>
      <c r="BB137" s="3">
        <f>BB135-BB136</f>
        <v/>
      </c>
      <c r="BC137" s="3">
        <f>BC135-BC136</f>
        <v/>
      </c>
      <c r="BD137" s="3">
        <f>BD135-BD136</f>
        <v/>
      </c>
      <c r="BE137" s="3">
        <f>BE135-BE136</f>
        <v/>
      </c>
      <c r="BF137" s="3">
        <f>BF135-BF136</f>
        <v/>
      </c>
      <c r="BG137" s="3">
        <f>BG135-BG136</f>
        <v/>
      </c>
      <c r="BH137" s="3">
        <f>BH135-BH136</f>
        <v/>
      </c>
      <c r="BI137" s="3">
        <f>BI135-BI136</f>
        <v/>
      </c>
      <c r="BJ137" s="3">
        <f>BJ135-BJ136</f>
        <v/>
      </c>
      <c r="BK137" s="3">
        <f>BK135-BK136</f>
        <v/>
      </c>
      <c r="BL137" s="3">
        <f>BL135-BL136</f>
        <v/>
      </c>
      <c r="BM137" s="3">
        <f>BM135-BM136</f>
        <v/>
      </c>
      <c r="BN137" s="3">
        <f>BN135-BN136</f>
        <v/>
      </c>
      <c r="BO137" s="3">
        <f>BO135-BO136</f>
        <v/>
      </c>
      <c r="BP137" s="3">
        <f>BP135-BP136</f>
        <v/>
      </c>
      <c r="BQ137" s="3">
        <f>BQ135-BQ136</f>
        <v/>
      </c>
      <c r="BR137" s="3">
        <f>BR135-BR136</f>
        <v/>
      </c>
      <c r="BS137" s="3">
        <f>BS135-BS136</f>
        <v/>
      </c>
      <c r="BT137" s="3">
        <f>BT135-BT136</f>
        <v/>
      </c>
      <c r="BU137" s="3">
        <f>BU135-BU136</f>
        <v/>
      </c>
      <c r="BV137" s="3">
        <f>BV135-BV136</f>
        <v/>
      </c>
    </row>
    <row r="138">
      <c r="A138" t="inlineStr">
        <is>
          <t>trials ending</t>
        </is>
      </c>
      <c r="B138" t="inlineStr">
        <is>
          <t>APAC|NITRO_M</t>
        </is>
      </c>
      <c r="C138" s="3">
        <f>IF(C$2&gt;=Params!$B$7,INDEX($C$136:$BV$136,C$2-Params!$B$7+1),0)</f>
        <v/>
      </c>
      <c r="D138" s="3">
        <f>IF(D$2&gt;=Params!$B$7,INDEX($C$136:$BV$136,D$2-Params!$B$7+1),0)</f>
        <v/>
      </c>
      <c r="E138" s="3">
        <f>IF(E$2&gt;=Params!$B$7,INDEX($C$136:$BV$136,E$2-Params!$B$7+1),0)</f>
        <v/>
      </c>
      <c r="F138" s="3">
        <f>IF(F$2&gt;=Params!$B$7,INDEX($C$136:$BV$136,F$2-Params!$B$7+1),0)</f>
        <v/>
      </c>
      <c r="G138" s="3">
        <f>IF(G$2&gt;=Params!$B$7,INDEX($C$136:$BV$136,G$2-Params!$B$7+1),0)</f>
        <v/>
      </c>
      <c r="H138" s="3">
        <f>IF(H$2&gt;=Params!$B$7,INDEX($C$136:$BV$136,H$2-Params!$B$7+1),0)</f>
        <v/>
      </c>
      <c r="I138" s="3">
        <f>IF(I$2&gt;=Params!$B$7,INDEX($C$136:$BV$136,I$2-Params!$B$7+1),0)</f>
        <v/>
      </c>
      <c r="J138" s="3">
        <f>IF(J$2&gt;=Params!$B$7,INDEX($C$136:$BV$136,J$2-Params!$B$7+1),0)</f>
        <v/>
      </c>
      <c r="K138" s="3">
        <f>IF(K$2&gt;=Params!$B$7,INDEX($C$136:$BV$136,K$2-Params!$B$7+1),0)</f>
        <v/>
      </c>
      <c r="L138" s="3">
        <f>IF(L$2&gt;=Params!$B$7,INDEX($C$136:$BV$136,L$2-Params!$B$7+1),0)</f>
        <v/>
      </c>
      <c r="M138" s="3">
        <f>IF(M$2&gt;=Params!$B$7,INDEX($C$136:$BV$136,M$2-Params!$B$7+1),0)</f>
        <v/>
      </c>
      <c r="N138" s="3">
        <f>IF(N$2&gt;=Params!$B$7,INDEX($C$136:$BV$136,N$2-Params!$B$7+1),0)</f>
        <v/>
      </c>
      <c r="O138" s="3">
        <f>IF(O$2&gt;=Params!$B$7,INDEX($C$136:$BV$136,O$2-Params!$B$7+1),0)</f>
        <v/>
      </c>
      <c r="P138" s="3">
        <f>IF(P$2&gt;=Params!$B$7,INDEX($C$136:$BV$136,P$2-Params!$B$7+1),0)</f>
        <v/>
      </c>
      <c r="Q138" s="3">
        <f>IF(Q$2&gt;=Params!$B$7,INDEX($C$136:$BV$136,Q$2-Params!$B$7+1),0)</f>
        <v/>
      </c>
      <c r="R138" s="3">
        <f>IF(R$2&gt;=Params!$B$7,INDEX($C$136:$BV$136,R$2-Params!$B$7+1),0)</f>
        <v/>
      </c>
      <c r="S138" s="3">
        <f>IF(S$2&gt;=Params!$B$7,INDEX($C$136:$BV$136,S$2-Params!$B$7+1),0)</f>
        <v/>
      </c>
      <c r="T138" s="3">
        <f>IF(T$2&gt;=Params!$B$7,INDEX($C$136:$BV$136,T$2-Params!$B$7+1),0)</f>
        <v/>
      </c>
      <c r="U138" s="3">
        <f>IF(U$2&gt;=Params!$B$7,INDEX($C$136:$BV$136,U$2-Params!$B$7+1),0)</f>
        <v/>
      </c>
      <c r="V138" s="3">
        <f>IF(V$2&gt;=Params!$B$7,INDEX($C$136:$BV$136,V$2-Params!$B$7+1),0)</f>
        <v/>
      </c>
      <c r="W138" s="3">
        <f>IF(W$2&gt;=Params!$B$7,INDEX($C$136:$BV$136,W$2-Params!$B$7+1),0)</f>
        <v/>
      </c>
      <c r="X138" s="3">
        <f>IF(X$2&gt;=Params!$B$7,INDEX($C$136:$BV$136,X$2-Params!$B$7+1),0)</f>
        <v/>
      </c>
      <c r="Y138" s="3">
        <f>IF(Y$2&gt;=Params!$B$7,INDEX($C$136:$BV$136,Y$2-Params!$B$7+1),0)</f>
        <v/>
      </c>
      <c r="Z138" s="3">
        <f>IF(Z$2&gt;=Params!$B$7,INDEX($C$136:$BV$136,Z$2-Params!$B$7+1),0)</f>
        <v/>
      </c>
      <c r="AA138" s="3">
        <f>IF(AA$2&gt;=Params!$B$7,INDEX($C$136:$BV$136,AA$2-Params!$B$7+1),0)</f>
        <v/>
      </c>
      <c r="AB138" s="3">
        <f>IF(AB$2&gt;=Params!$B$7,INDEX($C$136:$BV$136,AB$2-Params!$B$7+1),0)</f>
        <v/>
      </c>
      <c r="AC138" s="3">
        <f>IF(AC$2&gt;=Params!$B$7,INDEX($C$136:$BV$136,AC$2-Params!$B$7+1),0)</f>
        <v/>
      </c>
      <c r="AD138" s="3">
        <f>IF(AD$2&gt;=Params!$B$7,INDEX($C$136:$BV$136,AD$2-Params!$B$7+1),0)</f>
        <v/>
      </c>
      <c r="AE138" s="3">
        <f>IF(AE$2&gt;=Params!$B$7,INDEX($C$136:$BV$136,AE$2-Params!$B$7+1),0)</f>
        <v/>
      </c>
      <c r="AF138" s="3">
        <f>IF(AF$2&gt;=Params!$B$7,INDEX($C$136:$BV$136,AF$2-Params!$B$7+1),0)</f>
        <v/>
      </c>
      <c r="AG138" s="3">
        <f>IF(AG$2&gt;=Params!$B$7,INDEX($C$136:$BV$136,AG$2-Params!$B$7+1),0)</f>
        <v/>
      </c>
      <c r="AH138" s="3">
        <f>IF(AH$2&gt;=Params!$B$7,INDEX($C$136:$BV$136,AH$2-Params!$B$7+1),0)</f>
        <v/>
      </c>
      <c r="AI138" s="3">
        <f>IF(AI$2&gt;=Params!$B$7,INDEX($C$136:$BV$136,AI$2-Params!$B$7+1),0)</f>
        <v/>
      </c>
      <c r="AJ138" s="3">
        <f>IF(AJ$2&gt;=Params!$B$7,INDEX($C$136:$BV$136,AJ$2-Params!$B$7+1),0)</f>
        <v/>
      </c>
      <c r="AK138" s="3">
        <f>IF(AK$2&gt;=Params!$B$7,INDEX($C$136:$BV$136,AK$2-Params!$B$7+1),0)</f>
        <v/>
      </c>
      <c r="AL138" s="3">
        <f>IF(AL$2&gt;=Params!$B$7,INDEX($C$136:$BV$136,AL$2-Params!$B$7+1),0)</f>
        <v/>
      </c>
      <c r="AM138" s="3">
        <f>IF(AM$2&gt;=Params!$B$7,INDEX($C$136:$BV$136,AM$2-Params!$B$7+1),0)</f>
        <v/>
      </c>
      <c r="AN138" s="3">
        <f>IF(AN$2&gt;=Params!$B$7,INDEX($C$136:$BV$136,AN$2-Params!$B$7+1),0)</f>
        <v/>
      </c>
      <c r="AO138" s="3">
        <f>IF(AO$2&gt;=Params!$B$7,INDEX($C$136:$BV$136,AO$2-Params!$B$7+1),0)</f>
        <v/>
      </c>
      <c r="AP138" s="3">
        <f>IF(AP$2&gt;=Params!$B$7,INDEX($C$136:$BV$136,AP$2-Params!$B$7+1),0)</f>
        <v/>
      </c>
      <c r="AQ138" s="3">
        <f>IF(AQ$2&gt;=Params!$B$7,INDEX($C$136:$BV$136,AQ$2-Params!$B$7+1),0)</f>
        <v/>
      </c>
      <c r="AR138" s="3">
        <f>IF(AR$2&gt;=Params!$B$7,INDEX($C$136:$BV$136,AR$2-Params!$B$7+1),0)</f>
        <v/>
      </c>
      <c r="AS138" s="3">
        <f>IF(AS$2&gt;=Params!$B$7,INDEX($C$136:$BV$136,AS$2-Params!$B$7+1),0)</f>
        <v/>
      </c>
      <c r="AT138" s="3">
        <f>IF(AT$2&gt;=Params!$B$7,INDEX($C$136:$BV$136,AT$2-Params!$B$7+1),0)</f>
        <v/>
      </c>
      <c r="AU138" s="3">
        <f>IF(AU$2&gt;=Params!$B$7,INDEX($C$136:$BV$136,AU$2-Params!$B$7+1),0)</f>
        <v/>
      </c>
      <c r="AV138" s="3">
        <f>IF(AV$2&gt;=Params!$B$7,INDEX($C$136:$BV$136,AV$2-Params!$B$7+1),0)</f>
        <v/>
      </c>
      <c r="AW138" s="3">
        <f>IF(AW$2&gt;=Params!$B$7,INDEX($C$136:$BV$136,AW$2-Params!$B$7+1),0)</f>
        <v/>
      </c>
      <c r="AX138" s="3">
        <f>IF(AX$2&gt;=Params!$B$7,INDEX($C$136:$BV$136,AX$2-Params!$B$7+1),0)</f>
        <v/>
      </c>
      <c r="AY138" s="3">
        <f>IF(AY$2&gt;=Params!$B$7,INDEX($C$136:$BV$136,AY$2-Params!$B$7+1),0)</f>
        <v/>
      </c>
      <c r="AZ138" s="3">
        <f>IF(AZ$2&gt;=Params!$B$7,INDEX($C$136:$BV$136,AZ$2-Params!$B$7+1),0)</f>
        <v/>
      </c>
      <c r="BA138" s="3">
        <f>IF(BA$2&gt;=Params!$B$7,INDEX($C$136:$BV$136,BA$2-Params!$B$7+1),0)</f>
        <v/>
      </c>
      <c r="BB138" s="3">
        <f>IF(BB$2&gt;=Params!$B$7,INDEX($C$136:$BV$136,BB$2-Params!$B$7+1),0)</f>
        <v/>
      </c>
      <c r="BC138" s="3">
        <f>IF(BC$2&gt;=Params!$B$7,INDEX($C$136:$BV$136,BC$2-Params!$B$7+1),0)</f>
        <v/>
      </c>
      <c r="BD138" s="3">
        <f>IF(BD$2&gt;=Params!$B$7,INDEX($C$136:$BV$136,BD$2-Params!$B$7+1),0)</f>
        <v/>
      </c>
      <c r="BE138" s="3">
        <f>IF(BE$2&gt;=Params!$B$7,INDEX($C$136:$BV$136,BE$2-Params!$B$7+1),0)</f>
        <v/>
      </c>
      <c r="BF138" s="3">
        <f>IF(BF$2&gt;=Params!$B$7,INDEX($C$136:$BV$136,BF$2-Params!$B$7+1),0)</f>
        <v/>
      </c>
      <c r="BG138" s="3">
        <f>IF(BG$2&gt;=Params!$B$7,INDEX($C$136:$BV$136,BG$2-Params!$B$7+1),0)</f>
        <v/>
      </c>
      <c r="BH138" s="3">
        <f>IF(BH$2&gt;=Params!$B$7,INDEX($C$136:$BV$136,BH$2-Params!$B$7+1),0)</f>
        <v/>
      </c>
      <c r="BI138" s="3">
        <f>IF(BI$2&gt;=Params!$B$7,INDEX($C$136:$BV$136,BI$2-Params!$B$7+1),0)</f>
        <v/>
      </c>
      <c r="BJ138" s="3">
        <f>IF(BJ$2&gt;=Params!$B$7,INDEX($C$136:$BV$136,BJ$2-Params!$B$7+1),0)</f>
        <v/>
      </c>
      <c r="BK138" s="3">
        <f>IF(BK$2&gt;=Params!$B$7,INDEX($C$136:$BV$136,BK$2-Params!$B$7+1),0)</f>
        <v/>
      </c>
      <c r="BL138" s="3">
        <f>IF(BL$2&gt;=Params!$B$7,INDEX($C$136:$BV$136,BL$2-Params!$B$7+1),0)</f>
        <v/>
      </c>
      <c r="BM138" s="3">
        <f>IF(BM$2&gt;=Params!$B$7,INDEX($C$136:$BV$136,BM$2-Params!$B$7+1),0)</f>
        <v/>
      </c>
      <c r="BN138" s="3">
        <f>IF(BN$2&gt;=Params!$B$7,INDEX($C$136:$BV$136,BN$2-Params!$B$7+1),0)</f>
        <v/>
      </c>
      <c r="BO138" s="3">
        <f>IF(BO$2&gt;=Params!$B$7,INDEX($C$136:$BV$136,BO$2-Params!$B$7+1),0)</f>
        <v/>
      </c>
      <c r="BP138" s="3">
        <f>IF(BP$2&gt;=Params!$B$7,INDEX($C$136:$BV$136,BP$2-Params!$B$7+1),0)</f>
        <v/>
      </c>
      <c r="BQ138" s="3">
        <f>IF(BQ$2&gt;=Params!$B$7,INDEX($C$136:$BV$136,BQ$2-Params!$B$7+1),0)</f>
        <v/>
      </c>
      <c r="BR138" s="3">
        <f>IF(BR$2&gt;=Params!$B$7,INDEX($C$136:$BV$136,BR$2-Params!$B$7+1),0)</f>
        <v/>
      </c>
      <c r="BS138" s="3">
        <f>IF(BS$2&gt;=Params!$B$7,INDEX($C$136:$BV$136,BS$2-Params!$B$7+1),0)</f>
        <v/>
      </c>
      <c r="BT138" s="3">
        <f>IF(BT$2&gt;=Params!$B$7,INDEX($C$136:$BV$136,BT$2-Params!$B$7+1),0)</f>
        <v/>
      </c>
      <c r="BU138" s="3">
        <f>IF(BU$2&gt;=Params!$B$7,INDEX($C$136:$BV$136,BU$2-Params!$B$7+1),0)</f>
        <v/>
      </c>
      <c r="BV138" s="3">
        <f>IF(BV$2&gt;=Params!$B$7,INDEX($C$136:$BV$136,BV$2-Params!$B$7+1),0)</f>
        <v/>
      </c>
    </row>
    <row r="139">
      <c r="A139" t="inlineStr">
        <is>
          <t>trials converted</t>
        </is>
      </c>
      <c r="B139" t="inlineStr">
        <is>
          <t>APAC|NITRO_M</t>
        </is>
      </c>
      <c r="C139" s="3">
        <f>C138*Params!$B$8</f>
        <v/>
      </c>
      <c r="D139" s="3">
        <f>D138*Params!$B$8</f>
        <v/>
      </c>
      <c r="E139" s="3">
        <f>E138*Params!$B$8</f>
        <v/>
      </c>
      <c r="F139" s="3">
        <f>F138*Params!$B$8</f>
        <v/>
      </c>
      <c r="G139" s="3">
        <f>G138*Params!$B$8</f>
        <v/>
      </c>
      <c r="H139" s="3">
        <f>H138*Params!$B$8</f>
        <v/>
      </c>
      <c r="I139" s="3">
        <f>I138*Params!$B$8</f>
        <v/>
      </c>
      <c r="J139" s="3">
        <f>J138*Params!$B$8</f>
        <v/>
      </c>
      <c r="K139" s="3">
        <f>K138*Params!$B$8</f>
        <v/>
      </c>
      <c r="L139" s="3">
        <f>L138*Params!$B$8</f>
        <v/>
      </c>
      <c r="M139" s="3">
        <f>M138*Params!$B$8</f>
        <v/>
      </c>
      <c r="N139" s="3">
        <f>N138*Params!$B$8</f>
        <v/>
      </c>
      <c r="O139" s="3">
        <f>O138*Params!$B$8</f>
        <v/>
      </c>
      <c r="P139" s="3">
        <f>P138*Params!$B$8</f>
        <v/>
      </c>
      <c r="Q139" s="3">
        <f>Q138*Params!$B$8</f>
        <v/>
      </c>
      <c r="R139" s="3">
        <f>R138*Params!$B$8</f>
        <v/>
      </c>
      <c r="S139" s="3">
        <f>S138*Params!$B$8</f>
        <v/>
      </c>
      <c r="T139" s="3">
        <f>T138*Params!$B$8</f>
        <v/>
      </c>
      <c r="U139" s="3">
        <f>U138*Params!$B$8</f>
        <v/>
      </c>
      <c r="V139" s="3">
        <f>V138*Params!$B$8</f>
        <v/>
      </c>
      <c r="W139" s="3">
        <f>W138*Params!$B$8</f>
        <v/>
      </c>
      <c r="X139" s="3">
        <f>X138*Params!$B$8</f>
        <v/>
      </c>
      <c r="Y139" s="3">
        <f>Y138*Params!$B$8</f>
        <v/>
      </c>
      <c r="Z139" s="3">
        <f>Z138*Params!$B$8</f>
        <v/>
      </c>
      <c r="AA139" s="3">
        <f>AA138*Params!$B$8</f>
        <v/>
      </c>
      <c r="AB139" s="3">
        <f>AB138*Params!$B$8</f>
        <v/>
      </c>
      <c r="AC139" s="3">
        <f>AC138*Params!$B$8</f>
        <v/>
      </c>
      <c r="AD139" s="3">
        <f>AD138*Params!$B$8</f>
        <v/>
      </c>
      <c r="AE139" s="3">
        <f>AE138*Params!$B$8</f>
        <v/>
      </c>
      <c r="AF139" s="3">
        <f>AF138*Params!$B$8</f>
        <v/>
      </c>
      <c r="AG139" s="3">
        <f>AG138*Params!$B$8</f>
        <v/>
      </c>
      <c r="AH139" s="3">
        <f>AH138*Params!$B$8</f>
        <v/>
      </c>
      <c r="AI139" s="3">
        <f>AI138*Params!$B$8</f>
        <v/>
      </c>
      <c r="AJ139" s="3">
        <f>AJ138*Params!$B$8</f>
        <v/>
      </c>
      <c r="AK139" s="3">
        <f>AK138*Params!$B$8</f>
        <v/>
      </c>
      <c r="AL139" s="3">
        <f>AL138*Params!$B$8</f>
        <v/>
      </c>
      <c r="AM139" s="3">
        <f>AM138*Params!$B$8</f>
        <v/>
      </c>
      <c r="AN139" s="3">
        <f>AN138*Params!$B$8</f>
        <v/>
      </c>
      <c r="AO139" s="3">
        <f>AO138*Params!$B$8</f>
        <v/>
      </c>
      <c r="AP139" s="3">
        <f>AP138*Params!$B$8</f>
        <v/>
      </c>
      <c r="AQ139" s="3">
        <f>AQ138*Params!$B$8</f>
        <v/>
      </c>
      <c r="AR139" s="3">
        <f>AR138*Params!$B$8</f>
        <v/>
      </c>
      <c r="AS139" s="3">
        <f>AS138*Params!$B$8</f>
        <v/>
      </c>
      <c r="AT139" s="3">
        <f>AT138*Params!$B$8</f>
        <v/>
      </c>
      <c r="AU139" s="3">
        <f>AU138*Params!$B$8</f>
        <v/>
      </c>
      <c r="AV139" s="3">
        <f>AV138*Params!$B$8</f>
        <v/>
      </c>
      <c r="AW139" s="3">
        <f>AW138*Params!$B$8</f>
        <v/>
      </c>
      <c r="AX139" s="3">
        <f>AX138*Params!$B$8</f>
        <v/>
      </c>
      <c r="AY139" s="3">
        <f>AY138*Params!$B$8</f>
        <v/>
      </c>
      <c r="AZ139" s="3">
        <f>AZ138*Params!$B$8</f>
        <v/>
      </c>
      <c r="BA139" s="3">
        <f>BA138*Params!$B$8</f>
        <v/>
      </c>
      <c r="BB139" s="3">
        <f>BB138*Params!$B$8</f>
        <v/>
      </c>
      <c r="BC139" s="3">
        <f>BC138*Params!$B$8</f>
        <v/>
      </c>
      <c r="BD139" s="3">
        <f>BD138*Params!$B$8</f>
        <v/>
      </c>
      <c r="BE139" s="3">
        <f>BE138*Params!$B$8</f>
        <v/>
      </c>
      <c r="BF139" s="3">
        <f>BF138*Params!$B$8</f>
        <v/>
      </c>
      <c r="BG139" s="3">
        <f>BG138*Params!$B$8</f>
        <v/>
      </c>
      <c r="BH139" s="3">
        <f>BH138*Params!$B$8</f>
        <v/>
      </c>
      <c r="BI139" s="3">
        <f>BI138*Params!$B$8</f>
        <v/>
      </c>
      <c r="BJ139" s="3">
        <f>BJ138*Params!$B$8</f>
        <v/>
      </c>
      <c r="BK139" s="3">
        <f>BK138*Params!$B$8</f>
        <v/>
      </c>
      <c r="BL139" s="3">
        <f>BL138*Params!$B$8</f>
        <v/>
      </c>
      <c r="BM139" s="3">
        <f>BM138*Params!$B$8</f>
        <v/>
      </c>
      <c r="BN139" s="3">
        <f>BN138*Params!$B$8</f>
        <v/>
      </c>
      <c r="BO139" s="3">
        <f>BO138*Params!$B$8</f>
        <v/>
      </c>
      <c r="BP139" s="3">
        <f>BP138*Params!$B$8</f>
        <v/>
      </c>
      <c r="BQ139" s="3">
        <f>BQ138*Params!$B$8</f>
        <v/>
      </c>
      <c r="BR139" s="3">
        <f>BR138*Params!$B$8</f>
        <v/>
      </c>
      <c r="BS139" s="3">
        <f>BS138*Params!$B$8</f>
        <v/>
      </c>
      <c r="BT139" s="3">
        <f>BT138*Params!$B$8</f>
        <v/>
      </c>
      <c r="BU139" s="3">
        <f>BU138*Params!$B$8</f>
        <v/>
      </c>
      <c r="BV139" s="3">
        <f>BV138*Params!$B$8</f>
        <v/>
      </c>
    </row>
    <row r="140">
      <c r="A140" t="inlineStr">
        <is>
          <t>trials lost</t>
        </is>
      </c>
      <c r="B140" t="inlineStr">
        <is>
          <t>APAC|NITRO_M</t>
        </is>
      </c>
      <c r="C140" s="3">
        <f>C138-C139</f>
        <v/>
      </c>
      <c r="D140" s="3">
        <f>D138-D139</f>
        <v/>
      </c>
      <c r="E140" s="3">
        <f>E138-E139</f>
        <v/>
      </c>
      <c r="F140" s="3">
        <f>F138-F139</f>
        <v/>
      </c>
      <c r="G140" s="3">
        <f>G138-G139</f>
        <v/>
      </c>
      <c r="H140" s="3">
        <f>H138-H139</f>
        <v/>
      </c>
      <c r="I140" s="3">
        <f>I138-I139</f>
        <v/>
      </c>
      <c r="J140" s="3">
        <f>J138-J139</f>
        <v/>
      </c>
      <c r="K140" s="3">
        <f>K138-K139</f>
        <v/>
      </c>
      <c r="L140" s="3">
        <f>L138-L139</f>
        <v/>
      </c>
      <c r="M140" s="3">
        <f>M138-M139</f>
        <v/>
      </c>
      <c r="N140" s="3">
        <f>N138-N139</f>
        <v/>
      </c>
      <c r="O140" s="3">
        <f>O138-O139</f>
        <v/>
      </c>
      <c r="P140" s="3">
        <f>P138-P139</f>
        <v/>
      </c>
      <c r="Q140" s="3">
        <f>Q138-Q139</f>
        <v/>
      </c>
      <c r="R140" s="3">
        <f>R138-R139</f>
        <v/>
      </c>
      <c r="S140" s="3">
        <f>S138-S139</f>
        <v/>
      </c>
      <c r="T140" s="3">
        <f>T138-T139</f>
        <v/>
      </c>
      <c r="U140" s="3">
        <f>U138-U139</f>
        <v/>
      </c>
      <c r="V140" s="3">
        <f>V138-V139</f>
        <v/>
      </c>
      <c r="W140" s="3">
        <f>W138-W139</f>
        <v/>
      </c>
      <c r="X140" s="3">
        <f>X138-X139</f>
        <v/>
      </c>
      <c r="Y140" s="3">
        <f>Y138-Y139</f>
        <v/>
      </c>
      <c r="Z140" s="3">
        <f>Z138-Z139</f>
        <v/>
      </c>
      <c r="AA140" s="3">
        <f>AA138-AA139</f>
        <v/>
      </c>
      <c r="AB140" s="3">
        <f>AB138-AB139</f>
        <v/>
      </c>
      <c r="AC140" s="3">
        <f>AC138-AC139</f>
        <v/>
      </c>
      <c r="AD140" s="3">
        <f>AD138-AD139</f>
        <v/>
      </c>
      <c r="AE140" s="3">
        <f>AE138-AE139</f>
        <v/>
      </c>
      <c r="AF140" s="3">
        <f>AF138-AF139</f>
        <v/>
      </c>
      <c r="AG140" s="3">
        <f>AG138-AG139</f>
        <v/>
      </c>
      <c r="AH140" s="3">
        <f>AH138-AH139</f>
        <v/>
      </c>
      <c r="AI140" s="3">
        <f>AI138-AI139</f>
        <v/>
      </c>
      <c r="AJ140" s="3">
        <f>AJ138-AJ139</f>
        <v/>
      </c>
      <c r="AK140" s="3">
        <f>AK138-AK139</f>
        <v/>
      </c>
      <c r="AL140" s="3">
        <f>AL138-AL139</f>
        <v/>
      </c>
      <c r="AM140" s="3">
        <f>AM138-AM139</f>
        <v/>
      </c>
      <c r="AN140" s="3">
        <f>AN138-AN139</f>
        <v/>
      </c>
      <c r="AO140" s="3">
        <f>AO138-AO139</f>
        <v/>
      </c>
      <c r="AP140" s="3">
        <f>AP138-AP139</f>
        <v/>
      </c>
      <c r="AQ140" s="3">
        <f>AQ138-AQ139</f>
        <v/>
      </c>
      <c r="AR140" s="3">
        <f>AR138-AR139</f>
        <v/>
      </c>
      <c r="AS140" s="3">
        <f>AS138-AS139</f>
        <v/>
      </c>
      <c r="AT140" s="3">
        <f>AT138-AT139</f>
        <v/>
      </c>
      <c r="AU140" s="3">
        <f>AU138-AU139</f>
        <v/>
      </c>
      <c r="AV140" s="3">
        <f>AV138-AV139</f>
        <v/>
      </c>
      <c r="AW140" s="3">
        <f>AW138-AW139</f>
        <v/>
      </c>
      <c r="AX140" s="3">
        <f>AX138-AX139</f>
        <v/>
      </c>
      <c r="AY140" s="3">
        <f>AY138-AY139</f>
        <v/>
      </c>
      <c r="AZ140" s="3">
        <f>AZ138-AZ139</f>
        <v/>
      </c>
      <c r="BA140" s="3">
        <f>BA138-BA139</f>
        <v/>
      </c>
      <c r="BB140" s="3">
        <f>BB138-BB139</f>
        <v/>
      </c>
      <c r="BC140" s="3">
        <f>BC138-BC139</f>
        <v/>
      </c>
      <c r="BD140" s="3">
        <f>BD138-BD139</f>
        <v/>
      </c>
      <c r="BE140" s="3">
        <f>BE138-BE139</f>
        <v/>
      </c>
      <c r="BF140" s="3">
        <f>BF138-BF139</f>
        <v/>
      </c>
      <c r="BG140" s="3">
        <f>BG138-BG139</f>
        <v/>
      </c>
      <c r="BH140" s="3">
        <f>BH138-BH139</f>
        <v/>
      </c>
      <c r="BI140" s="3">
        <f>BI138-BI139</f>
        <v/>
      </c>
      <c r="BJ140" s="3">
        <f>BJ138-BJ139</f>
        <v/>
      </c>
      <c r="BK140" s="3">
        <f>BK138-BK139</f>
        <v/>
      </c>
      <c r="BL140" s="3">
        <f>BL138-BL139</f>
        <v/>
      </c>
      <c r="BM140" s="3">
        <f>BM138-BM139</f>
        <v/>
      </c>
      <c r="BN140" s="3">
        <f>BN138-BN139</f>
        <v/>
      </c>
      <c r="BO140" s="3">
        <f>BO138-BO139</f>
        <v/>
      </c>
      <c r="BP140" s="3">
        <f>BP138-BP139</f>
        <v/>
      </c>
      <c r="BQ140" s="3">
        <f>BQ138-BQ139</f>
        <v/>
      </c>
      <c r="BR140" s="3">
        <f>BR138-BR139</f>
        <v/>
      </c>
      <c r="BS140" s="3">
        <f>BS138-BS139</f>
        <v/>
      </c>
      <c r="BT140" s="3">
        <f>BT138-BT139</f>
        <v/>
      </c>
      <c r="BU140" s="3">
        <f>BU138-BU139</f>
        <v/>
      </c>
      <c r="BV140" s="3">
        <f>BV138-BV139</f>
        <v/>
      </c>
    </row>
    <row r="141">
      <c r="A141" t="inlineStr">
        <is>
          <t>cum trial starts</t>
        </is>
      </c>
      <c r="B141" t="inlineStr">
        <is>
          <t>APAC|NITRO_M</t>
        </is>
      </c>
      <c r="C141" s="3">
        <f>SUM($C136:C136)</f>
        <v/>
      </c>
      <c r="D141" s="3">
        <f>SUM($C136:D136)</f>
        <v/>
      </c>
      <c r="E141" s="3">
        <f>SUM($C136:E136)</f>
        <v/>
      </c>
      <c r="F141" s="3">
        <f>SUM($C136:F136)</f>
        <v/>
      </c>
      <c r="G141" s="3">
        <f>SUM($C136:G136)</f>
        <v/>
      </c>
      <c r="H141" s="3">
        <f>SUM($C136:H136)</f>
        <v/>
      </c>
      <c r="I141" s="3">
        <f>SUM($C136:I136)</f>
        <v/>
      </c>
      <c r="J141" s="3">
        <f>SUM($C136:J136)</f>
        <v/>
      </c>
      <c r="K141" s="3">
        <f>SUM($C136:K136)</f>
        <v/>
      </c>
      <c r="L141" s="3">
        <f>SUM($C136:L136)</f>
        <v/>
      </c>
      <c r="M141" s="3">
        <f>SUM($C136:M136)</f>
        <v/>
      </c>
      <c r="N141" s="3">
        <f>SUM($C136:N136)</f>
        <v/>
      </c>
      <c r="O141" s="3">
        <f>SUM($C136:O136)</f>
        <v/>
      </c>
      <c r="P141" s="3">
        <f>SUM($C136:P136)</f>
        <v/>
      </c>
      <c r="Q141" s="3">
        <f>SUM($C136:Q136)</f>
        <v/>
      </c>
      <c r="R141" s="3">
        <f>SUM($C136:R136)</f>
        <v/>
      </c>
      <c r="S141" s="3">
        <f>SUM($C136:S136)</f>
        <v/>
      </c>
      <c r="T141" s="3">
        <f>SUM($C136:T136)</f>
        <v/>
      </c>
      <c r="U141" s="3">
        <f>SUM($C136:U136)</f>
        <v/>
      </c>
      <c r="V141" s="3">
        <f>SUM($C136:V136)</f>
        <v/>
      </c>
      <c r="W141" s="3">
        <f>SUM($C136:W136)</f>
        <v/>
      </c>
      <c r="X141" s="3">
        <f>SUM($C136:X136)</f>
        <v/>
      </c>
      <c r="Y141" s="3">
        <f>SUM($C136:Y136)</f>
        <v/>
      </c>
      <c r="Z141" s="3">
        <f>SUM($C136:Z136)</f>
        <v/>
      </c>
      <c r="AA141" s="3">
        <f>SUM($C136:AA136)</f>
        <v/>
      </c>
      <c r="AB141" s="3">
        <f>SUM($C136:AB136)</f>
        <v/>
      </c>
      <c r="AC141" s="3">
        <f>SUM($C136:AC136)</f>
        <v/>
      </c>
      <c r="AD141" s="3">
        <f>SUM($C136:AD136)</f>
        <v/>
      </c>
      <c r="AE141" s="3">
        <f>SUM($C136:AE136)</f>
        <v/>
      </c>
      <c r="AF141" s="3">
        <f>SUM($C136:AF136)</f>
        <v/>
      </c>
      <c r="AG141" s="3">
        <f>SUM($C136:AG136)</f>
        <v/>
      </c>
      <c r="AH141" s="3">
        <f>SUM($C136:AH136)</f>
        <v/>
      </c>
      <c r="AI141" s="3">
        <f>SUM($C136:AI136)</f>
        <v/>
      </c>
      <c r="AJ141" s="3">
        <f>SUM($C136:AJ136)</f>
        <v/>
      </c>
      <c r="AK141" s="3">
        <f>SUM($C136:AK136)</f>
        <v/>
      </c>
      <c r="AL141" s="3">
        <f>SUM($C136:AL136)</f>
        <v/>
      </c>
      <c r="AM141" s="3">
        <f>SUM($C136:AM136)</f>
        <v/>
      </c>
      <c r="AN141" s="3">
        <f>SUM($C136:AN136)</f>
        <v/>
      </c>
      <c r="AO141" s="3">
        <f>SUM($C136:AO136)</f>
        <v/>
      </c>
      <c r="AP141" s="3">
        <f>SUM($C136:AP136)</f>
        <v/>
      </c>
      <c r="AQ141" s="3">
        <f>SUM($C136:AQ136)</f>
        <v/>
      </c>
      <c r="AR141" s="3">
        <f>SUM($C136:AR136)</f>
        <v/>
      </c>
      <c r="AS141" s="3">
        <f>SUM($C136:AS136)</f>
        <v/>
      </c>
      <c r="AT141" s="3">
        <f>SUM($C136:AT136)</f>
        <v/>
      </c>
      <c r="AU141" s="3">
        <f>SUM($C136:AU136)</f>
        <v/>
      </c>
      <c r="AV141" s="3">
        <f>SUM($C136:AV136)</f>
        <v/>
      </c>
      <c r="AW141" s="3">
        <f>SUM($C136:AW136)</f>
        <v/>
      </c>
      <c r="AX141" s="3">
        <f>SUM($C136:AX136)</f>
        <v/>
      </c>
      <c r="AY141" s="3">
        <f>SUM($C136:AY136)</f>
        <v/>
      </c>
      <c r="AZ141" s="3">
        <f>SUM($C136:AZ136)</f>
        <v/>
      </c>
      <c r="BA141" s="3">
        <f>SUM($C136:BA136)</f>
        <v/>
      </c>
      <c r="BB141" s="3">
        <f>SUM($C136:BB136)</f>
        <v/>
      </c>
      <c r="BC141" s="3">
        <f>SUM($C136:BC136)</f>
        <v/>
      </c>
      <c r="BD141" s="3">
        <f>SUM($C136:BD136)</f>
        <v/>
      </c>
      <c r="BE141" s="3">
        <f>SUM($C136:BE136)</f>
        <v/>
      </c>
      <c r="BF141" s="3">
        <f>SUM($C136:BF136)</f>
        <v/>
      </c>
      <c r="BG141" s="3">
        <f>SUM($C136:BG136)</f>
        <v/>
      </c>
      <c r="BH141" s="3">
        <f>SUM($C136:BH136)</f>
        <v/>
      </c>
      <c r="BI141" s="3">
        <f>SUM($C136:BI136)</f>
        <v/>
      </c>
      <c r="BJ141" s="3">
        <f>SUM($C136:BJ136)</f>
        <v/>
      </c>
      <c r="BK141" s="3">
        <f>SUM($C136:BK136)</f>
        <v/>
      </c>
      <c r="BL141" s="3">
        <f>SUM($C136:BL136)</f>
        <v/>
      </c>
      <c r="BM141" s="3">
        <f>SUM($C136:BM136)</f>
        <v/>
      </c>
      <c r="BN141" s="3">
        <f>SUM($C136:BN136)</f>
        <v/>
      </c>
      <c r="BO141" s="3">
        <f>SUM($C136:BO136)</f>
        <v/>
      </c>
      <c r="BP141" s="3">
        <f>SUM($C136:BP136)</f>
        <v/>
      </c>
      <c r="BQ141" s="3">
        <f>SUM($C136:BQ136)</f>
        <v/>
      </c>
      <c r="BR141" s="3">
        <f>SUM($C136:BR136)</f>
        <v/>
      </c>
      <c r="BS141" s="3">
        <f>SUM($C136:BS136)</f>
        <v/>
      </c>
      <c r="BT141" s="3">
        <f>SUM($C136:BT136)</f>
        <v/>
      </c>
      <c r="BU141" s="3">
        <f>SUM($C136:BU136)</f>
        <v/>
      </c>
      <c r="BV141" s="3">
        <f>SUM($C136:BV136)</f>
        <v/>
      </c>
    </row>
    <row r="142">
      <c r="A142" t="inlineStr">
        <is>
          <t>cum trials ending</t>
        </is>
      </c>
      <c r="B142" t="inlineStr">
        <is>
          <t>APAC|NITRO_M</t>
        </is>
      </c>
      <c r="C142" s="3">
        <f>SUM($C138:C138)</f>
        <v/>
      </c>
      <c r="D142" s="3">
        <f>SUM($C138:D138)</f>
        <v/>
      </c>
      <c r="E142" s="3">
        <f>SUM($C138:E138)</f>
        <v/>
      </c>
      <c r="F142" s="3">
        <f>SUM($C138:F138)</f>
        <v/>
      </c>
      <c r="G142" s="3">
        <f>SUM($C138:G138)</f>
        <v/>
      </c>
      <c r="H142" s="3">
        <f>SUM($C138:H138)</f>
        <v/>
      </c>
      <c r="I142" s="3">
        <f>SUM($C138:I138)</f>
        <v/>
      </c>
      <c r="J142" s="3">
        <f>SUM($C138:J138)</f>
        <v/>
      </c>
      <c r="K142" s="3">
        <f>SUM($C138:K138)</f>
        <v/>
      </c>
      <c r="L142" s="3">
        <f>SUM($C138:L138)</f>
        <v/>
      </c>
      <c r="M142" s="3">
        <f>SUM($C138:M138)</f>
        <v/>
      </c>
      <c r="N142" s="3">
        <f>SUM($C138:N138)</f>
        <v/>
      </c>
      <c r="O142" s="3">
        <f>SUM($C138:O138)</f>
        <v/>
      </c>
      <c r="P142" s="3">
        <f>SUM($C138:P138)</f>
        <v/>
      </c>
      <c r="Q142" s="3">
        <f>SUM($C138:Q138)</f>
        <v/>
      </c>
      <c r="R142" s="3">
        <f>SUM($C138:R138)</f>
        <v/>
      </c>
      <c r="S142" s="3">
        <f>SUM($C138:S138)</f>
        <v/>
      </c>
      <c r="T142" s="3">
        <f>SUM($C138:T138)</f>
        <v/>
      </c>
      <c r="U142" s="3">
        <f>SUM($C138:U138)</f>
        <v/>
      </c>
      <c r="V142" s="3">
        <f>SUM($C138:V138)</f>
        <v/>
      </c>
      <c r="W142" s="3">
        <f>SUM($C138:W138)</f>
        <v/>
      </c>
      <c r="X142" s="3">
        <f>SUM($C138:X138)</f>
        <v/>
      </c>
      <c r="Y142" s="3">
        <f>SUM($C138:Y138)</f>
        <v/>
      </c>
      <c r="Z142" s="3">
        <f>SUM($C138:Z138)</f>
        <v/>
      </c>
      <c r="AA142" s="3">
        <f>SUM($C138:AA138)</f>
        <v/>
      </c>
      <c r="AB142" s="3">
        <f>SUM($C138:AB138)</f>
        <v/>
      </c>
      <c r="AC142" s="3">
        <f>SUM($C138:AC138)</f>
        <v/>
      </c>
      <c r="AD142" s="3">
        <f>SUM($C138:AD138)</f>
        <v/>
      </c>
      <c r="AE142" s="3">
        <f>SUM($C138:AE138)</f>
        <v/>
      </c>
      <c r="AF142" s="3">
        <f>SUM($C138:AF138)</f>
        <v/>
      </c>
      <c r="AG142" s="3">
        <f>SUM($C138:AG138)</f>
        <v/>
      </c>
      <c r="AH142" s="3">
        <f>SUM($C138:AH138)</f>
        <v/>
      </c>
      <c r="AI142" s="3">
        <f>SUM($C138:AI138)</f>
        <v/>
      </c>
      <c r="AJ142" s="3">
        <f>SUM($C138:AJ138)</f>
        <v/>
      </c>
      <c r="AK142" s="3">
        <f>SUM($C138:AK138)</f>
        <v/>
      </c>
      <c r="AL142" s="3">
        <f>SUM($C138:AL138)</f>
        <v/>
      </c>
      <c r="AM142" s="3">
        <f>SUM($C138:AM138)</f>
        <v/>
      </c>
      <c r="AN142" s="3">
        <f>SUM($C138:AN138)</f>
        <v/>
      </c>
      <c r="AO142" s="3">
        <f>SUM($C138:AO138)</f>
        <v/>
      </c>
      <c r="AP142" s="3">
        <f>SUM($C138:AP138)</f>
        <v/>
      </c>
      <c r="AQ142" s="3">
        <f>SUM($C138:AQ138)</f>
        <v/>
      </c>
      <c r="AR142" s="3">
        <f>SUM($C138:AR138)</f>
        <v/>
      </c>
      <c r="AS142" s="3">
        <f>SUM($C138:AS138)</f>
        <v/>
      </c>
      <c r="AT142" s="3">
        <f>SUM($C138:AT138)</f>
        <v/>
      </c>
      <c r="AU142" s="3">
        <f>SUM($C138:AU138)</f>
        <v/>
      </c>
      <c r="AV142" s="3">
        <f>SUM($C138:AV138)</f>
        <v/>
      </c>
      <c r="AW142" s="3">
        <f>SUM($C138:AW138)</f>
        <v/>
      </c>
      <c r="AX142" s="3">
        <f>SUM($C138:AX138)</f>
        <v/>
      </c>
      <c r="AY142" s="3">
        <f>SUM($C138:AY138)</f>
        <v/>
      </c>
      <c r="AZ142" s="3">
        <f>SUM($C138:AZ138)</f>
        <v/>
      </c>
      <c r="BA142" s="3">
        <f>SUM($C138:BA138)</f>
        <v/>
      </c>
      <c r="BB142" s="3">
        <f>SUM($C138:BB138)</f>
        <v/>
      </c>
      <c r="BC142" s="3">
        <f>SUM($C138:BC138)</f>
        <v/>
      </c>
      <c r="BD142" s="3">
        <f>SUM($C138:BD138)</f>
        <v/>
      </c>
      <c r="BE142" s="3">
        <f>SUM($C138:BE138)</f>
        <v/>
      </c>
      <c r="BF142" s="3">
        <f>SUM($C138:BF138)</f>
        <v/>
      </c>
      <c r="BG142" s="3">
        <f>SUM($C138:BG138)</f>
        <v/>
      </c>
      <c r="BH142" s="3">
        <f>SUM($C138:BH138)</f>
        <v/>
      </c>
      <c r="BI142" s="3">
        <f>SUM($C138:BI138)</f>
        <v/>
      </c>
      <c r="BJ142" s="3">
        <f>SUM($C138:BJ138)</f>
        <v/>
      </c>
      <c r="BK142" s="3">
        <f>SUM($C138:BK138)</f>
        <v/>
      </c>
      <c r="BL142" s="3">
        <f>SUM($C138:BL138)</f>
        <v/>
      </c>
      <c r="BM142" s="3">
        <f>SUM($C138:BM138)</f>
        <v/>
      </c>
      <c r="BN142" s="3">
        <f>SUM($C138:BN138)</f>
        <v/>
      </c>
      <c r="BO142" s="3">
        <f>SUM($C138:BO138)</f>
        <v/>
      </c>
      <c r="BP142" s="3">
        <f>SUM($C138:BP138)</f>
        <v/>
      </c>
      <c r="BQ142" s="3">
        <f>SUM($C138:BQ138)</f>
        <v/>
      </c>
      <c r="BR142" s="3">
        <f>SUM($C138:BR138)</f>
        <v/>
      </c>
      <c r="BS142" s="3">
        <f>SUM($C138:BS138)</f>
        <v/>
      </c>
      <c r="BT142" s="3">
        <f>SUM($C138:BT138)</f>
        <v/>
      </c>
      <c r="BU142" s="3">
        <f>SUM($C138:BU138)</f>
        <v/>
      </c>
      <c r="BV142" s="3">
        <f>SUM($C138:BV138)</f>
        <v/>
      </c>
    </row>
    <row r="143">
      <c r="A143" t="inlineStr">
        <is>
          <t>trials active</t>
        </is>
      </c>
      <c r="B143" t="inlineStr">
        <is>
          <t>APAC|NITRO_M</t>
        </is>
      </c>
      <c r="C143" s="3">
        <f>C141-C142</f>
        <v/>
      </c>
      <c r="D143" s="3">
        <f>D141-D142</f>
        <v/>
      </c>
      <c r="E143" s="3">
        <f>E141-E142</f>
        <v/>
      </c>
      <c r="F143" s="3">
        <f>F141-F142</f>
        <v/>
      </c>
      <c r="G143" s="3">
        <f>G141-G142</f>
        <v/>
      </c>
      <c r="H143" s="3">
        <f>H141-H142</f>
        <v/>
      </c>
      <c r="I143" s="3">
        <f>I141-I142</f>
        <v/>
      </c>
      <c r="J143" s="3">
        <f>J141-J142</f>
        <v/>
      </c>
      <c r="K143" s="3">
        <f>K141-K142</f>
        <v/>
      </c>
      <c r="L143" s="3">
        <f>L141-L142</f>
        <v/>
      </c>
      <c r="M143" s="3">
        <f>M141-M142</f>
        <v/>
      </c>
      <c r="N143" s="3">
        <f>N141-N142</f>
        <v/>
      </c>
      <c r="O143" s="3">
        <f>O141-O142</f>
        <v/>
      </c>
      <c r="P143" s="3">
        <f>P141-P142</f>
        <v/>
      </c>
      <c r="Q143" s="3">
        <f>Q141-Q142</f>
        <v/>
      </c>
      <c r="R143" s="3">
        <f>R141-R142</f>
        <v/>
      </c>
      <c r="S143" s="3">
        <f>S141-S142</f>
        <v/>
      </c>
      <c r="T143" s="3">
        <f>T141-T142</f>
        <v/>
      </c>
      <c r="U143" s="3">
        <f>U141-U142</f>
        <v/>
      </c>
      <c r="V143" s="3">
        <f>V141-V142</f>
        <v/>
      </c>
      <c r="W143" s="3">
        <f>W141-W142</f>
        <v/>
      </c>
      <c r="X143" s="3">
        <f>X141-X142</f>
        <v/>
      </c>
      <c r="Y143" s="3">
        <f>Y141-Y142</f>
        <v/>
      </c>
      <c r="Z143" s="3">
        <f>Z141-Z142</f>
        <v/>
      </c>
      <c r="AA143" s="3">
        <f>AA141-AA142</f>
        <v/>
      </c>
      <c r="AB143" s="3">
        <f>AB141-AB142</f>
        <v/>
      </c>
      <c r="AC143" s="3">
        <f>AC141-AC142</f>
        <v/>
      </c>
      <c r="AD143" s="3">
        <f>AD141-AD142</f>
        <v/>
      </c>
      <c r="AE143" s="3">
        <f>AE141-AE142</f>
        <v/>
      </c>
      <c r="AF143" s="3">
        <f>AF141-AF142</f>
        <v/>
      </c>
      <c r="AG143" s="3">
        <f>AG141-AG142</f>
        <v/>
      </c>
      <c r="AH143" s="3">
        <f>AH141-AH142</f>
        <v/>
      </c>
      <c r="AI143" s="3">
        <f>AI141-AI142</f>
        <v/>
      </c>
      <c r="AJ143" s="3">
        <f>AJ141-AJ142</f>
        <v/>
      </c>
      <c r="AK143" s="3">
        <f>AK141-AK142</f>
        <v/>
      </c>
      <c r="AL143" s="3">
        <f>AL141-AL142</f>
        <v/>
      </c>
      <c r="AM143" s="3">
        <f>AM141-AM142</f>
        <v/>
      </c>
      <c r="AN143" s="3">
        <f>AN141-AN142</f>
        <v/>
      </c>
      <c r="AO143" s="3">
        <f>AO141-AO142</f>
        <v/>
      </c>
      <c r="AP143" s="3">
        <f>AP141-AP142</f>
        <v/>
      </c>
      <c r="AQ143" s="3">
        <f>AQ141-AQ142</f>
        <v/>
      </c>
      <c r="AR143" s="3">
        <f>AR141-AR142</f>
        <v/>
      </c>
      <c r="AS143" s="3">
        <f>AS141-AS142</f>
        <v/>
      </c>
      <c r="AT143" s="3">
        <f>AT141-AT142</f>
        <v/>
      </c>
      <c r="AU143" s="3">
        <f>AU141-AU142</f>
        <v/>
      </c>
      <c r="AV143" s="3">
        <f>AV141-AV142</f>
        <v/>
      </c>
      <c r="AW143" s="3">
        <f>AW141-AW142</f>
        <v/>
      </c>
      <c r="AX143" s="3">
        <f>AX141-AX142</f>
        <v/>
      </c>
      <c r="AY143" s="3">
        <f>AY141-AY142</f>
        <v/>
      </c>
      <c r="AZ143" s="3">
        <f>AZ141-AZ142</f>
        <v/>
      </c>
      <c r="BA143" s="3">
        <f>BA141-BA142</f>
        <v/>
      </c>
      <c r="BB143" s="3">
        <f>BB141-BB142</f>
        <v/>
      </c>
      <c r="BC143" s="3">
        <f>BC141-BC142</f>
        <v/>
      </c>
      <c r="BD143" s="3">
        <f>BD141-BD142</f>
        <v/>
      </c>
      <c r="BE143" s="3">
        <f>BE141-BE142</f>
        <v/>
      </c>
      <c r="BF143" s="3">
        <f>BF141-BF142</f>
        <v/>
      </c>
      <c r="BG143" s="3">
        <f>BG141-BG142</f>
        <v/>
      </c>
      <c r="BH143" s="3">
        <f>BH141-BH142</f>
        <v/>
      </c>
      <c r="BI143" s="3">
        <f>BI141-BI142</f>
        <v/>
      </c>
      <c r="BJ143" s="3">
        <f>BJ141-BJ142</f>
        <v/>
      </c>
      <c r="BK143" s="3">
        <f>BK141-BK142</f>
        <v/>
      </c>
      <c r="BL143" s="3">
        <f>BL141-BL142</f>
        <v/>
      </c>
      <c r="BM143" s="3">
        <f>BM141-BM142</f>
        <v/>
      </c>
      <c r="BN143" s="3">
        <f>BN141-BN142</f>
        <v/>
      </c>
      <c r="BO143" s="3">
        <f>BO141-BO142</f>
        <v/>
      </c>
      <c r="BP143" s="3">
        <f>BP141-BP142</f>
        <v/>
      </c>
      <c r="BQ143" s="3">
        <f>BQ141-BQ142</f>
        <v/>
      </c>
      <c r="BR143" s="3">
        <f>BR141-BR142</f>
        <v/>
      </c>
      <c r="BS143" s="3">
        <f>BS141-BS142</f>
        <v/>
      </c>
      <c r="BT143" s="3">
        <f>BT141-BT142</f>
        <v/>
      </c>
      <c r="BU143" s="3">
        <f>BU141-BU142</f>
        <v/>
      </c>
      <c r="BV143" s="3">
        <f>BV141-BV142</f>
        <v/>
      </c>
    </row>
    <row r="144">
      <c r="A144" t="inlineStr">
        <is>
          <t>paid starts</t>
        </is>
      </c>
      <c r="B144" t="inlineStr">
        <is>
          <t>APAC|NITRO_M</t>
        </is>
      </c>
      <c r="C144" s="3">
        <f>C137+C139</f>
        <v/>
      </c>
      <c r="D144" s="3">
        <f>D137+D139</f>
        <v/>
      </c>
      <c r="E144" s="3">
        <f>E137+E139</f>
        <v/>
      </c>
      <c r="F144" s="3">
        <f>F137+F139</f>
        <v/>
      </c>
      <c r="G144" s="3">
        <f>G137+G139</f>
        <v/>
      </c>
      <c r="H144" s="3">
        <f>H137+H139</f>
        <v/>
      </c>
      <c r="I144" s="3">
        <f>I137+I139</f>
        <v/>
      </c>
      <c r="J144" s="3">
        <f>J137+J139</f>
        <v/>
      </c>
      <c r="K144" s="3">
        <f>K137+K139</f>
        <v/>
      </c>
      <c r="L144" s="3">
        <f>L137+L139</f>
        <v/>
      </c>
      <c r="M144" s="3">
        <f>M137+M139</f>
        <v/>
      </c>
      <c r="N144" s="3">
        <f>N137+N139</f>
        <v/>
      </c>
      <c r="O144" s="3">
        <f>O137+O139</f>
        <v/>
      </c>
      <c r="P144" s="3">
        <f>P137+P139</f>
        <v/>
      </c>
      <c r="Q144" s="3">
        <f>Q137+Q139</f>
        <v/>
      </c>
      <c r="R144" s="3">
        <f>R137+R139</f>
        <v/>
      </c>
      <c r="S144" s="3">
        <f>S137+S139</f>
        <v/>
      </c>
      <c r="T144" s="3">
        <f>T137+T139</f>
        <v/>
      </c>
      <c r="U144" s="3">
        <f>U137+U139</f>
        <v/>
      </c>
      <c r="V144" s="3">
        <f>V137+V139</f>
        <v/>
      </c>
      <c r="W144" s="3">
        <f>W137+W139</f>
        <v/>
      </c>
      <c r="X144" s="3">
        <f>X137+X139</f>
        <v/>
      </c>
      <c r="Y144" s="3">
        <f>Y137+Y139</f>
        <v/>
      </c>
      <c r="Z144" s="3">
        <f>Z137+Z139</f>
        <v/>
      </c>
      <c r="AA144" s="3">
        <f>AA137+AA139</f>
        <v/>
      </c>
      <c r="AB144" s="3">
        <f>AB137+AB139</f>
        <v/>
      </c>
      <c r="AC144" s="3">
        <f>AC137+AC139</f>
        <v/>
      </c>
      <c r="AD144" s="3">
        <f>AD137+AD139</f>
        <v/>
      </c>
      <c r="AE144" s="3">
        <f>AE137+AE139</f>
        <v/>
      </c>
      <c r="AF144" s="3">
        <f>AF137+AF139</f>
        <v/>
      </c>
      <c r="AG144" s="3">
        <f>AG137+AG139</f>
        <v/>
      </c>
      <c r="AH144" s="3">
        <f>AH137+AH139</f>
        <v/>
      </c>
      <c r="AI144" s="3">
        <f>AI137+AI139</f>
        <v/>
      </c>
      <c r="AJ144" s="3">
        <f>AJ137+AJ139</f>
        <v/>
      </c>
      <c r="AK144" s="3">
        <f>AK137+AK139</f>
        <v/>
      </c>
      <c r="AL144" s="3">
        <f>AL137+AL139</f>
        <v/>
      </c>
      <c r="AM144" s="3">
        <f>AM137+AM139</f>
        <v/>
      </c>
      <c r="AN144" s="3">
        <f>AN137+AN139</f>
        <v/>
      </c>
      <c r="AO144" s="3">
        <f>AO137+AO139</f>
        <v/>
      </c>
      <c r="AP144" s="3">
        <f>AP137+AP139</f>
        <v/>
      </c>
      <c r="AQ144" s="3">
        <f>AQ137+AQ139</f>
        <v/>
      </c>
      <c r="AR144" s="3">
        <f>AR137+AR139</f>
        <v/>
      </c>
      <c r="AS144" s="3">
        <f>AS137+AS139</f>
        <v/>
      </c>
      <c r="AT144" s="3">
        <f>AT137+AT139</f>
        <v/>
      </c>
      <c r="AU144" s="3">
        <f>AU137+AU139</f>
        <v/>
      </c>
      <c r="AV144" s="3">
        <f>AV137+AV139</f>
        <v/>
      </c>
      <c r="AW144" s="3">
        <f>AW137+AW139</f>
        <v/>
      </c>
      <c r="AX144" s="3">
        <f>AX137+AX139</f>
        <v/>
      </c>
      <c r="AY144" s="3">
        <f>AY137+AY139</f>
        <v/>
      </c>
      <c r="AZ144" s="3">
        <f>AZ137+AZ139</f>
        <v/>
      </c>
      <c r="BA144" s="3">
        <f>BA137+BA139</f>
        <v/>
      </c>
      <c r="BB144" s="3">
        <f>BB137+BB139</f>
        <v/>
      </c>
      <c r="BC144" s="3">
        <f>BC137+BC139</f>
        <v/>
      </c>
      <c r="BD144" s="3">
        <f>BD137+BD139</f>
        <v/>
      </c>
      <c r="BE144" s="3">
        <f>BE137+BE139</f>
        <v/>
      </c>
      <c r="BF144" s="3">
        <f>BF137+BF139</f>
        <v/>
      </c>
      <c r="BG144" s="3">
        <f>BG137+BG139</f>
        <v/>
      </c>
      <c r="BH144" s="3">
        <f>BH137+BH139</f>
        <v/>
      </c>
      <c r="BI144" s="3">
        <f>BI137+BI139</f>
        <v/>
      </c>
      <c r="BJ144" s="3">
        <f>BJ137+BJ139</f>
        <v/>
      </c>
      <c r="BK144" s="3">
        <f>BK137+BK139</f>
        <v/>
      </c>
      <c r="BL144" s="3">
        <f>BL137+BL139</f>
        <v/>
      </c>
      <c r="BM144" s="3">
        <f>BM137+BM139</f>
        <v/>
      </c>
      <c r="BN144" s="3">
        <f>BN137+BN139</f>
        <v/>
      </c>
      <c r="BO144" s="3">
        <f>BO137+BO139</f>
        <v/>
      </c>
      <c r="BP144" s="3">
        <f>BP137+BP139</f>
        <v/>
      </c>
      <c r="BQ144" s="3">
        <f>BQ137+BQ139</f>
        <v/>
      </c>
      <c r="BR144" s="3">
        <f>BR137+BR139</f>
        <v/>
      </c>
      <c r="BS144" s="3">
        <f>BS137+BS139</f>
        <v/>
      </c>
      <c r="BT144" s="3">
        <f>BT137+BT139</f>
        <v/>
      </c>
      <c r="BU144" s="3">
        <f>BU137+BU139</f>
        <v/>
      </c>
      <c r="BV144" s="3">
        <f>BV137+BV139</f>
        <v/>
      </c>
    </row>
    <row r="146">
      <c r="A146" t="inlineStr">
        <is>
          <t>gross adds</t>
        </is>
      </c>
      <c r="B146" t="inlineStr">
        <is>
          <t>APAC|NITRO_A</t>
        </is>
      </c>
      <c r="C146" s="3">
        <f>MAU!C7*Params!$B$39*Params!$B$5*Params!$B$87*Params!$B$72</f>
        <v/>
      </c>
      <c r="D146" s="3">
        <f>MAU!D7*Params!$B$39*Params!$B$5*Params!$B$87*Params!$B$72</f>
        <v/>
      </c>
      <c r="E146" s="3">
        <f>MAU!E7*Params!$B$39*Params!$B$5*Params!$B$87*Params!$B$72</f>
        <v/>
      </c>
      <c r="F146" s="3">
        <f>MAU!F7*Params!$B$39*Params!$B$5*Params!$B$87*Params!$B$72</f>
        <v/>
      </c>
      <c r="G146" s="3">
        <f>MAU!G7*Params!$B$39*Params!$B$5*Params!$B$87*Params!$B$72</f>
        <v/>
      </c>
      <c r="H146" s="3">
        <f>MAU!H7*Params!$B$39*Params!$B$5*Params!$B$87*Params!$B$72</f>
        <v/>
      </c>
      <c r="I146" s="3">
        <f>MAU!I7*Params!$B$39*Params!$B$5*Params!$B$87*Params!$B$72</f>
        <v/>
      </c>
      <c r="J146" s="3">
        <f>MAU!J7*Params!$B$39*Params!$B$5*Params!$B$87*Params!$B$72</f>
        <v/>
      </c>
      <c r="K146" s="3">
        <f>MAU!K7*Params!$B$39*Params!$B$5*Params!$B$87*Params!$B$72</f>
        <v/>
      </c>
      <c r="L146" s="3">
        <f>MAU!L7*Params!$B$39*Params!$B$5*Params!$B$87*Params!$B$72</f>
        <v/>
      </c>
      <c r="M146" s="3">
        <f>MAU!M7*Params!$B$39*Params!$B$5*Params!$B$87*Params!$B$72</f>
        <v/>
      </c>
      <c r="N146" s="3">
        <f>MAU!N7*Params!$B$39*Params!$B$5*Params!$B$87*Params!$B$72</f>
        <v/>
      </c>
      <c r="O146" s="3">
        <f>MAU!O7*Params!$B$39*Params!$B$5*Params!$B$87*Params!$B$72</f>
        <v/>
      </c>
      <c r="P146" s="3">
        <f>MAU!P7*Params!$B$39*Params!$B$5*Params!$B$87*Params!$B$72</f>
        <v/>
      </c>
      <c r="Q146" s="3">
        <f>MAU!Q7*Params!$B$39*Params!$B$5*Params!$B$87*Params!$B$72</f>
        <v/>
      </c>
      <c r="R146" s="3">
        <f>MAU!R7*Params!$B$39*Params!$B$5*Params!$B$87*Params!$B$72</f>
        <v/>
      </c>
      <c r="S146" s="3">
        <f>MAU!S7*Params!$B$39*Params!$B$5*Params!$B$87*Params!$B$72</f>
        <v/>
      </c>
      <c r="T146" s="3">
        <f>MAU!T7*Params!$B$39*Params!$B$5*Params!$B$87*Params!$B$72</f>
        <v/>
      </c>
      <c r="U146" s="3">
        <f>MAU!U7*Params!$B$39*Params!$B$5*Params!$B$87*Params!$B$72</f>
        <v/>
      </c>
      <c r="V146" s="3">
        <f>MAU!V7*Params!$B$39*Params!$B$5*Params!$B$87*Params!$B$72</f>
        <v/>
      </c>
      <c r="W146" s="3">
        <f>MAU!W7*Params!$B$39*Params!$B$5*Params!$B$87*Params!$B$72</f>
        <v/>
      </c>
      <c r="X146" s="3">
        <f>MAU!X7*Params!$B$39*Params!$B$5*Params!$B$87*Params!$B$72</f>
        <v/>
      </c>
      <c r="Y146" s="3">
        <f>MAU!Y7*Params!$B$39*Params!$B$5*Params!$B$87*Params!$B$72</f>
        <v/>
      </c>
      <c r="Z146" s="3">
        <f>MAU!Z7*Params!$B$39*Params!$B$5*Params!$B$87*Params!$B$72</f>
        <v/>
      </c>
      <c r="AA146" s="3">
        <f>MAU!AA7*Params!$B$39*Params!$B$5*Params!$B$87*Params!$B$72</f>
        <v/>
      </c>
      <c r="AB146" s="3">
        <f>MAU!AB7*Params!$B$39*Params!$B$5*Params!$B$87*Params!$B$72</f>
        <v/>
      </c>
      <c r="AC146" s="3">
        <f>MAU!AC7*Params!$B$39*Params!$B$5*Params!$B$87*Params!$B$72</f>
        <v/>
      </c>
      <c r="AD146" s="3">
        <f>MAU!AD7*Params!$B$39*Params!$B$5*Params!$B$87*Params!$B$72</f>
        <v/>
      </c>
      <c r="AE146" s="3">
        <f>MAU!AE7*Params!$B$39*Params!$B$5*Params!$B$87*Params!$B$72</f>
        <v/>
      </c>
      <c r="AF146" s="3">
        <f>MAU!AF7*Params!$B$39*Params!$B$5*Params!$B$87*Params!$B$72</f>
        <v/>
      </c>
      <c r="AG146" s="3">
        <f>MAU!AG7*Params!$B$39*Params!$B$5*Params!$B$87*Params!$B$72</f>
        <v/>
      </c>
      <c r="AH146" s="3">
        <f>MAU!AH7*Params!$B$39*Params!$B$5*Params!$B$87*Params!$B$72</f>
        <v/>
      </c>
      <c r="AI146" s="3">
        <f>MAU!AI7*Params!$B$39*Params!$B$5*Params!$B$87*Params!$B$72</f>
        <v/>
      </c>
      <c r="AJ146" s="3">
        <f>MAU!AJ7*Params!$B$39*Params!$B$5*Params!$B$87*Params!$B$72</f>
        <v/>
      </c>
      <c r="AK146" s="3">
        <f>MAU!AK7*Params!$B$39*Params!$B$5*Params!$B$87*Params!$B$72</f>
        <v/>
      </c>
      <c r="AL146" s="3">
        <f>MAU!AL7*Params!$B$39*Params!$B$5*Params!$B$87*Params!$B$72</f>
        <v/>
      </c>
      <c r="AM146" s="3">
        <f>MAU!AM7*Params!$B$39*Params!$B$5*Params!$B$87*Params!$B$72</f>
        <v/>
      </c>
      <c r="AN146" s="3">
        <f>MAU!AN7*Params!$B$39*Params!$B$5*Params!$B$87*Params!$B$72</f>
        <v/>
      </c>
      <c r="AO146" s="3">
        <f>MAU!AO7*Params!$B$39*Params!$B$5*Params!$B$87*Params!$B$72</f>
        <v/>
      </c>
      <c r="AP146" s="3">
        <f>MAU!AP7*Params!$B$39*Params!$B$5*Params!$B$87*Params!$B$72</f>
        <v/>
      </c>
      <c r="AQ146" s="3">
        <f>MAU!AQ7*Params!$B$39*Params!$B$5*Params!$B$87*Params!$B$72</f>
        <v/>
      </c>
      <c r="AR146" s="3">
        <f>MAU!AR7*Params!$B$39*Params!$B$5*Params!$B$87*Params!$B$72</f>
        <v/>
      </c>
      <c r="AS146" s="3">
        <f>MAU!AS7*Params!$B$39*Params!$B$5*Params!$B$87*Params!$B$72</f>
        <v/>
      </c>
      <c r="AT146" s="3">
        <f>MAU!AT7*Params!$B$39*Params!$B$5*Params!$B$87*Params!$B$72</f>
        <v/>
      </c>
      <c r="AU146" s="3">
        <f>MAU!AU7*Params!$B$39*Params!$B$5*Params!$B$87*Params!$B$72</f>
        <v/>
      </c>
      <c r="AV146" s="3">
        <f>MAU!AV7*Params!$B$39*Params!$B$5*Params!$B$87*Params!$B$72</f>
        <v/>
      </c>
      <c r="AW146" s="3">
        <f>MAU!AW7*Params!$B$39*Params!$B$5*Params!$B$87*Params!$B$72</f>
        <v/>
      </c>
      <c r="AX146" s="3">
        <f>MAU!AX7*Params!$B$39*Params!$B$5*Params!$B$87*Params!$B$72</f>
        <v/>
      </c>
      <c r="AY146" s="3">
        <f>MAU!AY7*Params!$B$39*Params!$B$5*Params!$B$87*Params!$B$72</f>
        <v/>
      </c>
      <c r="AZ146" s="3">
        <f>MAU!AZ7*Params!$B$39*Params!$B$5*Params!$B$87*Params!$B$72</f>
        <v/>
      </c>
      <c r="BA146" s="3">
        <f>MAU!BA7*Params!$B$39*Params!$B$5*Params!$B$87*Params!$B$72</f>
        <v/>
      </c>
      <c r="BB146" s="3">
        <f>MAU!BB7*Params!$B$39*Params!$B$5*Params!$B$87*Params!$B$72</f>
        <v/>
      </c>
      <c r="BC146" s="3">
        <f>MAU!BC7*Params!$B$39*Params!$B$5*Params!$B$87*Params!$B$72</f>
        <v/>
      </c>
      <c r="BD146" s="3">
        <f>MAU!BD7*Params!$B$39*Params!$B$5*Params!$B$87*Params!$B$72</f>
        <v/>
      </c>
      <c r="BE146" s="3">
        <f>MAU!BE7*Params!$B$39*Params!$B$5*Params!$B$87*Params!$B$72</f>
        <v/>
      </c>
      <c r="BF146" s="3">
        <f>MAU!BF7*Params!$B$39*Params!$B$5*Params!$B$87*Params!$B$72</f>
        <v/>
      </c>
      <c r="BG146" s="3">
        <f>MAU!BG7*Params!$B$39*Params!$B$5*Params!$B$87*Params!$B$72</f>
        <v/>
      </c>
      <c r="BH146" s="3">
        <f>MAU!BH7*Params!$B$39*Params!$B$5*Params!$B$87*Params!$B$72</f>
        <v/>
      </c>
      <c r="BI146" s="3">
        <f>MAU!BI7*Params!$B$39*Params!$B$5*Params!$B$87*Params!$B$72</f>
        <v/>
      </c>
      <c r="BJ146" s="3">
        <f>MAU!BJ7*Params!$B$39*Params!$B$5*Params!$B$87*Params!$B$72</f>
        <v/>
      </c>
      <c r="BK146" s="3">
        <f>MAU!BK7*Params!$B$39*Params!$B$5*Params!$B$87*Params!$B$72</f>
        <v/>
      </c>
      <c r="BL146" s="3">
        <f>MAU!BL7*Params!$B$39*Params!$B$5*Params!$B$87*Params!$B$72</f>
        <v/>
      </c>
      <c r="BM146" s="3">
        <f>MAU!BM7*Params!$B$39*Params!$B$5*Params!$B$87*Params!$B$72</f>
        <v/>
      </c>
      <c r="BN146" s="3">
        <f>MAU!BN7*Params!$B$39*Params!$B$5*Params!$B$87*Params!$B$72</f>
        <v/>
      </c>
      <c r="BO146" s="3">
        <f>MAU!BO7*Params!$B$39*Params!$B$5*Params!$B$87*Params!$B$72</f>
        <v/>
      </c>
      <c r="BP146" s="3">
        <f>MAU!BP7*Params!$B$39*Params!$B$5*Params!$B$87*Params!$B$72</f>
        <v/>
      </c>
      <c r="BQ146" s="3">
        <f>MAU!BQ7*Params!$B$39*Params!$B$5*Params!$B$87*Params!$B$72</f>
        <v/>
      </c>
      <c r="BR146" s="3">
        <f>MAU!BR7*Params!$B$39*Params!$B$5*Params!$B$87*Params!$B$72</f>
        <v/>
      </c>
      <c r="BS146" s="3">
        <f>MAU!BS7*Params!$B$39*Params!$B$5*Params!$B$87*Params!$B$72</f>
        <v/>
      </c>
      <c r="BT146" s="3">
        <f>MAU!BT7*Params!$B$39*Params!$B$5*Params!$B$87*Params!$B$72</f>
        <v/>
      </c>
      <c r="BU146" s="3">
        <f>MAU!BU7*Params!$B$39*Params!$B$5*Params!$B$87*Params!$B$72</f>
        <v/>
      </c>
      <c r="BV146" s="3">
        <f>MAU!BV7*Params!$B$39*Params!$B$5*Params!$B$87*Params!$B$72</f>
        <v/>
      </c>
    </row>
    <row r="147">
      <c r="A147" t="inlineStr">
        <is>
          <t>trial starts</t>
        </is>
      </c>
      <c r="B147" t="inlineStr">
        <is>
          <t>APAC|NITRO_A</t>
        </is>
      </c>
      <c r="C147" s="3">
        <f>C146*Params!$B$6</f>
        <v/>
      </c>
      <c r="D147" s="3">
        <f>D146*Params!$B$6</f>
        <v/>
      </c>
      <c r="E147" s="3">
        <f>E146*Params!$B$6</f>
        <v/>
      </c>
      <c r="F147" s="3">
        <f>F146*Params!$B$6</f>
        <v/>
      </c>
      <c r="G147" s="3">
        <f>G146*Params!$B$6</f>
        <v/>
      </c>
      <c r="H147" s="3">
        <f>H146*Params!$B$6</f>
        <v/>
      </c>
      <c r="I147" s="3">
        <f>I146*Params!$B$6</f>
        <v/>
      </c>
      <c r="J147" s="3">
        <f>J146*Params!$B$6</f>
        <v/>
      </c>
      <c r="K147" s="3">
        <f>K146*Params!$B$6</f>
        <v/>
      </c>
      <c r="L147" s="3">
        <f>L146*Params!$B$6</f>
        <v/>
      </c>
      <c r="M147" s="3">
        <f>M146*Params!$B$6</f>
        <v/>
      </c>
      <c r="N147" s="3">
        <f>N146*Params!$B$6</f>
        <v/>
      </c>
      <c r="O147" s="3">
        <f>O146*Params!$B$6</f>
        <v/>
      </c>
      <c r="P147" s="3">
        <f>P146*Params!$B$6</f>
        <v/>
      </c>
      <c r="Q147" s="3">
        <f>Q146*Params!$B$6</f>
        <v/>
      </c>
      <c r="R147" s="3">
        <f>R146*Params!$B$6</f>
        <v/>
      </c>
      <c r="S147" s="3">
        <f>S146*Params!$B$6</f>
        <v/>
      </c>
      <c r="T147" s="3">
        <f>T146*Params!$B$6</f>
        <v/>
      </c>
      <c r="U147" s="3">
        <f>U146*Params!$B$6</f>
        <v/>
      </c>
      <c r="V147" s="3">
        <f>V146*Params!$B$6</f>
        <v/>
      </c>
      <c r="W147" s="3">
        <f>W146*Params!$B$6</f>
        <v/>
      </c>
      <c r="X147" s="3">
        <f>X146*Params!$B$6</f>
        <v/>
      </c>
      <c r="Y147" s="3">
        <f>Y146*Params!$B$6</f>
        <v/>
      </c>
      <c r="Z147" s="3">
        <f>Z146*Params!$B$6</f>
        <v/>
      </c>
      <c r="AA147" s="3">
        <f>AA146*Params!$B$6</f>
        <v/>
      </c>
      <c r="AB147" s="3">
        <f>AB146*Params!$B$6</f>
        <v/>
      </c>
      <c r="AC147" s="3">
        <f>AC146*Params!$B$6</f>
        <v/>
      </c>
      <c r="AD147" s="3">
        <f>AD146*Params!$B$6</f>
        <v/>
      </c>
      <c r="AE147" s="3">
        <f>AE146*Params!$B$6</f>
        <v/>
      </c>
      <c r="AF147" s="3">
        <f>AF146*Params!$B$6</f>
        <v/>
      </c>
      <c r="AG147" s="3">
        <f>AG146*Params!$B$6</f>
        <v/>
      </c>
      <c r="AH147" s="3">
        <f>AH146*Params!$B$6</f>
        <v/>
      </c>
      <c r="AI147" s="3">
        <f>AI146*Params!$B$6</f>
        <v/>
      </c>
      <c r="AJ147" s="3">
        <f>AJ146*Params!$B$6</f>
        <v/>
      </c>
      <c r="AK147" s="3">
        <f>AK146*Params!$B$6</f>
        <v/>
      </c>
      <c r="AL147" s="3">
        <f>AL146*Params!$B$6</f>
        <v/>
      </c>
      <c r="AM147" s="3">
        <f>AM146*Params!$B$6</f>
        <v/>
      </c>
      <c r="AN147" s="3">
        <f>AN146*Params!$B$6</f>
        <v/>
      </c>
      <c r="AO147" s="3">
        <f>AO146*Params!$B$6</f>
        <v/>
      </c>
      <c r="AP147" s="3">
        <f>AP146*Params!$B$6</f>
        <v/>
      </c>
      <c r="AQ147" s="3">
        <f>AQ146*Params!$B$6</f>
        <v/>
      </c>
      <c r="AR147" s="3">
        <f>AR146*Params!$B$6</f>
        <v/>
      </c>
      <c r="AS147" s="3">
        <f>AS146*Params!$B$6</f>
        <v/>
      </c>
      <c r="AT147" s="3">
        <f>AT146*Params!$B$6</f>
        <v/>
      </c>
      <c r="AU147" s="3">
        <f>AU146*Params!$B$6</f>
        <v/>
      </c>
      <c r="AV147" s="3">
        <f>AV146*Params!$B$6</f>
        <v/>
      </c>
      <c r="AW147" s="3">
        <f>AW146*Params!$B$6</f>
        <v/>
      </c>
      <c r="AX147" s="3">
        <f>AX146*Params!$B$6</f>
        <v/>
      </c>
      <c r="AY147" s="3">
        <f>AY146*Params!$B$6</f>
        <v/>
      </c>
      <c r="AZ147" s="3">
        <f>AZ146*Params!$B$6</f>
        <v/>
      </c>
      <c r="BA147" s="3">
        <f>BA146*Params!$B$6</f>
        <v/>
      </c>
      <c r="BB147" s="3">
        <f>BB146*Params!$B$6</f>
        <v/>
      </c>
      <c r="BC147" s="3">
        <f>BC146*Params!$B$6</f>
        <v/>
      </c>
      <c r="BD147" s="3">
        <f>BD146*Params!$B$6</f>
        <v/>
      </c>
      <c r="BE147" s="3">
        <f>BE146*Params!$B$6</f>
        <v/>
      </c>
      <c r="BF147" s="3">
        <f>BF146*Params!$B$6</f>
        <v/>
      </c>
      <c r="BG147" s="3">
        <f>BG146*Params!$B$6</f>
        <v/>
      </c>
      <c r="BH147" s="3">
        <f>BH146*Params!$B$6</f>
        <v/>
      </c>
      <c r="BI147" s="3">
        <f>BI146*Params!$B$6</f>
        <v/>
      </c>
      <c r="BJ147" s="3">
        <f>BJ146*Params!$B$6</f>
        <v/>
      </c>
      <c r="BK147" s="3">
        <f>BK146*Params!$B$6</f>
        <v/>
      </c>
      <c r="BL147" s="3">
        <f>BL146*Params!$B$6</f>
        <v/>
      </c>
      <c r="BM147" s="3">
        <f>BM146*Params!$B$6</f>
        <v/>
      </c>
      <c r="BN147" s="3">
        <f>BN146*Params!$B$6</f>
        <v/>
      </c>
      <c r="BO147" s="3">
        <f>BO146*Params!$B$6</f>
        <v/>
      </c>
      <c r="BP147" s="3">
        <f>BP146*Params!$B$6</f>
        <v/>
      </c>
      <c r="BQ147" s="3">
        <f>BQ146*Params!$B$6</f>
        <v/>
      </c>
      <c r="BR147" s="3">
        <f>BR146*Params!$B$6</f>
        <v/>
      </c>
      <c r="BS147" s="3">
        <f>BS146*Params!$B$6</f>
        <v/>
      </c>
      <c r="BT147" s="3">
        <f>BT146*Params!$B$6</f>
        <v/>
      </c>
      <c r="BU147" s="3">
        <f>BU146*Params!$B$6</f>
        <v/>
      </c>
      <c r="BV147" s="3">
        <f>BV146*Params!$B$6</f>
        <v/>
      </c>
    </row>
    <row r="148">
      <c r="A148" t="inlineStr">
        <is>
          <t>direct paid starts</t>
        </is>
      </c>
      <c r="B148" t="inlineStr">
        <is>
          <t>APAC|NITRO_A</t>
        </is>
      </c>
      <c r="C148" s="3">
        <f>C146-C147</f>
        <v/>
      </c>
      <c r="D148" s="3">
        <f>D146-D147</f>
        <v/>
      </c>
      <c r="E148" s="3">
        <f>E146-E147</f>
        <v/>
      </c>
      <c r="F148" s="3">
        <f>F146-F147</f>
        <v/>
      </c>
      <c r="G148" s="3">
        <f>G146-G147</f>
        <v/>
      </c>
      <c r="H148" s="3">
        <f>H146-H147</f>
        <v/>
      </c>
      <c r="I148" s="3">
        <f>I146-I147</f>
        <v/>
      </c>
      <c r="J148" s="3">
        <f>J146-J147</f>
        <v/>
      </c>
      <c r="K148" s="3">
        <f>K146-K147</f>
        <v/>
      </c>
      <c r="L148" s="3">
        <f>L146-L147</f>
        <v/>
      </c>
      <c r="M148" s="3">
        <f>M146-M147</f>
        <v/>
      </c>
      <c r="N148" s="3">
        <f>N146-N147</f>
        <v/>
      </c>
      <c r="O148" s="3">
        <f>O146-O147</f>
        <v/>
      </c>
      <c r="P148" s="3">
        <f>P146-P147</f>
        <v/>
      </c>
      <c r="Q148" s="3">
        <f>Q146-Q147</f>
        <v/>
      </c>
      <c r="R148" s="3">
        <f>R146-R147</f>
        <v/>
      </c>
      <c r="S148" s="3">
        <f>S146-S147</f>
        <v/>
      </c>
      <c r="T148" s="3">
        <f>T146-T147</f>
        <v/>
      </c>
      <c r="U148" s="3">
        <f>U146-U147</f>
        <v/>
      </c>
      <c r="V148" s="3">
        <f>V146-V147</f>
        <v/>
      </c>
      <c r="W148" s="3">
        <f>W146-W147</f>
        <v/>
      </c>
      <c r="X148" s="3">
        <f>X146-X147</f>
        <v/>
      </c>
      <c r="Y148" s="3">
        <f>Y146-Y147</f>
        <v/>
      </c>
      <c r="Z148" s="3">
        <f>Z146-Z147</f>
        <v/>
      </c>
      <c r="AA148" s="3">
        <f>AA146-AA147</f>
        <v/>
      </c>
      <c r="AB148" s="3">
        <f>AB146-AB147</f>
        <v/>
      </c>
      <c r="AC148" s="3">
        <f>AC146-AC147</f>
        <v/>
      </c>
      <c r="AD148" s="3">
        <f>AD146-AD147</f>
        <v/>
      </c>
      <c r="AE148" s="3">
        <f>AE146-AE147</f>
        <v/>
      </c>
      <c r="AF148" s="3">
        <f>AF146-AF147</f>
        <v/>
      </c>
      <c r="AG148" s="3">
        <f>AG146-AG147</f>
        <v/>
      </c>
      <c r="AH148" s="3">
        <f>AH146-AH147</f>
        <v/>
      </c>
      <c r="AI148" s="3">
        <f>AI146-AI147</f>
        <v/>
      </c>
      <c r="AJ148" s="3">
        <f>AJ146-AJ147</f>
        <v/>
      </c>
      <c r="AK148" s="3">
        <f>AK146-AK147</f>
        <v/>
      </c>
      <c r="AL148" s="3">
        <f>AL146-AL147</f>
        <v/>
      </c>
      <c r="AM148" s="3">
        <f>AM146-AM147</f>
        <v/>
      </c>
      <c r="AN148" s="3">
        <f>AN146-AN147</f>
        <v/>
      </c>
      <c r="AO148" s="3">
        <f>AO146-AO147</f>
        <v/>
      </c>
      <c r="AP148" s="3">
        <f>AP146-AP147</f>
        <v/>
      </c>
      <c r="AQ148" s="3">
        <f>AQ146-AQ147</f>
        <v/>
      </c>
      <c r="AR148" s="3">
        <f>AR146-AR147</f>
        <v/>
      </c>
      <c r="AS148" s="3">
        <f>AS146-AS147</f>
        <v/>
      </c>
      <c r="AT148" s="3">
        <f>AT146-AT147</f>
        <v/>
      </c>
      <c r="AU148" s="3">
        <f>AU146-AU147</f>
        <v/>
      </c>
      <c r="AV148" s="3">
        <f>AV146-AV147</f>
        <v/>
      </c>
      <c r="AW148" s="3">
        <f>AW146-AW147</f>
        <v/>
      </c>
      <c r="AX148" s="3">
        <f>AX146-AX147</f>
        <v/>
      </c>
      <c r="AY148" s="3">
        <f>AY146-AY147</f>
        <v/>
      </c>
      <c r="AZ148" s="3">
        <f>AZ146-AZ147</f>
        <v/>
      </c>
      <c r="BA148" s="3">
        <f>BA146-BA147</f>
        <v/>
      </c>
      <c r="BB148" s="3">
        <f>BB146-BB147</f>
        <v/>
      </c>
      <c r="BC148" s="3">
        <f>BC146-BC147</f>
        <v/>
      </c>
      <c r="BD148" s="3">
        <f>BD146-BD147</f>
        <v/>
      </c>
      <c r="BE148" s="3">
        <f>BE146-BE147</f>
        <v/>
      </c>
      <c r="BF148" s="3">
        <f>BF146-BF147</f>
        <v/>
      </c>
      <c r="BG148" s="3">
        <f>BG146-BG147</f>
        <v/>
      </c>
      <c r="BH148" s="3">
        <f>BH146-BH147</f>
        <v/>
      </c>
      <c r="BI148" s="3">
        <f>BI146-BI147</f>
        <v/>
      </c>
      <c r="BJ148" s="3">
        <f>BJ146-BJ147</f>
        <v/>
      </c>
      <c r="BK148" s="3">
        <f>BK146-BK147</f>
        <v/>
      </c>
      <c r="BL148" s="3">
        <f>BL146-BL147</f>
        <v/>
      </c>
      <c r="BM148" s="3">
        <f>BM146-BM147</f>
        <v/>
      </c>
      <c r="BN148" s="3">
        <f>BN146-BN147</f>
        <v/>
      </c>
      <c r="BO148" s="3">
        <f>BO146-BO147</f>
        <v/>
      </c>
      <c r="BP148" s="3">
        <f>BP146-BP147</f>
        <v/>
      </c>
      <c r="BQ148" s="3">
        <f>BQ146-BQ147</f>
        <v/>
      </c>
      <c r="BR148" s="3">
        <f>BR146-BR147</f>
        <v/>
      </c>
      <c r="BS148" s="3">
        <f>BS146-BS147</f>
        <v/>
      </c>
      <c r="BT148" s="3">
        <f>BT146-BT147</f>
        <v/>
      </c>
      <c r="BU148" s="3">
        <f>BU146-BU147</f>
        <v/>
      </c>
      <c r="BV148" s="3">
        <f>BV146-BV147</f>
        <v/>
      </c>
    </row>
    <row r="149">
      <c r="A149" t="inlineStr">
        <is>
          <t>trials ending</t>
        </is>
      </c>
      <c r="B149" t="inlineStr">
        <is>
          <t>APAC|NITRO_A</t>
        </is>
      </c>
      <c r="C149" s="3">
        <f>IF(C$2&gt;=Params!$B$7,INDEX($C$147:$BV$147,C$2-Params!$B$7+1),0)</f>
        <v/>
      </c>
      <c r="D149" s="3">
        <f>IF(D$2&gt;=Params!$B$7,INDEX($C$147:$BV$147,D$2-Params!$B$7+1),0)</f>
        <v/>
      </c>
      <c r="E149" s="3">
        <f>IF(E$2&gt;=Params!$B$7,INDEX($C$147:$BV$147,E$2-Params!$B$7+1),0)</f>
        <v/>
      </c>
      <c r="F149" s="3">
        <f>IF(F$2&gt;=Params!$B$7,INDEX($C$147:$BV$147,F$2-Params!$B$7+1),0)</f>
        <v/>
      </c>
      <c r="G149" s="3">
        <f>IF(G$2&gt;=Params!$B$7,INDEX($C$147:$BV$147,G$2-Params!$B$7+1),0)</f>
        <v/>
      </c>
      <c r="H149" s="3">
        <f>IF(H$2&gt;=Params!$B$7,INDEX($C$147:$BV$147,H$2-Params!$B$7+1),0)</f>
        <v/>
      </c>
      <c r="I149" s="3">
        <f>IF(I$2&gt;=Params!$B$7,INDEX($C$147:$BV$147,I$2-Params!$B$7+1),0)</f>
        <v/>
      </c>
      <c r="J149" s="3">
        <f>IF(J$2&gt;=Params!$B$7,INDEX($C$147:$BV$147,J$2-Params!$B$7+1),0)</f>
        <v/>
      </c>
      <c r="K149" s="3">
        <f>IF(K$2&gt;=Params!$B$7,INDEX($C$147:$BV$147,K$2-Params!$B$7+1),0)</f>
        <v/>
      </c>
      <c r="L149" s="3">
        <f>IF(L$2&gt;=Params!$B$7,INDEX($C$147:$BV$147,L$2-Params!$B$7+1),0)</f>
        <v/>
      </c>
      <c r="M149" s="3">
        <f>IF(M$2&gt;=Params!$B$7,INDEX($C$147:$BV$147,M$2-Params!$B$7+1),0)</f>
        <v/>
      </c>
      <c r="N149" s="3">
        <f>IF(N$2&gt;=Params!$B$7,INDEX($C$147:$BV$147,N$2-Params!$B$7+1),0)</f>
        <v/>
      </c>
      <c r="O149" s="3">
        <f>IF(O$2&gt;=Params!$B$7,INDEX($C$147:$BV$147,O$2-Params!$B$7+1),0)</f>
        <v/>
      </c>
      <c r="P149" s="3">
        <f>IF(P$2&gt;=Params!$B$7,INDEX($C$147:$BV$147,P$2-Params!$B$7+1),0)</f>
        <v/>
      </c>
      <c r="Q149" s="3">
        <f>IF(Q$2&gt;=Params!$B$7,INDEX($C$147:$BV$147,Q$2-Params!$B$7+1),0)</f>
        <v/>
      </c>
      <c r="R149" s="3">
        <f>IF(R$2&gt;=Params!$B$7,INDEX($C$147:$BV$147,R$2-Params!$B$7+1),0)</f>
        <v/>
      </c>
      <c r="S149" s="3">
        <f>IF(S$2&gt;=Params!$B$7,INDEX($C$147:$BV$147,S$2-Params!$B$7+1),0)</f>
        <v/>
      </c>
      <c r="T149" s="3">
        <f>IF(T$2&gt;=Params!$B$7,INDEX($C$147:$BV$147,T$2-Params!$B$7+1),0)</f>
        <v/>
      </c>
      <c r="U149" s="3">
        <f>IF(U$2&gt;=Params!$B$7,INDEX($C$147:$BV$147,U$2-Params!$B$7+1),0)</f>
        <v/>
      </c>
      <c r="V149" s="3">
        <f>IF(V$2&gt;=Params!$B$7,INDEX($C$147:$BV$147,V$2-Params!$B$7+1),0)</f>
        <v/>
      </c>
      <c r="W149" s="3">
        <f>IF(W$2&gt;=Params!$B$7,INDEX($C$147:$BV$147,W$2-Params!$B$7+1),0)</f>
        <v/>
      </c>
      <c r="X149" s="3">
        <f>IF(X$2&gt;=Params!$B$7,INDEX($C$147:$BV$147,X$2-Params!$B$7+1),0)</f>
        <v/>
      </c>
      <c r="Y149" s="3">
        <f>IF(Y$2&gt;=Params!$B$7,INDEX($C$147:$BV$147,Y$2-Params!$B$7+1),0)</f>
        <v/>
      </c>
      <c r="Z149" s="3">
        <f>IF(Z$2&gt;=Params!$B$7,INDEX($C$147:$BV$147,Z$2-Params!$B$7+1),0)</f>
        <v/>
      </c>
      <c r="AA149" s="3">
        <f>IF(AA$2&gt;=Params!$B$7,INDEX($C$147:$BV$147,AA$2-Params!$B$7+1),0)</f>
        <v/>
      </c>
      <c r="AB149" s="3">
        <f>IF(AB$2&gt;=Params!$B$7,INDEX($C$147:$BV$147,AB$2-Params!$B$7+1),0)</f>
        <v/>
      </c>
      <c r="AC149" s="3">
        <f>IF(AC$2&gt;=Params!$B$7,INDEX($C$147:$BV$147,AC$2-Params!$B$7+1),0)</f>
        <v/>
      </c>
      <c r="AD149" s="3">
        <f>IF(AD$2&gt;=Params!$B$7,INDEX($C$147:$BV$147,AD$2-Params!$B$7+1),0)</f>
        <v/>
      </c>
      <c r="AE149" s="3">
        <f>IF(AE$2&gt;=Params!$B$7,INDEX($C$147:$BV$147,AE$2-Params!$B$7+1),0)</f>
        <v/>
      </c>
      <c r="AF149" s="3">
        <f>IF(AF$2&gt;=Params!$B$7,INDEX($C$147:$BV$147,AF$2-Params!$B$7+1),0)</f>
        <v/>
      </c>
      <c r="AG149" s="3">
        <f>IF(AG$2&gt;=Params!$B$7,INDEX($C$147:$BV$147,AG$2-Params!$B$7+1),0)</f>
        <v/>
      </c>
      <c r="AH149" s="3">
        <f>IF(AH$2&gt;=Params!$B$7,INDEX($C$147:$BV$147,AH$2-Params!$B$7+1),0)</f>
        <v/>
      </c>
      <c r="AI149" s="3">
        <f>IF(AI$2&gt;=Params!$B$7,INDEX($C$147:$BV$147,AI$2-Params!$B$7+1),0)</f>
        <v/>
      </c>
      <c r="AJ149" s="3">
        <f>IF(AJ$2&gt;=Params!$B$7,INDEX($C$147:$BV$147,AJ$2-Params!$B$7+1),0)</f>
        <v/>
      </c>
      <c r="AK149" s="3">
        <f>IF(AK$2&gt;=Params!$B$7,INDEX($C$147:$BV$147,AK$2-Params!$B$7+1),0)</f>
        <v/>
      </c>
      <c r="AL149" s="3">
        <f>IF(AL$2&gt;=Params!$B$7,INDEX($C$147:$BV$147,AL$2-Params!$B$7+1),0)</f>
        <v/>
      </c>
      <c r="AM149" s="3">
        <f>IF(AM$2&gt;=Params!$B$7,INDEX($C$147:$BV$147,AM$2-Params!$B$7+1),0)</f>
        <v/>
      </c>
      <c r="AN149" s="3">
        <f>IF(AN$2&gt;=Params!$B$7,INDEX($C$147:$BV$147,AN$2-Params!$B$7+1),0)</f>
        <v/>
      </c>
      <c r="AO149" s="3">
        <f>IF(AO$2&gt;=Params!$B$7,INDEX($C$147:$BV$147,AO$2-Params!$B$7+1),0)</f>
        <v/>
      </c>
      <c r="AP149" s="3">
        <f>IF(AP$2&gt;=Params!$B$7,INDEX($C$147:$BV$147,AP$2-Params!$B$7+1),0)</f>
        <v/>
      </c>
      <c r="AQ149" s="3">
        <f>IF(AQ$2&gt;=Params!$B$7,INDEX($C$147:$BV$147,AQ$2-Params!$B$7+1),0)</f>
        <v/>
      </c>
      <c r="AR149" s="3">
        <f>IF(AR$2&gt;=Params!$B$7,INDEX($C$147:$BV$147,AR$2-Params!$B$7+1),0)</f>
        <v/>
      </c>
      <c r="AS149" s="3">
        <f>IF(AS$2&gt;=Params!$B$7,INDEX($C$147:$BV$147,AS$2-Params!$B$7+1),0)</f>
        <v/>
      </c>
      <c r="AT149" s="3">
        <f>IF(AT$2&gt;=Params!$B$7,INDEX($C$147:$BV$147,AT$2-Params!$B$7+1),0)</f>
        <v/>
      </c>
      <c r="AU149" s="3">
        <f>IF(AU$2&gt;=Params!$B$7,INDEX($C$147:$BV$147,AU$2-Params!$B$7+1),0)</f>
        <v/>
      </c>
      <c r="AV149" s="3">
        <f>IF(AV$2&gt;=Params!$B$7,INDEX($C$147:$BV$147,AV$2-Params!$B$7+1),0)</f>
        <v/>
      </c>
      <c r="AW149" s="3">
        <f>IF(AW$2&gt;=Params!$B$7,INDEX($C$147:$BV$147,AW$2-Params!$B$7+1),0)</f>
        <v/>
      </c>
      <c r="AX149" s="3">
        <f>IF(AX$2&gt;=Params!$B$7,INDEX($C$147:$BV$147,AX$2-Params!$B$7+1),0)</f>
        <v/>
      </c>
      <c r="AY149" s="3">
        <f>IF(AY$2&gt;=Params!$B$7,INDEX($C$147:$BV$147,AY$2-Params!$B$7+1),0)</f>
        <v/>
      </c>
      <c r="AZ149" s="3">
        <f>IF(AZ$2&gt;=Params!$B$7,INDEX($C$147:$BV$147,AZ$2-Params!$B$7+1),0)</f>
        <v/>
      </c>
      <c r="BA149" s="3">
        <f>IF(BA$2&gt;=Params!$B$7,INDEX($C$147:$BV$147,BA$2-Params!$B$7+1),0)</f>
        <v/>
      </c>
      <c r="BB149" s="3">
        <f>IF(BB$2&gt;=Params!$B$7,INDEX($C$147:$BV$147,BB$2-Params!$B$7+1),0)</f>
        <v/>
      </c>
      <c r="BC149" s="3">
        <f>IF(BC$2&gt;=Params!$B$7,INDEX($C$147:$BV$147,BC$2-Params!$B$7+1),0)</f>
        <v/>
      </c>
      <c r="BD149" s="3">
        <f>IF(BD$2&gt;=Params!$B$7,INDEX($C$147:$BV$147,BD$2-Params!$B$7+1),0)</f>
        <v/>
      </c>
      <c r="BE149" s="3">
        <f>IF(BE$2&gt;=Params!$B$7,INDEX($C$147:$BV$147,BE$2-Params!$B$7+1),0)</f>
        <v/>
      </c>
      <c r="BF149" s="3">
        <f>IF(BF$2&gt;=Params!$B$7,INDEX($C$147:$BV$147,BF$2-Params!$B$7+1),0)</f>
        <v/>
      </c>
      <c r="BG149" s="3">
        <f>IF(BG$2&gt;=Params!$B$7,INDEX($C$147:$BV$147,BG$2-Params!$B$7+1),0)</f>
        <v/>
      </c>
      <c r="BH149" s="3">
        <f>IF(BH$2&gt;=Params!$B$7,INDEX($C$147:$BV$147,BH$2-Params!$B$7+1),0)</f>
        <v/>
      </c>
      <c r="BI149" s="3">
        <f>IF(BI$2&gt;=Params!$B$7,INDEX($C$147:$BV$147,BI$2-Params!$B$7+1),0)</f>
        <v/>
      </c>
      <c r="BJ149" s="3">
        <f>IF(BJ$2&gt;=Params!$B$7,INDEX($C$147:$BV$147,BJ$2-Params!$B$7+1),0)</f>
        <v/>
      </c>
      <c r="BK149" s="3">
        <f>IF(BK$2&gt;=Params!$B$7,INDEX($C$147:$BV$147,BK$2-Params!$B$7+1),0)</f>
        <v/>
      </c>
      <c r="BL149" s="3">
        <f>IF(BL$2&gt;=Params!$B$7,INDEX($C$147:$BV$147,BL$2-Params!$B$7+1),0)</f>
        <v/>
      </c>
      <c r="BM149" s="3">
        <f>IF(BM$2&gt;=Params!$B$7,INDEX($C$147:$BV$147,BM$2-Params!$B$7+1),0)</f>
        <v/>
      </c>
      <c r="BN149" s="3">
        <f>IF(BN$2&gt;=Params!$B$7,INDEX($C$147:$BV$147,BN$2-Params!$B$7+1),0)</f>
        <v/>
      </c>
      <c r="BO149" s="3">
        <f>IF(BO$2&gt;=Params!$B$7,INDEX($C$147:$BV$147,BO$2-Params!$B$7+1),0)</f>
        <v/>
      </c>
      <c r="BP149" s="3">
        <f>IF(BP$2&gt;=Params!$B$7,INDEX($C$147:$BV$147,BP$2-Params!$B$7+1),0)</f>
        <v/>
      </c>
      <c r="BQ149" s="3">
        <f>IF(BQ$2&gt;=Params!$B$7,INDEX($C$147:$BV$147,BQ$2-Params!$B$7+1),0)</f>
        <v/>
      </c>
      <c r="BR149" s="3">
        <f>IF(BR$2&gt;=Params!$B$7,INDEX($C$147:$BV$147,BR$2-Params!$B$7+1),0)</f>
        <v/>
      </c>
      <c r="BS149" s="3">
        <f>IF(BS$2&gt;=Params!$B$7,INDEX($C$147:$BV$147,BS$2-Params!$B$7+1),0)</f>
        <v/>
      </c>
      <c r="BT149" s="3">
        <f>IF(BT$2&gt;=Params!$B$7,INDEX($C$147:$BV$147,BT$2-Params!$B$7+1),0)</f>
        <v/>
      </c>
      <c r="BU149" s="3">
        <f>IF(BU$2&gt;=Params!$B$7,INDEX($C$147:$BV$147,BU$2-Params!$B$7+1),0)</f>
        <v/>
      </c>
      <c r="BV149" s="3">
        <f>IF(BV$2&gt;=Params!$B$7,INDEX($C$147:$BV$147,BV$2-Params!$B$7+1),0)</f>
        <v/>
      </c>
    </row>
    <row r="150">
      <c r="A150" t="inlineStr">
        <is>
          <t>trials converted</t>
        </is>
      </c>
      <c r="B150" t="inlineStr">
        <is>
          <t>APAC|NITRO_A</t>
        </is>
      </c>
      <c r="C150" s="3">
        <f>C149*Params!$B$8</f>
        <v/>
      </c>
      <c r="D150" s="3">
        <f>D149*Params!$B$8</f>
        <v/>
      </c>
      <c r="E150" s="3">
        <f>E149*Params!$B$8</f>
        <v/>
      </c>
      <c r="F150" s="3">
        <f>F149*Params!$B$8</f>
        <v/>
      </c>
      <c r="G150" s="3">
        <f>G149*Params!$B$8</f>
        <v/>
      </c>
      <c r="H150" s="3">
        <f>H149*Params!$B$8</f>
        <v/>
      </c>
      <c r="I150" s="3">
        <f>I149*Params!$B$8</f>
        <v/>
      </c>
      <c r="J150" s="3">
        <f>J149*Params!$B$8</f>
        <v/>
      </c>
      <c r="K150" s="3">
        <f>K149*Params!$B$8</f>
        <v/>
      </c>
      <c r="L150" s="3">
        <f>L149*Params!$B$8</f>
        <v/>
      </c>
      <c r="M150" s="3">
        <f>M149*Params!$B$8</f>
        <v/>
      </c>
      <c r="N150" s="3">
        <f>N149*Params!$B$8</f>
        <v/>
      </c>
      <c r="O150" s="3">
        <f>O149*Params!$B$8</f>
        <v/>
      </c>
      <c r="P150" s="3">
        <f>P149*Params!$B$8</f>
        <v/>
      </c>
      <c r="Q150" s="3">
        <f>Q149*Params!$B$8</f>
        <v/>
      </c>
      <c r="R150" s="3">
        <f>R149*Params!$B$8</f>
        <v/>
      </c>
      <c r="S150" s="3">
        <f>S149*Params!$B$8</f>
        <v/>
      </c>
      <c r="T150" s="3">
        <f>T149*Params!$B$8</f>
        <v/>
      </c>
      <c r="U150" s="3">
        <f>U149*Params!$B$8</f>
        <v/>
      </c>
      <c r="V150" s="3">
        <f>V149*Params!$B$8</f>
        <v/>
      </c>
      <c r="W150" s="3">
        <f>W149*Params!$B$8</f>
        <v/>
      </c>
      <c r="X150" s="3">
        <f>X149*Params!$B$8</f>
        <v/>
      </c>
      <c r="Y150" s="3">
        <f>Y149*Params!$B$8</f>
        <v/>
      </c>
      <c r="Z150" s="3">
        <f>Z149*Params!$B$8</f>
        <v/>
      </c>
      <c r="AA150" s="3">
        <f>AA149*Params!$B$8</f>
        <v/>
      </c>
      <c r="AB150" s="3">
        <f>AB149*Params!$B$8</f>
        <v/>
      </c>
      <c r="AC150" s="3">
        <f>AC149*Params!$B$8</f>
        <v/>
      </c>
      <c r="AD150" s="3">
        <f>AD149*Params!$B$8</f>
        <v/>
      </c>
      <c r="AE150" s="3">
        <f>AE149*Params!$B$8</f>
        <v/>
      </c>
      <c r="AF150" s="3">
        <f>AF149*Params!$B$8</f>
        <v/>
      </c>
      <c r="AG150" s="3">
        <f>AG149*Params!$B$8</f>
        <v/>
      </c>
      <c r="AH150" s="3">
        <f>AH149*Params!$B$8</f>
        <v/>
      </c>
      <c r="AI150" s="3">
        <f>AI149*Params!$B$8</f>
        <v/>
      </c>
      <c r="AJ150" s="3">
        <f>AJ149*Params!$B$8</f>
        <v/>
      </c>
      <c r="AK150" s="3">
        <f>AK149*Params!$B$8</f>
        <v/>
      </c>
      <c r="AL150" s="3">
        <f>AL149*Params!$B$8</f>
        <v/>
      </c>
      <c r="AM150" s="3">
        <f>AM149*Params!$B$8</f>
        <v/>
      </c>
      <c r="AN150" s="3">
        <f>AN149*Params!$B$8</f>
        <v/>
      </c>
      <c r="AO150" s="3">
        <f>AO149*Params!$B$8</f>
        <v/>
      </c>
      <c r="AP150" s="3">
        <f>AP149*Params!$B$8</f>
        <v/>
      </c>
      <c r="AQ150" s="3">
        <f>AQ149*Params!$B$8</f>
        <v/>
      </c>
      <c r="AR150" s="3">
        <f>AR149*Params!$B$8</f>
        <v/>
      </c>
      <c r="AS150" s="3">
        <f>AS149*Params!$B$8</f>
        <v/>
      </c>
      <c r="AT150" s="3">
        <f>AT149*Params!$B$8</f>
        <v/>
      </c>
      <c r="AU150" s="3">
        <f>AU149*Params!$B$8</f>
        <v/>
      </c>
      <c r="AV150" s="3">
        <f>AV149*Params!$B$8</f>
        <v/>
      </c>
      <c r="AW150" s="3">
        <f>AW149*Params!$B$8</f>
        <v/>
      </c>
      <c r="AX150" s="3">
        <f>AX149*Params!$B$8</f>
        <v/>
      </c>
      <c r="AY150" s="3">
        <f>AY149*Params!$B$8</f>
        <v/>
      </c>
      <c r="AZ150" s="3">
        <f>AZ149*Params!$B$8</f>
        <v/>
      </c>
      <c r="BA150" s="3">
        <f>BA149*Params!$B$8</f>
        <v/>
      </c>
      <c r="BB150" s="3">
        <f>BB149*Params!$B$8</f>
        <v/>
      </c>
      <c r="BC150" s="3">
        <f>BC149*Params!$B$8</f>
        <v/>
      </c>
      <c r="BD150" s="3">
        <f>BD149*Params!$B$8</f>
        <v/>
      </c>
      <c r="BE150" s="3">
        <f>BE149*Params!$B$8</f>
        <v/>
      </c>
      <c r="BF150" s="3">
        <f>BF149*Params!$B$8</f>
        <v/>
      </c>
      <c r="BG150" s="3">
        <f>BG149*Params!$B$8</f>
        <v/>
      </c>
      <c r="BH150" s="3">
        <f>BH149*Params!$B$8</f>
        <v/>
      </c>
      <c r="BI150" s="3">
        <f>BI149*Params!$B$8</f>
        <v/>
      </c>
      <c r="BJ150" s="3">
        <f>BJ149*Params!$B$8</f>
        <v/>
      </c>
      <c r="BK150" s="3">
        <f>BK149*Params!$B$8</f>
        <v/>
      </c>
      <c r="BL150" s="3">
        <f>BL149*Params!$B$8</f>
        <v/>
      </c>
      <c r="BM150" s="3">
        <f>BM149*Params!$B$8</f>
        <v/>
      </c>
      <c r="BN150" s="3">
        <f>BN149*Params!$B$8</f>
        <v/>
      </c>
      <c r="BO150" s="3">
        <f>BO149*Params!$B$8</f>
        <v/>
      </c>
      <c r="BP150" s="3">
        <f>BP149*Params!$B$8</f>
        <v/>
      </c>
      <c r="BQ150" s="3">
        <f>BQ149*Params!$B$8</f>
        <v/>
      </c>
      <c r="BR150" s="3">
        <f>BR149*Params!$B$8</f>
        <v/>
      </c>
      <c r="BS150" s="3">
        <f>BS149*Params!$B$8</f>
        <v/>
      </c>
      <c r="BT150" s="3">
        <f>BT149*Params!$B$8</f>
        <v/>
      </c>
      <c r="BU150" s="3">
        <f>BU149*Params!$B$8</f>
        <v/>
      </c>
      <c r="BV150" s="3">
        <f>BV149*Params!$B$8</f>
        <v/>
      </c>
    </row>
    <row r="151">
      <c r="A151" t="inlineStr">
        <is>
          <t>trials lost</t>
        </is>
      </c>
      <c r="B151" t="inlineStr">
        <is>
          <t>APAC|NITRO_A</t>
        </is>
      </c>
      <c r="C151" s="3">
        <f>C149-C150</f>
        <v/>
      </c>
      <c r="D151" s="3">
        <f>D149-D150</f>
        <v/>
      </c>
      <c r="E151" s="3">
        <f>E149-E150</f>
        <v/>
      </c>
      <c r="F151" s="3">
        <f>F149-F150</f>
        <v/>
      </c>
      <c r="G151" s="3">
        <f>G149-G150</f>
        <v/>
      </c>
      <c r="H151" s="3">
        <f>H149-H150</f>
        <v/>
      </c>
      <c r="I151" s="3">
        <f>I149-I150</f>
        <v/>
      </c>
      <c r="J151" s="3">
        <f>J149-J150</f>
        <v/>
      </c>
      <c r="K151" s="3">
        <f>K149-K150</f>
        <v/>
      </c>
      <c r="L151" s="3">
        <f>L149-L150</f>
        <v/>
      </c>
      <c r="M151" s="3">
        <f>M149-M150</f>
        <v/>
      </c>
      <c r="N151" s="3">
        <f>N149-N150</f>
        <v/>
      </c>
      <c r="O151" s="3">
        <f>O149-O150</f>
        <v/>
      </c>
      <c r="P151" s="3">
        <f>P149-P150</f>
        <v/>
      </c>
      <c r="Q151" s="3">
        <f>Q149-Q150</f>
        <v/>
      </c>
      <c r="R151" s="3">
        <f>R149-R150</f>
        <v/>
      </c>
      <c r="S151" s="3">
        <f>S149-S150</f>
        <v/>
      </c>
      <c r="T151" s="3">
        <f>T149-T150</f>
        <v/>
      </c>
      <c r="U151" s="3">
        <f>U149-U150</f>
        <v/>
      </c>
      <c r="V151" s="3">
        <f>V149-V150</f>
        <v/>
      </c>
      <c r="W151" s="3">
        <f>W149-W150</f>
        <v/>
      </c>
      <c r="X151" s="3">
        <f>X149-X150</f>
        <v/>
      </c>
      <c r="Y151" s="3">
        <f>Y149-Y150</f>
        <v/>
      </c>
      <c r="Z151" s="3">
        <f>Z149-Z150</f>
        <v/>
      </c>
      <c r="AA151" s="3">
        <f>AA149-AA150</f>
        <v/>
      </c>
      <c r="AB151" s="3">
        <f>AB149-AB150</f>
        <v/>
      </c>
      <c r="AC151" s="3">
        <f>AC149-AC150</f>
        <v/>
      </c>
      <c r="AD151" s="3">
        <f>AD149-AD150</f>
        <v/>
      </c>
      <c r="AE151" s="3">
        <f>AE149-AE150</f>
        <v/>
      </c>
      <c r="AF151" s="3">
        <f>AF149-AF150</f>
        <v/>
      </c>
      <c r="AG151" s="3">
        <f>AG149-AG150</f>
        <v/>
      </c>
      <c r="AH151" s="3">
        <f>AH149-AH150</f>
        <v/>
      </c>
      <c r="AI151" s="3">
        <f>AI149-AI150</f>
        <v/>
      </c>
      <c r="AJ151" s="3">
        <f>AJ149-AJ150</f>
        <v/>
      </c>
      <c r="AK151" s="3">
        <f>AK149-AK150</f>
        <v/>
      </c>
      <c r="AL151" s="3">
        <f>AL149-AL150</f>
        <v/>
      </c>
      <c r="AM151" s="3">
        <f>AM149-AM150</f>
        <v/>
      </c>
      <c r="AN151" s="3">
        <f>AN149-AN150</f>
        <v/>
      </c>
      <c r="AO151" s="3">
        <f>AO149-AO150</f>
        <v/>
      </c>
      <c r="AP151" s="3">
        <f>AP149-AP150</f>
        <v/>
      </c>
      <c r="AQ151" s="3">
        <f>AQ149-AQ150</f>
        <v/>
      </c>
      <c r="AR151" s="3">
        <f>AR149-AR150</f>
        <v/>
      </c>
      <c r="AS151" s="3">
        <f>AS149-AS150</f>
        <v/>
      </c>
      <c r="AT151" s="3">
        <f>AT149-AT150</f>
        <v/>
      </c>
      <c r="AU151" s="3">
        <f>AU149-AU150</f>
        <v/>
      </c>
      <c r="AV151" s="3">
        <f>AV149-AV150</f>
        <v/>
      </c>
      <c r="AW151" s="3">
        <f>AW149-AW150</f>
        <v/>
      </c>
      <c r="AX151" s="3">
        <f>AX149-AX150</f>
        <v/>
      </c>
      <c r="AY151" s="3">
        <f>AY149-AY150</f>
        <v/>
      </c>
      <c r="AZ151" s="3">
        <f>AZ149-AZ150</f>
        <v/>
      </c>
      <c r="BA151" s="3">
        <f>BA149-BA150</f>
        <v/>
      </c>
      <c r="BB151" s="3">
        <f>BB149-BB150</f>
        <v/>
      </c>
      <c r="BC151" s="3">
        <f>BC149-BC150</f>
        <v/>
      </c>
      <c r="BD151" s="3">
        <f>BD149-BD150</f>
        <v/>
      </c>
      <c r="BE151" s="3">
        <f>BE149-BE150</f>
        <v/>
      </c>
      <c r="BF151" s="3">
        <f>BF149-BF150</f>
        <v/>
      </c>
      <c r="BG151" s="3">
        <f>BG149-BG150</f>
        <v/>
      </c>
      <c r="BH151" s="3">
        <f>BH149-BH150</f>
        <v/>
      </c>
      <c r="BI151" s="3">
        <f>BI149-BI150</f>
        <v/>
      </c>
      <c r="BJ151" s="3">
        <f>BJ149-BJ150</f>
        <v/>
      </c>
      <c r="BK151" s="3">
        <f>BK149-BK150</f>
        <v/>
      </c>
      <c r="BL151" s="3">
        <f>BL149-BL150</f>
        <v/>
      </c>
      <c r="BM151" s="3">
        <f>BM149-BM150</f>
        <v/>
      </c>
      <c r="BN151" s="3">
        <f>BN149-BN150</f>
        <v/>
      </c>
      <c r="BO151" s="3">
        <f>BO149-BO150</f>
        <v/>
      </c>
      <c r="BP151" s="3">
        <f>BP149-BP150</f>
        <v/>
      </c>
      <c r="BQ151" s="3">
        <f>BQ149-BQ150</f>
        <v/>
      </c>
      <c r="BR151" s="3">
        <f>BR149-BR150</f>
        <v/>
      </c>
      <c r="BS151" s="3">
        <f>BS149-BS150</f>
        <v/>
      </c>
      <c r="BT151" s="3">
        <f>BT149-BT150</f>
        <v/>
      </c>
      <c r="BU151" s="3">
        <f>BU149-BU150</f>
        <v/>
      </c>
      <c r="BV151" s="3">
        <f>BV149-BV150</f>
        <v/>
      </c>
    </row>
    <row r="152">
      <c r="A152" t="inlineStr">
        <is>
          <t>cum trial starts</t>
        </is>
      </c>
      <c r="B152" t="inlineStr">
        <is>
          <t>APAC|NITRO_A</t>
        </is>
      </c>
      <c r="C152" s="3">
        <f>SUM($C147:C147)</f>
        <v/>
      </c>
      <c r="D152" s="3">
        <f>SUM($C147:D147)</f>
        <v/>
      </c>
      <c r="E152" s="3">
        <f>SUM($C147:E147)</f>
        <v/>
      </c>
      <c r="F152" s="3">
        <f>SUM($C147:F147)</f>
        <v/>
      </c>
      <c r="G152" s="3">
        <f>SUM($C147:G147)</f>
        <v/>
      </c>
      <c r="H152" s="3">
        <f>SUM($C147:H147)</f>
        <v/>
      </c>
      <c r="I152" s="3">
        <f>SUM($C147:I147)</f>
        <v/>
      </c>
      <c r="J152" s="3">
        <f>SUM($C147:J147)</f>
        <v/>
      </c>
      <c r="K152" s="3">
        <f>SUM($C147:K147)</f>
        <v/>
      </c>
      <c r="L152" s="3">
        <f>SUM($C147:L147)</f>
        <v/>
      </c>
      <c r="M152" s="3">
        <f>SUM($C147:M147)</f>
        <v/>
      </c>
      <c r="N152" s="3">
        <f>SUM($C147:N147)</f>
        <v/>
      </c>
      <c r="O152" s="3">
        <f>SUM($C147:O147)</f>
        <v/>
      </c>
      <c r="P152" s="3">
        <f>SUM($C147:P147)</f>
        <v/>
      </c>
      <c r="Q152" s="3">
        <f>SUM($C147:Q147)</f>
        <v/>
      </c>
      <c r="R152" s="3">
        <f>SUM($C147:R147)</f>
        <v/>
      </c>
      <c r="S152" s="3">
        <f>SUM($C147:S147)</f>
        <v/>
      </c>
      <c r="T152" s="3">
        <f>SUM($C147:T147)</f>
        <v/>
      </c>
      <c r="U152" s="3">
        <f>SUM($C147:U147)</f>
        <v/>
      </c>
      <c r="V152" s="3">
        <f>SUM($C147:V147)</f>
        <v/>
      </c>
      <c r="W152" s="3">
        <f>SUM($C147:W147)</f>
        <v/>
      </c>
      <c r="X152" s="3">
        <f>SUM($C147:X147)</f>
        <v/>
      </c>
      <c r="Y152" s="3">
        <f>SUM($C147:Y147)</f>
        <v/>
      </c>
      <c r="Z152" s="3">
        <f>SUM($C147:Z147)</f>
        <v/>
      </c>
      <c r="AA152" s="3">
        <f>SUM($C147:AA147)</f>
        <v/>
      </c>
      <c r="AB152" s="3">
        <f>SUM($C147:AB147)</f>
        <v/>
      </c>
      <c r="AC152" s="3">
        <f>SUM($C147:AC147)</f>
        <v/>
      </c>
      <c r="AD152" s="3">
        <f>SUM($C147:AD147)</f>
        <v/>
      </c>
      <c r="AE152" s="3">
        <f>SUM($C147:AE147)</f>
        <v/>
      </c>
      <c r="AF152" s="3">
        <f>SUM($C147:AF147)</f>
        <v/>
      </c>
      <c r="AG152" s="3">
        <f>SUM($C147:AG147)</f>
        <v/>
      </c>
      <c r="AH152" s="3">
        <f>SUM($C147:AH147)</f>
        <v/>
      </c>
      <c r="AI152" s="3">
        <f>SUM($C147:AI147)</f>
        <v/>
      </c>
      <c r="AJ152" s="3">
        <f>SUM($C147:AJ147)</f>
        <v/>
      </c>
      <c r="AK152" s="3">
        <f>SUM($C147:AK147)</f>
        <v/>
      </c>
      <c r="AL152" s="3">
        <f>SUM($C147:AL147)</f>
        <v/>
      </c>
      <c r="AM152" s="3">
        <f>SUM($C147:AM147)</f>
        <v/>
      </c>
      <c r="AN152" s="3">
        <f>SUM($C147:AN147)</f>
        <v/>
      </c>
      <c r="AO152" s="3">
        <f>SUM($C147:AO147)</f>
        <v/>
      </c>
      <c r="AP152" s="3">
        <f>SUM($C147:AP147)</f>
        <v/>
      </c>
      <c r="AQ152" s="3">
        <f>SUM($C147:AQ147)</f>
        <v/>
      </c>
      <c r="AR152" s="3">
        <f>SUM($C147:AR147)</f>
        <v/>
      </c>
      <c r="AS152" s="3">
        <f>SUM($C147:AS147)</f>
        <v/>
      </c>
      <c r="AT152" s="3">
        <f>SUM($C147:AT147)</f>
        <v/>
      </c>
      <c r="AU152" s="3">
        <f>SUM($C147:AU147)</f>
        <v/>
      </c>
      <c r="AV152" s="3">
        <f>SUM($C147:AV147)</f>
        <v/>
      </c>
      <c r="AW152" s="3">
        <f>SUM($C147:AW147)</f>
        <v/>
      </c>
      <c r="AX152" s="3">
        <f>SUM($C147:AX147)</f>
        <v/>
      </c>
      <c r="AY152" s="3">
        <f>SUM($C147:AY147)</f>
        <v/>
      </c>
      <c r="AZ152" s="3">
        <f>SUM($C147:AZ147)</f>
        <v/>
      </c>
      <c r="BA152" s="3">
        <f>SUM($C147:BA147)</f>
        <v/>
      </c>
      <c r="BB152" s="3">
        <f>SUM($C147:BB147)</f>
        <v/>
      </c>
      <c r="BC152" s="3">
        <f>SUM($C147:BC147)</f>
        <v/>
      </c>
      <c r="BD152" s="3">
        <f>SUM($C147:BD147)</f>
        <v/>
      </c>
      <c r="BE152" s="3">
        <f>SUM($C147:BE147)</f>
        <v/>
      </c>
      <c r="BF152" s="3">
        <f>SUM($C147:BF147)</f>
        <v/>
      </c>
      <c r="BG152" s="3">
        <f>SUM($C147:BG147)</f>
        <v/>
      </c>
      <c r="BH152" s="3">
        <f>SUM($C147:BH147)</f>
        <v/>
      </c>
      <c r="BI152" s="3">
        <f>SUM($C147:BI147)</f>
        <v/>
      </c>
      <c r="BJ152" s="3">
        <f>SUM($C147:BJ147)</f>
        <v/>
      </c>
      <c r="BK152" s="3">
        <f>SUM($C147:BK147)</f>
        <v/>
      </c>
      <c r="BL152" s="3">
        <f>SUM($C147:BL147)</f>
        <v/>
      </c>
      <c r="BM152" s="3">
        <f>SUM($C147:BM147)</f>
        <v/>
      </c>
      <c r="BN152" s="3">
        <f>SUM($C147:BN147)</f>
        <v/>
      </c>
      <c r="BO152" s="3">
        <f>SUM($C147:BO147)</f>
        <v/>
      </c>
      <c r="BP152" s="3">
        <f>SUM($C147:BP147)</f>
        <v/>
      </c>
      <c r="BQ152" s="3">
        <f>SUM($C147:BQ147)</f>
        <v/>
      </c>
      <c r="BR152" s="3">
        <f>SUM($C147:BR147)</f>
        <v/>
      </c>
      <c r="BS152" s="3">
        <f>SUM($C147:BS147)</f>
        <v/>
      </c>
      <c r="BT152" s="3">
        <f>SUM($C147:BT147)</f>
        <v/>
      </c>
      <c r="BU152" s="3">
        <f>SUM($C147:BU147)</f>
        <v/>
      </c>
      <c r="BV152" s="3">
        <f>SUM($C147:BV147)</f>
        <v/>
      </c>
    </row>
    <row r="153">
      <c r="A153" t="inlineStr">
        <is>
          <t>cum trials ending</t>
        </is>
      </c>
      <c r="B153" t="inlineStr">
        <is>
          <t>APAC|NITRO_A</t>
        </is>
      </c>
      <c r="C153" s="3">
        <f>SUM($C149:C149)</f>
        <v/>
      </c>
      <c r="D153" s="3">
        <f>SUM($C149:D149)</f>
        <v/>
      </c>
      <c r="E153" s="3">
        <f>SUM($C149:E149)</f>
        <v/>
      </c>
      <c r="F153" s="3">
        <f>SUM($C149:F149)</f>
        <v/>
      </c>
      <c r="G153" s="3">
        <f>SUM($C149:G149)</f>
        <v/>
      </c>
      <c r="H153" s="3">
        <f>SUM($C149:H149)</f>
        <v/>
      </c>
      <c r="I153" s="3">
        <f>SUM($C149:I149)</f>
        <v/>
      </c>
      <c r="J153" s="3">
        <f>SUM($C149:J149)</f>
        <v/>
      </c>
      <c r="K153" s="3">
        <f>SUM($C149:K149)</f>
        <v/>
      </c>
      <c r="L153" s="3">
        <f>SUM($C149:L149)</f>
        <v/>
      </c>
      <c r="M153" s="3">
        <f>SUM($C149:M149)</f>
        <v/>
      </c>
      <c r="N153" s="3">
        <f>SUM($C149:N149)</f>
        <v/>
      </c>
      <c r="O153" s="3">
        <f>SUM($C149:O149)</f>
        <v/>
      </c>
      <c r="P153" s="3">
        <f>SUM($C149:P149)</f>
        <v/>
      </c>
      <c r="Q153" s="3">
        <f>SUM($C149:Q149)</f>
        <v/>
      </c>
      <c r="R153" s="3">
        <f>SUM($C149:R149)</f>
        <v/>
      </c>
      <c r="S153" s="3">
        <f>SUM($C149:S149)</f>
        <v/>
      </c>
      <c r="T153" s="3">
        <f>SUM($C149:T149)</f>
        <v/>
      </c>
      <c r="U153" s="3">
        <f>SUM($C149:U149)</f>
        <v/>
      </c>
      <c r="V153" s="3">
        <f>SUM($C149:V149)</f>
        <v/>
      </c>
      <c r="W153" s="3">
        <f>SUM($C149:W149)</f>
        <v/>
      </c>
      <c r="X153" s="3">
        <f>SUM($C149:X149)</f>
        <v/>
      </c>
      <c r="Y153" s="3">
        <f>SUM($C149:Y149)</f>
        <v/>
      </c>
      <c r="Z153" s="3">
        <f>SUM($C149:Z149)</f>
        <v/>
      </c>
      <c r="AA153" s="3">
        <f>SUM($C149:AA149)</f>
        <v/>
      </c>
      <c r="AB153" s="3">
        <f>SUM($C149:AB149)</f>
        <v/>
      </c>
      <c r="AC153" s="3">
        <f>SUM($C149:AC149)</f>
        <v/>
      </c>
      <c r="AD153" s="3">
        <f>SUM($C149:AD149)</f>
        <v/>
      </c>
      <c r="AE153" s="3">
        <f>SUM($C149:AE149)</f>
        <v/>
      </c>
      <c r="AF153" s="3">
        <f>SUM($C149:AF149)</f>
        <v/>
      </c>
      <c r="AG153" s="3">
        <f>SUM($C149:AG149)</f>
        <v/>
      </c>
      <c r="AH153" s="3">
        <f>SUM($C149:AH149)</f>
        <v/>
      </c>
      <c r="AI153" s="3">
        <f>SUM($C149:AI149)</f>
        <v/>
      </c>
      <c r="AJ153" s="3">
        <f>SUM($C149:AJ149)</f>
        <v/>
      </c>
      <c r="AK153" s="3">
        <f>SUM($C149:AK149)</f>
        <v/>
      </c>
      <c r="AL153" s="3">
        <f>SUM($C149:AL149)</f>
        <v/>
      </c>
      <c r="AM153" s="3">
        <f>SUM($C149:AM149)</f>
        <v/>
      </c>
      <c r="AN153" s="3">
        <f>SUM($C149:AN149)</f>
        <v/>
      </c>
      <c r="AO153" s="3">
        <f>SUM($C149:AO149)</f>
        <v/>
      </c>
      <c r="AP153" s="3">
        <f>SUM($C149:AP149)</f>
        <v/>
      </c>
      <c r="AQ153" s="3">
        <f>SUM($C149:AQ149)</f>
        <v/>
      </c>
      <c r="AR153" s="3">
        <f>SUM($C149:AR149)</f>
        <v/>
      </c>
      <c r="AS153" s="3">
        <f>SUM($C149:AS149)</f>
        <v/>
      </c>
      <c r="AT153" s="3">
        <f>SUM($C149:AT149)</f>
        <v/>
      </c>
      <c r="AU153" s="3">
        <f>SUM($C149:AU149)</f>
        <v/>
      </c>
      <c r="AV153" s="3">
        <f>SUM($C149:AV149)</f>
        <v/>
      </c>
      <c r="AW153" s="3">
        <f>SUM($C149:AW149)</f>
        <v/>
      </c>
      <c r="AX153" s="3">
        <f>SUM($C149:AX149)</f>
        <v/>
      </c>
      <c r="AY153" s="3">
        <f>SUM($C149:AY149)</f>
        <v/>
      </c>
      <c r="AZ153" s="3">
        <f>SUM($C149:AZ149)</f>
        <v/>
      </c>
      <c r="BA153" s="3">
        <f>SUM($C149:BA149)</f>
        <v/>
      </c>
      <c r="BB153" s="3">
        <f>SUM($C149:BB149)</f>
        <v/>
      </c>
      <c r="BC153" s="3">
        <f>SUM($C149:BC149)</f>
        <v/>
      </c>
      <c r="BD153" s="3">
        <f>SUM($C149:BD149)</f>
        <v/>
      </c>
      <c r="BE153" s="3">
        <f>SUM($C149:BE149)</f>
        <v/>
      </c>
      <c r="BF153" s="3">
        <f>SUM($C149:BF149)</f>
        <v/>
      </c>
      <c r="BG153" s="3">
        <f>SUM($C149:BG149)</f>
        <v/>
      </c>
      <c r="BH153" s="3">
        <f>SUM($C149:BH149)</f>
        <v/>
      </c>
      <c r="BI153" s="3">
        <f>SUM($C149:BI149)</f>
        <v/>
      </c>
      <c r="BJ153" s="3">
        <f>SUM($C149:BJ149)</f>
        <v/>
      </c>
      <c r="BK153" s="3">
        <f>SUM($C149:BK149)</f>
        <v/>
      </c>
      <c r="BL153" s="3">
        <f>SUM($C149:BL149)</f>
        <v/>
      </c>
      <c r="BM153" s="3">
        <f>SUM($C149:BM149)</f>
        <v/>
      </c>
      <c r="BN153" s="3">
        <f>SUM($C149:BN149)</f>
        <v/>
      </c>
      <c r="BO153" s="3">
        <f>SUM($C149:BO149)</f>
        <v/>
      </c>
      <c r="BP153" s="3">
        <f>SUM($C149:BP149)</f>
        <v/>
      </c>
      <c r="BQ153" s="3">
        <f>SUM($C149:BQ149)</f>
        <v/>
      </c>
      <c r="BR153" s="3">
        <f>SUM($C149:BR149)</f>
        <v/>
      </c>
      <c r="BS153" s="3">
        <f>SUM($C149:BS149)</f>
        <v/>
      </c>
      <c r="BT153" s="3">
        <f>SUM($C149:BT149)</f>
        <v/>
      </c>
      <c r="BU153" s="3">
        <f>SUM($C149:BU149)</f>
        <v/>
      </c>
      <c r="BV153" s="3">
        <f>SUM($C149:BV149)</f>
        <v/>
      </c>
    </row>
    <row r="154">
      <c r="A154" t="inlineStr">
        <is>
          <t>trials active</t>
        </is>
      </c>
      <c r="B154" t="inlineStr">
        <is>
          <t>APAC|NITRO_A</t>
        </is>
      </c>
      <c r="C154" s="3">
        <f>C152-C153</f>
        <v/>
      </c>
      <c r="D154" s="3">
        <f>D152-D153</f>
        <v/>
      </c>
      <c r="E154" s="3">
        <f>E152-E153</f>
        <v/>
      </c>
      <c r="F154" s="3">
        <f>F152-F153</f>
        <v/>
      </c>
      <c r="G154" s="3">
        <f>G152-G153</f>
        <v/>
      </c>
      <c r="H154" s="3">
        <f>H152-H153</f>
        <v/>
      </c>
      <c r="I154" s="3">
        <f>I152-I153</f>
        <v/>
      </c>
      <c r="J154" s="3">
        <f>J152-J153</f>
        <v/>
      </c>
      <c r="K154" s="3">
        <f>K152-K153</f>
        <v/>
      </c>
      <c r="L154" s="3">
        <f>L152-L153</f>
        <v/>
      </c>
      <c r="M154" s="3">
        <f>M152-M153</f>
        <v/>
      </c>
      <c r="N154" s="3">
        <f>N152-N153</f>
        <v/>
      </c>
      <c r="O154" s="3">
        <f>O152-O153</f>
        <v/>
      </c>
      <c r="P154" s="3">
        <f>P152-P153</f>
        <v/>
      </c>
      <c r="Q154" s="3">
        <f>Q152-Q153</f>
        <v/>
      </c>
      <c r="R154" s="3">
        <f>R152-R153</f>
        <v/>
      </c>
      <c r="S154" s="3">
        <f>S152-S153</f>
        <v/>
      </c>
      <c r="T154" s="3">
        <f>T152-T153</f>
        <v/>
      </c>
      <c r="U154" s="3">
        <f>U152-U153</f>
        <v/>
      </c>
      <c r="V154" s="3">
        <f>V152-V153</f>
        <v/>
      </c>
      <c r="W154" s="3">
        <f>W152-W153</f>
        <v/>
      </c>
      <c r="X154" s="3">
        <f>X152-X153</f>
        <v/>
      </c>
      <c r="Y154" s="3">
        <f>Y152-Y153</f>
        <v/>
      </c>
      <c r="Z154" s="3">
        <f>Z152-Z153</f>
        <v/>
      </c>
      <c r="AA154" s="3">
        <f>AA152-AA153</f>
        <v/>
      </c>
      <c r="AB154" s="3">
        <f>AB152-AB153</f>
        <v/>
      </c>
      <c r="AC154" s="3">
        <f>AC152-AC153</f>
        <v/>
      </c>
      <c r="AD154" s="3">
        <f>AD152-AD153</f>
        <v/>
      </c>
      <c r="AE154" s="3">
        <f>AE152-AE153</f>
        <v/>
      </c>
      <c r="AF154" s="3">
        <f>AF152-AF153</f>
        <v/>
      </c>
      <c r="AG154" s="3">
        <f>AG152-AG153</f>
        <v/>
      </c>
      <c r="AH154" s="3">
        <f>AH152-AH153</f>
        <v/>
      </c>
      <c r="AI154" s="3">
        <f>AI152-AI153</f>
        <v/>
      </c>
      <c r="AJ154" s="3">
        <f>AJ152-AJ153</f>
        <v/>
      </c>
      <c r="AK154" s="3">
        <f>AK152-AK153</f>
        <v/>
      </c>
      <c r="AL154" s="3">
        <f>AL152-AL153</f>
        <v/>
      </c>
      <c r="AM154" s="3">
        <f>AM152-AM153</f>
        <v/>
      </c>
      <c r="AN154" s="3">
        <f>AN152-AN153</f>
        <v/>
      </c>
      <c r="AO154" s="3">
        <f>AO152-AO153</f>
        <v/>
      </c>
      <c r="AP154" s="3">
        <f>AP152-AP153</f>
        <v/>
      </c>
      <c r="AQ154" s="3">
        <f>AQ152-AQ153</f>
        <v/>
      </c>
      <c r="AR154" s="3">
        <f>AR152-AR153</f>
        <v/>
      </c>
      <c r="AS154" s="3">
        <f>AS152-AS153</f>
        <v/>
      </c>
      <c r="AT154" s="3">
        <f>AT152-AT153</f>
        <v/>
      </c>
      <c r="AU154" s="3">
        <f>AU152-AU153</f>
        <v/>
      </c>
      <c r="AV154" s="3">
        <f>AV152-AV153</f>
        <v/>
      </c>
      <c r="AW154" s="3">
        <f>AW152-AW153</f>
        <v/>
      </c>
      <c r="AX154" s="3">
        <f>AX152-AX153</f>
        <v/>
      </c>
      <c r="AY154" s="3">
        <f>AY152-AY153</f>
        <v/>
      </c>
      <c r="AZ154" s="3">
        <f>AZ152-AZ153</f>
        <v/>
      </c>
      <c r="BA154" s="3">
        <f>BA152-BA153</f>
        <v/>
      </c>
      <c r="BB154" s="3">
        <f>BB152-BB153</f>
        <v/>
      </c>
      <c r="BC154" s="3">
        <f>BC152-BC153</f>
        <v/>
      </c>
      <c r="BD154" s="3">
        <f>BD152-BD153</f>
        <v/>
      </c>
      <c r="BE154" s="3">
        <f>BE152-BE153</f>
        <v/>
      </c>
      <c r="BF154" s="3">
        <f>BF152-BF153</f>
        <v/>
      </c>
      <c r="BG154" s="3">
        <f>BG152-BG153</f>
        <v/>
      </c>
      <c r="BH154" s="3">
        <f>BH152-BH153</f>
        <v/>
      </c>
      <c r="BI154" s="3">
        <f>BI152-BI153</f>
        <v/>
      </c>
      <c r="BJ154" s="3">
        <f>BJ152-BJ153</f>
        <v/>
      </c>
      <c r="BK154" s="3">
        <f>BK152-BK153</f>
        <v/>
      </c>
      <c r="BL154" s="3">
        <f>BL152-BL153</f>
        <v/>
      </c>
      <c r="BM154" s="3">
        <f>BM152-BM153</f>
        <v/>
      </c>
      <c r="BN154" s="3">
        <f>BN152-BN153</f>
        <v/>
      </c>
      <c r="BO154" s="3">
        <f>BO152-BO153</f>
        <v/>
      </c>
      <c r="BP154" s="3">
        <f>BP152-BP153</f>
        <v/>
      </c>
      <c r="BQ154" s="3">
        <f>BQ152-BQ153</f>
        <v/>
      </c>
      <c r="BR154" s="3">
        <f>BR152-BR153</f>
        <v/>
      </c>
      <c r="BS154" s="3">
        <f>BS152-BS153</f>
        <v/>
      </c>
      <c r="BT154" s="3">
        <f>BT152-BT153</f>
        <v/>
      </c>
      <c r="BU154" s="3">
        <f>BU152-BU153</f>
        <v/>
      </c>
      <c r="BV154" s="3">
        <f>BV152-BV153</f>
        <v/>
      </c>
    </row>
    <row r="155">
      <c r="A155" t="inlineStr">
        <is>
          <t>paid starts</t>
        </is>
      </c>
      <c r="B155" t="inlineStr">
        <is>
          <t>APAC|NITRO_A</t>
        </is>
      </c>
      <c r="C155" s="3">
        <f>C148+C150</f>
        <v/>
      </c>
      <c r="D155" s="3">
        <f>D148+D150</f>
        <v/>
      </c>
      <c r="E155" s="3">
        <f>E148+E150</f>
        <v/>
      </c>
      <c r="F155" s="3">
        <f>F148+F150</f>
        <v/>
      </c>
      <c r="G155" s="3">
        <f>G148+G150</f>
        <v/>
      </c>
      <c r="H155" s="3">
        <f>H148+H150</f>
        <v/>
      </c>
      <c r="I155" s="3">
        <f>I148+I150</f>
        <v/>
      </c>
      <c r="J155" s="3">
        <f>J148+J150</f>
        <v/>
      </c>
      <c r="K155" s="3">
        <f>K148+K150</f>
        <v/>
      </c>
      <c r="L155" s="3">
        <f>L148+L150</f>
        <v/>
      </c>
      <c r="M155" s="3">
        <f>M148+M150</f>
        <v/>
      </c>
      <c r="N155" s="3">
        <f>N148+N150</f>
        <v/>
      </c>
      <c r="O155" s="3">
        <f>O148+O150</f>
        <v/>
      </c>
      <c r="P155" s="3">
        <f>P148+P150</f>
        <v/>
      </c>
      <c r="Q155" s="3">
        <f>Q148+Q150</f>
        <v/>
      </c>
      <c r="R155" s="3">
        <f>R148+R150</f>
        <v/>
      </c>
      <c r="S155" s="3">
        <f>S148+S150</f>
        <v/>
      </c>
      <c r="T155" s="3">
        <f>T148+T150</f>
        <v/>
      </c>
      <c r="U155" s="3">
        <f>U148+U150</f>
        <v/>
      </c>
      <c r="V155" s="3">
        <f>V148+V150</f>
        <v/>
      </c>
      <c r="W155" s="3">
        <f>W148+W150</f>
        <v/>
      </c>
      <c r="X155" s="3">
        <f>X148+X150</f>
        <v/>
      </c>
      <c r="Y155" s="3">
        <f>Y148+Y150</f>
        <v/>
      </c>
      <c r="Z155" s="3">
        <f>Z148+Z150</f>
        <v/>
      </c>
      <c r="AA155" s="3">
        <f>AA148+AA150</f>
        <v/>
      </c>
      <c r="AB155" s="3">
        <f>AB148+AB150</f>
        <v/>
      </c>
      <c r="AC155" s="3">
        <f>AC148+AC150</f>
        <v/>
      </c>
      <c r="AD155" s="3">
        <f>AD148+AD150</f>
        <v/>
      </c>
      <c r="AE155" s="3">
        <f>AE148+AE150</f>
        <v/>
      </c>
      <c r="AF155" s="3">
        <f>AF148+AF150</f>
        <v/>
      </c>
      <c r="AG155" s="3">
        <f>AG148+AG150</f>
        <v/>
      </c>
      <c r="AH155" s="3">
        <f>AH148+AH150</f>
        <v/>
      </c>
      <c r="AI155" s="3">
        <f>AI148+AI150</f>
        <v/>
      </c>
      <c r="AJ155" s="3">
        <f>AJ148+AJ150</f>
        <v/>
      </c>
      <c r="AK155" s="3">
        <f>AK148+AK150</f>
        <v/>
      </c>
      <c r="AL155" s="3">
        <f>AL148+AL150</f>
        <v/>
      </c>
      <c r="AM155" s="3">
        <f>AM148+AM150</f>
        <v/>
      </c>
      <c r="AN155" s="3">
        <f>AN148+AN150</f>
        <v/>
      </c>
      <c r="AO155" s="3">
        <f>AO148+AO150</f>
        <v/>
      </c>
      <c r="AP155" s="3">
        <f>AP148+AP150</f>
        <v/>
      </c>
      <c r="AQ155" s="3">
        <f>AQ148+AQ150</f>
        <v/>
      </c>
      <c r="AR155" s="3">
        <f>AR148+AR150</f>
        <v/>
      </c>
      <c r="AS155" s="3">
        <f>AS148+AS150</f>
        <v/>
      </c>
      <c r="AT155" s="3">
        <f>AT148+AT150</f>
        <v/>
      </c>
      <c r="AU155" s="3">
        <f>AU148+AU150</f>
        <v/>
      </c>
      <c r="AV155" s="3">
        <f>AV148+AV150</f>
        <v/>
      </c>
      <c r="AW155" s="3">
        <f>AW148+AW150</f>
        <v/>
      </c>
      <c r="AX155" s="3">
        <f>AX148+AX150</f>
        <v/>
      </c>
      <c r="AY155" s="3">
        <f>AY148+AY150</f>
        <v/>
      </c>
      <c r="AZ155" s="3">
        <f>AZ148+AZ150</f>
        <v/>
      </c>
      <c r="BA155" s="3">
        <f>BA148+BA150</f>
        <v/>
      </c>
      <c r="BB155" s="3">
        <f>BB148+BB150</f>
        <v/>
      </c>
      <c r="BC155" s="3">
        <f>BC148+BC150</f>
        <v/>
      </c>
      <c r="BD155" s="3">
        <f>BD148+BD150</f>
        <v/>
      </c>
      <c r="BE155" s="3">
        <f>BE148+BE150</f>
        <v/>
      </c>
      <c r="BF155" s="3">
        <f>BF148+BF150</f>
        <v/>
      </c>
      <c r="BG155" s="3">
        <f>BG148+BG150</f>
        <v/>
      </c>
      <c r="BH155" s="3">
        <f>BH148+BH150</f>
        <v/>
      </c>
      <c r="BI155" s="3">
        <f>BI148+BI150</f>
        <v/>
      </c>
      <c r="BJ155" s="3">
        <f>BJ148+BJ150</f>
        <v/>
      </c>
      <c r="BK155" s="3">
        <f>BK148+BK150</f>
        <v/>
      </c>
      <c r="BL155" s="3">
        <f>BL148+BL150</f>
        <v/>
      </c>
      <c r="BM155" s="3">
        <f>BM148+BM150</f>
        <v/>
      </c>
      <c r="BN155" s="3">
        <f>BN148+BN150</f>
        <v/>
      </c>
      <c r="BO155" s="3">
        <f>BO148+BO150</f>
        <v/>
      </c>
      <c r="BP155" s="3">
        <f>BP148+BP150</f>
        <v/>
      </c>
      <c r="BQ155" s="3">
        <f>BQ148+BQ150</f>
        <v/>
      </c>
      <c r="BR155" s="3">
        <f>BR148+BR150</f>
        <v/>
      </c>
      <c r="BS155" s="3">
        <f>BS148+BS150</f>
        <v/>
      </c>
      <c r="BT155" s="3">
        <f>BT148+BT150</f>
        <v/>
      </c>
      <c r="BU155" s="3">
        <f>BU148+BU150</f>
        <v/>
      </c>
      <c r="BV155" s="3">
        <f>BV148+BV150</f>
        <v/>
      </c>
    </row>
    <row r="157">
      <c r="A157" t="inlineStr">
        <is>
          <t>gross adds</t>
        </is>
      </c>
      <c r="B157" t="inlineStr">
        <is>
          <t>APAC|BASIC_M</t>
        </is>
      </c>
      <c r="C157" s="3">
        <f>MAU!C7*Params!$B$39*Params!$B$5*Params!$B$87*Params!$B$73</f>
        <v/>
      </c>
      <c r="D157" s="3">
        <f>MAU!D7*Params!$B$39*Params!$B$5*Params!$B$87*Params!$B$73</f>
        <v/>
      </c>
      <c r="E157" s="3">
        <f>MAU!E7*Params!$B$39*Params!$B$5*Params!$B$87*Params!$B$73</f>
        <v/>
      </c>
      <c r="F157" s="3">
        <f>MAU!F7*Params!$B$39*Params!$B$5*Params!$B$87*Params!$B$73</f>
        <v/>
      </c>
      <c r="G157" s="3">
        <f>MAU!G7*Params!$B$39*Params!$B$5*Params!$B$87*Params!$B$73</f>
        <v/>
      </c>
      <c r="H157" s="3">
        <f>MAU!H7*Params!$B$39*Params!$B$5*Params!$B$87*Params!$B$73</f>
        <v/>
      </c>
      <c r="I157" s="3">
        <f>MAU!I7*Params!$B$39*Params!$B$5*Params!$B$87*Params!$B$73</f>
        <v/>
      </c>
      <c r="J157" s="3">
        <f>MAU!J7*Params!$B$39*Params!$B$5*Params!$B$87*Params!$B$73</f>
        <v/>
      </c>
      <c r="K157" s="3">
        <f>MAU!K7*Params!$B$39*Params!$B$5*Params!$B$87*Params!$B$73</f>
        <v/>
      </c>
      <c r="L157" s="3">
        <f>MAU!L7*Params!$B$39*Params!$B$5*Params!$B$87*Params!$B$73</f>
        <v/>
      </c>
      <c r="M157" s="3">
        <f>MAU!M7*Params!$B$39*Params!$B$5*Params!$B$87*Params!$B$73</f>
        <v/>
      </c>
      <c r="N157" s="3">
        <f>MAU!N7*Params!$B$39*Params!$B$5*Params!$B$87*Params!$B$73</f>
        <v/>
      </c>
      <c r="O157" s="3">
        <f>MAU!O7*Params!$B$39*Params!$B$5*Params!$B$87*Params!$B$73</f>
        <v/>
      </c>
      <c r="P157" s="3">
        <f>MAU!P7*Params!$B$39*Params!$B$5*Params!$B$87*Params!$B$73</f>
        <v/>
      </c>
      <c r="Q157" s="3">
        <f>MAU!Q7*Params!$B$39*Params!$B$5*Params!$B$87*Params!$B$73</f>
        <v/>
      </c>
      <c r="R157" s="3">
        <f>MAU!R7*Params!$B$39*Params!$B$5*Params!$B$87*Params!$B$73</f>
        <v/>
      </c>
      <c r="S157" s="3">
        <f>MAU!S7*Params!$B$39*Params!$B$5*Params!$B$87*Params!$B$73</f>
        <v/>
      </c>
      <c r="T157" s="3">
        <f>MAU!T7*Params!$B$39*Params!$B$5*Params!$B$87*Params!$B$73</f>
        <v/>
      </c>
      <c r="U157" s="3">
        <f>MAU!U7*Params!$B$39*Params!$B$5*Params!$B$87*Params!$B$73</f>
        <v/>
      </c>
      <c r="V157" s="3">
        <f>MAU!V7*Params!$B$39*Params!$B$5*Params!$B$87*Params!$B$73</f>
        <v/>
      </c>
      <c r="W157" s="3">
        <f>MAU!W7*Params!$B$39*Params!$B$5*Params!$B$87*Params!$B$73</f>
        <v/>
      </c>
      <c r="X157" s="3">
        <f>MAU!X7*Params!$B$39*Params!$B$5*Params!$B$87*Params!$B$73</f>
        <v/>
      </c>
      <c r="Y157" s="3">
        <f>MAU!Y7*Params!$B$39*Params!$B$5*Params!$B$87*Params!$B$73</f>
        <v/>
      </c>
      <c r="Z157" s="3">
        <f>MAU!Z7*Params!$B$39*Params!$B$5*Params!$B$87*Params!$B$73</f>
        <v/>
      </c>
      <c r="AA157" s="3">
        <f>MAU!AA7*Params!$B$39*Params!$B$5*Params!$B$87*Params!$B$73</f>
        <v/>
      </c>
      <c r="AB157" s="3">
        <f>MAU!AB7*Params!$B$39*Params!$B$5*Params!$B$87*Params!$B$73</f>
        <v/>
      </c>
      <c r="AC157" s="3">
        <f>MAU!AC7*Params!$B$39*Params!$B$5*Params!$B$87*Params!$B$73</f>
        <v/>
      </c>
      <c r="AD157" s="3">
        <f>MAU!AD7*Params!$B$39*Params!$B$5*Params!$B$87*Params!$B$73</f>
        <v/>
      </c>
      <c r="AE157" s="3">
        <f>MAU!AE7*Params!$B$39*Params!$B$5*Params!$B$87*Params!$B$73</f>
        <v/>
      </c>
      <c r="AF157" s="3">
        <f>MAU!AF7*Params!$B$39*Params!$B$5*Params!$B$87*Params!$B$73</f>
        <v/>
      </c>
      <c r="AG157" s="3">
        <f>MAU!AG7*Params!$B$39*Params!$B$5*Params!$B$87*Params!$B$73</f>
        <v/>
      </c>
      <c r="AH157" s="3">
        <f>MAU!AH7*Params!$B$39*Params!$B$5*Params!$B$87*Params!$B$73</f>
        <v/>
      </c>
      <c r="AI157" s="3">
        <f>MAU!AI7*Params!$B$39*Params!$B$5*Params!$B$87*Params!$B$73</f>
        <v/>
      </c>
      <c r="AJ157" s="3">
        <f>MAU!AJ7*Params!$B$39*Params!$B$5*Params!$B$87*Params!$B$73</f>
        <v/>
      </c>
      <c r="AK157" s="3">
        <f>MAU!AK7*Params!$B$39*Params!$B$5*Params!$B$87*Params!$B$73</f>
        <v/>
      </c>
      <c r="AL157" s="3">
        <f>MAU!AL7*Params!$B$39*Params!$B$5*Params!$B$87*Params!$B$73</f>
        <v/>
      </c>
      <c r="AM157" s="3">
        <f>MAU!AM7*Params!$B$39*Params!$B$5*Params!$B$87*Params!$B$73</f>
        <v/>
      </c>
      <c r="AN157" s="3">
        <f>MAU!AN7*Params!$B$39*Params!$B$5*Params!$B$87*Params!$B$73</f>
        <v/>
      </c>
      <c r="AO157" s="3">
        <f>MAU!AO7*Params!$B$39*Params!$B$5*Params!$B$87*Params!$B$73</f>
        <v/>
      </c>
      <c r="AP157" s="3">
        <f>MAU!AP7*Params!$B$39*Params!$B$5*Params!$B$87*Params!$B$73</f>
        <v/>
      </c>
      <c r="AQ157" s="3">
        <f>MAU!AQ7*Params!$B$39*Params!$B$5*Params!$B$87*Params!$B$73</f>
        <v/>
      </c>
      <c r="AR157" s="3">
        <f>MAU!AR7*Params!$B$39*Params!$B$5*Params!$B$87*Params!$B$73</f>
        <v/>
      </c>
      <c r="AS157" s="3">
        <f>MAU!AS7*Params!$B$39*Params!$B$5*Params!$B$87*Params!$B$73</f>
        <v/>
      </c>
      <c r="AT157" s="3">
        <f>MAU!AT7*Params!$B$39*Params!$B$5*Params!$B$87*Params!$B$73</f>
        <v/>
      </c>
      <c r="AU157" s="3">
        <f>MAU!AU7*Params!$B$39*Params!$B$5*Params!$B$87*Params!$B$73</f>
        <v/>
      </c>
      <c r="AV157" s="3">
        <f>MAU!AV7*Params!$B$39*Params!$B$5*Params!$B$87*Params!$B$73</f>
        <v/>
      </c>
      <c r="AW157" s="3">
        <f>MAU!AW7*Params!$B$39*Params!$B$5*Params!$B$87*Params!$B$73</f>
        <v/>
      </c>
      <c r="AX157" s="3">
        <f>MAU!AX7*Params!$B$39*Params!$B$5*Params!$B$87*Params!$B$73</f>
        <v/>
      </c>
      <c r="AY157" s="3">
        <f>MAU!AY7*Params!$B$39*Params!$B$5*Params!$B$87*Params!$B$73</f>
        <v/>
      </c>
      <c r="AZ157" s="3">
        <f>MAU!AZ7*Params!$B$39*Params!$B$5*Params!$B$87*Params!$B$73</f>
        <v/>
      </c>
      <c r="BA157" s="3">
        <f>MAU!BA7*Params!$B$39*Params!$B$5*Params!$B$87*Params!$B$73</f>
        <v/>
      </c>
      <c r="BB157" s="3">
        <f>MAU!BB7*Params!$B$39*Params!$B$5*Params!$B$87*Params!$B$73</f>
        <v/>
      </c>
      <c r="BC157" s="3">
        <f>MAU!BC7*Params!$B$39*Params!$B$5*Params!$B$87*Params!$B$73</f>
        <v/>
      </c>
      <c r="BD157" s="3">
        <f>MAU!BD7*Params!$B$39*Params!$B$5*Params!$B$87*Params!$B$73</f>
        <v/>
      </c>
      <c r="BE157" s="3">
        <f>MAU!BE7*Params!$B$39*Params!$B$5*Params!$B$87*Params!$B$73</f>
        <v/>
      </c>
      <c r="BF157" s="3">
        <f>MAU!BF7*Params!$B$39*Params!$B$5*Params!$B$87*Params!$B$73</f>
        <v/>
      </c>
      <c r="BG157" s="3">
        <f>MAU!BG7*Params!$B$39*Params!$B$5*Params!$B$87*Params!$B$73</f>
        <v/>
      </c>
      <c r="BH157" s="3">
        <f>MAU!BH7*Params!$B$39*Params!$B$5*Params!$B$87*Params!$B$73</f>
        <v/>
      </c>
      <c r="BI157" s="3">
        <f>MAU!BI7*Params!$B$39*Params!$B$5*Params!$B$87*Params!$B$73</f>
        <v/>
      </c>
      <c r="BJ157" s="3">
        <f>MAU!BJ7*Params!$B$39*Params!$B$5*Params!$B$87*Params!$B$73</f>
        <v/>
      </c>
      <c r="BK157" s="3">
        <f>MAU!BK7*Params!$B$39*Params!$B$5*Params!$B$87*Params!$B$73</f>
        <v/>
      </c>
      <c r="BL157" s="3">
        <f>MAU!BL7*Params!$B$39*Params!$B$5*Params!$B$87*Params!$B$73</f>
        <v/>
      </c>
      <c r="BM157" s="3">
        <f>MAU!BM7*Params!$B$39*Params!$B$5*Params!$B$87*Params!$B$73</f>
        <v/>
      </c>
      <c r="BN157" s="3">
        <f>MAU!BN7*Params!$B$39*Params!$B$5*Params!$B$87*Params!$B$73</f>
        <v/>
      </c>
      <c r="BO157" s="3">
        <f>MAU!BO7*Params!$B$39*Params!$B$5*Params!$B$87*Params!$B$73</f>
        <v/>
      </c>
      <c r="BP157" s="3">
        <f>MAU!BP7*Params!$B$39*Params!$B$5*Params!$B$87*Params!$B$73</f>
        <v/>
      </c>
      <c r="BQ157" s="3">
        <f>MAU!BQ7*Params!$B$39*Params!$B$5*Params!$B$87*Params!$B$73</f>
        <v/>
      </c>
      <c r="BR157" s="3">
        <f>MAU!BR7*Params!$B$39*Params!$B$5*Params!$B$87*Params!$B$73</f>
        <v/>
      </c>
      <c r="BS157" s="3">
        <f>MAU!BS7*Params!$B$39*Params!$B$5*Params!$B$87*Params!$B$73</f>
        <v/>
      </c>
      <c r="BT157" s="3">
        <f>MAU!BT7*Params!$B$39*Params!$B$5*Params!$B$87*Params!$B$73</f>
        <v/>
      </c>
      <c r="BU157" s="3">
        <f>MAU!BU7*Params!$B$39*Params!$B$5*Params!$B$87*Params!$B$73</f>
        <v/>
      </c>
      <c r="BV157" s="3">
        <f>MAU!BV7*Params!$B$39*Params!$B$5*Params!$B$87*Params!$B$73</f>
        <v/>
      </c>
    </row>
    <row r="158">
      <c r="A158" t="inlineStr">
        <is>
          <t>trial starts</t>
        </is>
      </c>
      <c r="B158" t="inlineStr">
        <is>
          <t>APAC|BASIC_M</t>
        </is>
      </c>
      <c r="C158" s="3">
        <f>C157*Params!$B$6</f>
        <v/>
      </c>
      <c r="D158" s="3">
        <f>D157*Params!$B$6</f>
        <v/>
      </c>
      <c r="E158" s="3">
        <f>E157*Params!$B$6</f>
        <v/>
      </c>
      <c r="F158" s="3">
        <f>F157*Params!$B$6</f>
        <v/>
      </c>
      <c r="G158" s="3">
        <f>G157*Params!$B$6</f>
        <v/>
      </c>
      <c r="H158" s="3">
        <f>H157*Params!$B$6</f>
        <v/>
      </c>
      <c r="I158" s="3">
        <f>I157*Params!$B$6</f>
        <v/>
      </c>
      <c r="J158" s="3">
        <f>J157*Params!$B$6</f>
        <v/>
      </c>
      <c r="K158" s="3">
        <f>K157*Params!$B$6</f>
        <v/>
      </c>
      <c r="L158" s="3">
        <f>L157*Params!$B$6</f>
        <v/>
      </c>
      <c r="M158" s="3">
        <f>M157*Params!$B$6</f>
        <v/>
      </c>
      <c r="N158" s="3">
        <f>N157*Params!$B$6</f>
        <v/>
      </c>
      <c r="O158" s="3">
        <f>O157*Params!$B$6</f>
        <v/>
      </c>
      <c r="P158" s="3">
        <f>P157*Params!$B$6</f>
        <v/>
      </c>
      <c r="Q158" s="3">
        <f>Q157*Params!$B$6</f>
        <v/>
      </c>
      <c r="R158" s="3">
        <f>R157*Params!$B$6</f>
        <v/>
      </c>
      <c r="S158" s="3">
        <f>S157*Params!$B$6</f>
        <v/>
      </c>
      <c r="T158" s="3">
        <f>T157*Params!$B$6</f>
        <v/>
      </c>
      <c r="U158" s="3">
        <f>U157*Params!$B$6</f>
        <v/>
      </c>
      <c r="V158" s="3">
        <f>V157*Params!$B$6</f>
        <v/>
      </c>
      <c r="W158" s="3">
        <f>W157*Params!$B$6</f>
        <v/>
      </c>
      <c r="X158" s="3">
        <f>X157*Params!$B$6</f>
        <v/>
      </c>
      <c r="Y158" s="3">
        <f>Y157*Params!$B$6</f>
        <v/>
      </c>
      <c r="Z158" s="3">
        <f>Z157*Params!$B$6</f>
        <v/>
      </c>
      <c r="AA158" s="3">
        <f>AA157*Params!$B$6</f>
        <v/>
      </c>
      <c r="AB158" s="3">
        <f>AB157*Params!$B$6</f>
        <v/>
      </c>
      <c r="AC158" s="3">
        <f>AC157*Params!$B$6</f>
        <v/>
      </c>
      <c r="AD158" s="3">
        <f>AD157*Params!$B$6</f>
        <v/>
      </c>
      <c r="AE158" s="3">
        <f>AE157*Params!$B$6</f>
        <v/>
      </c>
      <c r="AF158" s="3">
        <f>AF157*Params!$B$6</f>
        <v/>
      </c>
      <c r="AG158" s="3">
        <f>AG157*Params!$B$6</f>
        <v/>
      </c>
      <c r="AH158" s="3">
        <f>AH157*Params!$B$6</f>
        <v/>
      </c>
      <c r="AI158" s="3">
        <f>AI157*Params!$B$6</f>
        <v/>
      </c>
      <c r="AJ158" s="3">
        <f>AJ157*Params!$B$6</f>
        <v/>
      </c>
      <c r="AK158" s="3">
        <f>AK157*Params!$B$6</f>
        <v/>
      </c>
      <c r="AL158" s="3">
        <f>AL157*Params!$B$6</f>
        <v/>
      </c>
      <c r="AM158" s="3">
        <f>AM157*Params!$B$6</f>
        <v/>
      </c>
      <c r="AN158" s="3">
        <f>AN157*Params!$B$6</f>
        <v/>
      </c>
      <c r="AO158" s="3">
        <f>AO157*Params!$B$6</f>
        <v/>
      </c>
      <c r="AP158" s="3">
        <f>AP157*Params!$B$6</f>
        <v/>
      </c>
      <c r="AQ158" s="3">
        <f>AQ157*Params!$B$6</f>
        <v/>
      </c>
      <c r="AR158" s="3">
        <f>AR157*Params!$B$6</f>
        <v/>
      </c>
      <c r="AS158" s="3">
        <f>AS157*Params!$B$6</f>
        <v/>
      </c>
      <c r="AT158" s="3">
        <f>AT157*Params!$B$6</f>
        <v/>
      </c>
      <c r="AU158" s="3">
        <f>AU157*Params!$B$6</f>
        <v/>
      </c>
      <c r="AV158" s="3">
        <f>AV157*Params!$B$6</f>
        <v/>
      </c>
      <c r="AW158" s="3">
        <f>AW157*Params!$B$6</f>
        <v/>
      </c>
      <c r="AX158" s="3">
        <f>AX157*Params!$B$6</f>
        <v/>
      </c>
      <c r="AY158" s="3">
        <f>AY157*Params!$B$6</f>
        <v/>
      </c>
      <c r="AZ158" s="3">
        <f>AZ157*Params!$B$6</f>
        <v/>
      </c>
      <c r="BA158" s="3">
        <f>BA157*Params!$B$6</f>
        <v/>
      </c>
      <c r="BB158" s="3">
        <f>BB157*Params!$B$6</f>
        <v/>
      </c>
      <c r="BC158" s="3">
        <f>BC157*Params!$B$6</f>
        <v/>
      </c>
      <c r="BD158" s="3">
        <f>BD157*Params!$B$6</f>
        <v/>
      </c>
      <c r="BE158" s="3">
        <f>BE157*Params!$B$6</f>
        <v/>
      </c>
      <c r="BF158" s="3">
        <f>BF157*Params!$B$6</f>
        <v/>
      </c>
      <c r="BG158" s="3">
        <f>BG157*Params!$B$6</f>
        <v/>
      </c>
      <c r="BH158" s="3">
        <f>BH157*Params!$B$6</f>
        <v/>
      </c>
      <c r="BI158" s="3">
        <f>BI157*Params!$B$6</f>
        <v/>
      </c>
      <c r="BJ158" s="3">
        <f>BJ157*Params!$B$6</f>
        <v/>
      </c>
      <c r="BK158" s="3">
        <f>BK157*Params!$B$6</f>
        <v/>
      </c>
      <c r="BL158" s="3">
        <f>BL157*Params!$B$6</f>
        <v/>
      </c>
      <c r="BM158" s="3">
        <f>BM157*Params!$B$6</f>
        <v/>
      </c>
      <c r="BN158" s="3">
        <f>BN157*Params!$B$6</f>
        <v/>
      </c>
      <c r="BO158" s="3">
        <f>BO157*Params!$B$6</f>
        <v/>
      </c>
      <c r="BP158" s="3">
        <f>BP157*Params!$B$6</f>
        <v/>
      </c>
      <c r="BQ158" s="3">
        <f>BQ157*Params!$B$6</f>
        <v/>
      </c>
      <c r="BR158" s="3">
        <f>BR157*Params!$B$6</f>
        <v/>
      </c>
      <c r="BS158" s="3">
        <f>BS157*Params!$B$6</f>
        <v/>
      </c>
      <c r="BT158" s="3">
        <f>BT157*Params!$B$6</f>
        <v/>
      </c>
      <c r="BU158" s="3">
        <f>BU157*Params!$B$6</f>
        <v/>
      </c>
      <c r="BV158" s="3">
        <f>BV157*Params!$B$6</f>
        <v/>
      </c>
    </row>
    <row r="159">
      <c r="A159" t="inlineStr">
        <is>
          <t>direct paid starts</t>
        </is>
      </c>
      <c r="B159" t="inlineStr">
        <is>
          <t>APAC|BASIC_M</t>
        </is>
      </c>
      <c r="C159" s="3">
        <f>C157-C158</f>
        <v/>
      </c>
      <c r="D159" s="3">
        <f>D157-D158</f>
        <v/>
      </c>
      <c r="E159" s="3">
        <f>E157-E158</f>
        <v/>
      </c>
      <c r="F159" s="3">
        <f>F157-F158</f>
        <v/>
      </c>
      <c r="G159" s="3">
        <f>G157-G158</f>
        <v/>
      </c>
      <c r="H159" s="3">
        <f>H157-H158</f>
        <v/>
      </c>
      <c r="I159" s="3">
        <f>I157-I158</f>
        <v/>
      </c>
      <c r="J159" s="3">
        <f>J157-J158</f>
        <v/>
      </c>
      <c r="K159" s="3">
        <f>K157-K158</f>
        <v/>
      </c>
      <c r="L159" s="3">
        <f>L157-L158</f>
        <v/>
      </c>
      <c r="M159" s="3">
        <f>M157-M158</f>
        <v/>
      </c>
      <c r="N159" s="3">
        <f>N157-N158</f>
        <v/>
      </c>
      <c r="O159" s="3">
        <f>O157-O158</f>
        <v/>
      </c>
      <c r="P159" s="3">
        <f>P157-P158</f>
        <v/>
      </c>
      <c r="Q159" s="3">
        <f>Q157-Q158</f>
        <v/>
      </c>
      <c r="R159" s="3">
        <f>R157-R158</f>
        <v/>
      </c>
      <c r="S159" s="3">
        <f>S157-S158</f>
        <v/>
      </c>
      <c r="T159" s="3">
        <f>T157-T158</f>
        <v/>
      </c>
      <c r="U159" s="3">
        <f>U157-U158</f>
        <v/>
      </c>
      <c r="V159" s="3">
        <f>V157-V158</f>
        <v/>
      </c>
      <c r="W159" s="3">
        <f>W157-W158</f>
        <v/>
      </c>
      <c r="X159" s="3">
        <f>X157-X158</f>
        <v/>
      </c>
      <c r="Y159" s="3">
        <f>Y157-Y158</f>
        <v/>
      </c>
      <c r="Z159" s="3">
        <f>Z157-Z158</f>
        <v/>
      </c>
      <c r="AA159" s="3">
        <f>AA157-AA158</f>
        <v/>
      </c>
      <c r="AB159" s="3">
        <f>AB157-AB158</f>
        <v/>
      </c>
      <c r="AC159" s="3">
        <f>AC157-AC158</f>
        <v/>
      </c>
      <c r="AD159" s="3">
        <f>AD157-AD158</f>
        <v/>
      </c>
      <c r="AE159" s="3">
        <f>AE157-AE158</f>
        <v/>
      </c>
      <c r="AF159" s="3">
        <f>AF157-AF158</f>
        <v/>
      </c>
      <c r="AG159" s="3">
        <f>AG157-AG158</f>
        <v/>
      </c>
      <c r="AH159" s="3">
        <f>AH157-AH158</f>
        <v/>
      </c>
      <c r="AI159" s="3">
        <f>AI157-AI158</f>
        <v/>
      </c>
      <c r="AJ159" s="3">
        <f>AJ157-AJ158</f>
        <v/>
      </c>
      <c r="AK159" s="3">
        <f>AK157-AK158</f>
        <v/>
      </c>
      <c r="AL159" s="3">
        <f>AL157-AL158</f>
        <v/>
      </c>
      <c r="AM159" s="3">
        <f>AM157-AM158</f>
        <v/>
      </c>
      <c r="AN159" s="3">
        <f>AN157-AN158</f>
        <v/>
      </c>
      <c r="AO159" s="3">
        <f>AO157-AO158</f>
        <v/>
      </c>
      <c r="AP159" s="3">
        <f>AP157-AP158</f>
        <v/>
      </c>
      <c r="AQ159" s="3">
        <f>AQ157-AQ158</f>
        <v/>
      </c>
      <c r="AR159" s="3">
        <f>AR157-AR158</f>
        <v/>
      </c>
      <c r="AS159" s="3">
        <f>AS157-AS158</f>
        <v/>
      </c>
      <c r="AT159" s="3">
        <f>AT157-AT158</f>
        <v/>
      </c>
      <c r="AU159" s="3">
        <f>AU157-AU158</f>
        <v/>
      </c>
      <c r="AV159" s="3">
        <f>AV157-AV158</f>
        <v/>
      </c>
      <c r="AW159" s="3">
        <f>AW157-AW158</f>
        <v/>
      </c>
      <c r="AX159" s="3">
        <f>AX157-AX158</f>
        <v/>
      </c>
      <c r="AY159" s="3">
        <f>AY157-AY158</f>
        <v/>
      </c>
      <c r="AZ159" s="3">
        <f>AZ157-AZ158</f>
        <v/>
      </c>
      <c r="BA159" s="3">
        <f>BA157-BA158</f>
        <v/>
      </c>
      <c r="BB159" s="3">
        <f>BB157-BB158</f>
        <v/>
      </c>
      <c r="BC159" s="3">
        <f>BC157-BC158</f>
        <v/>
      </c>
      <c r="BD159" s="3">
        <f>BD157-BD158</f>
        <v/>
      </c>
      <c r="BE159" s="3">
        <f>BE157-BE158</f>
        <v/>
      </c>
      <c r="BF159" s="3">
        <f>BF157-BF158</f>
        <v/>
      </c>
      <c r="BG159" s="3">
        <f>BG157-BG158</f>
        <v/>
      </c>
      <c r="BH159" s="3">
        <f>BH157-BH158</f>
        <v/>
      </c>
      <c r="BI159" s="3">
        <f>BI157-BI158</f>
        <v/>
      </c>
      <c r="BJ159" s="3">
        <f>BJ157-BJ158</f>
        <v/>
      </c>
      <c r="BK159" s="3">
        <f>BK157-BK158</f>
        <v/>
      </c>
      <c r="BL159" s="3">
        <f>BL157-BL158</f>
        <v/>
      </c>
      <c r="BM159" s="3">
        <f>BM157-BM158</f>
        <v/>
      </c>
      <c r="BN159" s="3">
        <f>BN157-BN158</f>
        <v/>
      </c>
      <c r="BO159" s="3">
        <f>BO157-BO158</f>
        <v/>
      </c>
      <c r="BP159" s="3">
        <f>BP157-BP158</f>
        <v/>
      </c>
      <c r="BQ159" s="3">
        <f>BQ157-BQ158</f>
        <v/>
      </c>
      <c r="BR159" s="3">
        <f>BR157-BR158</f>
        <v/>
      </c>
      <c r="BS159" s="3">
        <f>BS157-BS158</f>
        <v/>
      </c>
      <c r="BT159" s="3">
        <f>BT157-BT158</f>
        <v/>
      </c>
      <c r="BU159" s="3">
        <f>BU157-BU158</f>
        <v/>
      </c>
      <c r="BV159" s="3">
        <f>BV157-BV158</f>
        <v/>
      </c>
    </row>
    <row r="160">
      <c r="A160" t="inlineStr">
        <is>
          <t>trials ending</t>
        </is>
      </c>
      <c r="B160" t="inlineStr">
        <is>
          <t>APAC|BASIC_M</t>
        </is>
      </c>
      <c r="C160" s="3">
        <f>IF(C$2&gt;=Params!$B$7,INDEX($C$158:$BV$158,C$2-Params!$B$7+1),0)</f>
        <v/>
      </c>
      <c r="D160" s="3">
        <f>IF(D$2&gt;=Params!$B$7,INDEX($C$158:$BV$158,D$2-Params!$B$7+1),0)</f>
        <v/>
      </c>
      <c r="E160" s="3">
        <f>IF(E$2&gt;=Params!$B$7,INDEX($C$158:$BV$158,E$2-Params!$B$7+1),0)</f>
        <v/>
      </c>
      <c r="F160" s="3">
        <f>IF(F$2&gt;=Params!$B$7,INDEX($C$158:$BV$158,F$2-Params!$B$7+1),0)</f>
        <v/>
      </c>
      <c r="G160" s="3">
        <f>IF(G$2&gt;=Params!$B$7,INDEX($C$158:$BV$158,G$2-Params!$B$7+1),0)</f>
        <v/>
      </c>
      <c r="H160" s="3">
        <f>IF(H$2&gt;=Params!$B$7,INDEX($C$158:$BV$158,H$2-Params!$B$7+1),0)</f>
        <v/>
      </c>
      <c r="I160" s="3">
        <f>IF(I$2&gt;=Params!$B$7,INDEX($C$158:$BV$158,I$2-Params!$B$7+1),0)</f>
        <v/>
      </c>
      <c r="J160" s="3">
        <f>IF(J$2&gt;=Params!$B$7,INDEX($C$158:$BV$158,J$2-Params!$B$7+1),0)</f>
        <v/>
      </c>
      <c r="K160" s="3">
        <f>IF(K$2&gt;=Params!$B$7,INDEX($C$158:$BV$158,K$2-Params!$B$7+1),0)</f>
        <v/>
      </c>
      <c r="L160" s="3">
        <f>IF(L$2&gt;=Params!$B$7,INDEX($C$158:$BV$158,L$2-Params!$B$7+1),0)</f>
        <v/>
      </c>
      <c r="M160" s="3">
        <f>IF(M$2&gt;=Params!$B$7,INDEX($C$158:$BV$158,M$2-Params!$B$7+1),0)</f>
        <v/>
      </c>
      <c r="N160" s="3">
        <f>IF(N$2&gt;=Params!$B$7,INDEX($C$158:$BV$158,N$2-Params!$B$7+1),0)</f>
        <v/>
      </c>
      <c r="O160" s="3">
        <f>IF(O$2&gt;=Params!$B$7,INDEX($C$158:$BV$158,O$2-Params!$B$7+1),0)</f>
        <v/>
      </c>
      <c r="P160" s="3">
        <f>IF(P$2&gt;=Params!$B$7,INDEX($C$158:$BV$158,P$2-Params!$B$7+1),0)</f>
        <v/>
      </c>
      <c r="Q160" s="3">
        <f>IF(Q$2&gt;=Params!$B$7,INDEX($C$158:$BV$158,Q$2-Params!$B$7+1),0)</f>
        <v/>
      </c>
      <c r="R160" s="3">
        <f>IF(R$2&gt;=Params!$B$7,INDEX($C$158:$BV$158,R$2-Params!$B$7+1),0)</f>
        <v/>
      </c>
      <c r="S160" s="3">
        <f>IF(S$2&gt;=Params!$B$7,INDEX($C$158:$BV$158,S$2-Params!$B$7+1),0)</f>
        <v/>
      </c>
      <c r="T160" s="3">
        <f>IF(T$2&gt;=Params!$B$7,INDEX($C$158:$BV$158,T$2-Params!$B$7+1),0)</f>
        <v/>
      </c>
      <c r="U160" s="3">
        <f>IF(U$2&gt;=Params!$B$7,INDEX($C$158:$BV$158,U$2-Params!$B$7+1),0)</f>
        <v/>
      </c>
      <c r="V160" s="3">
        <f>IF(V$2&gt;=Params!$B$7,INDEX($C$158:$BV$158,V$2-Params!$B$7+1),0)</f>
        <v/>
      </c>
      <c r="W160" s="3">
        <f>IF(W$2&gt;=Params!$B$7,INDEX($C$158:$BV$158,W$2-Params!$B$7+1),0)</f>
        <v/>
      </c>
      <c r="X160" s="3">
        <f>IF(X$2&gt;=Params!$B$7,INDEX($C$158:$BV$158,X$2-Params!$B$7+1),0)</f>
        <v/>
      </c>
      <c r="Y160" s="3">
        <f>IF(Y$2&gt;=Params!$B$7,INDEX($C$158:$BV$158,Y$2-Params!$B$7+1),0)</f>
        <v/>
      </c>
      <c r="Z160" s="3">
        <f>IF(Z$2&gt;=Params!$B$7,INDEX($C$158:$BV$158,Z$2-Params!$B$7+1),0)</f>
        <v/>
      </c>
      <c r="AA160" s="3">
        <f>IF(AA$2&gt;=Params!$B$7,INDEX($C$158:$BV$158,AA$2-Params!$B$7+1),0)</f>
        <v/>
      </c>
      <c r="AB160" s="3">
        <f>IF(AB$2&gt;=Params!$B$7,INDEX($C$158:$BV$158,AB$2-Params!$B$7+1),0)</f>
        <v/>
      </c>
      <c r="AC160" s="3">
        <f>IF(AC$2&gt;=Params!$B$7,INDEX($C$158:$BV$158,AC$2-Params!$B$7+1),0)</f>
        <v/>
      </c>
      <c r="AD160" s="3">
        <f>IF(AD$2&gt;=Params!$B$7,INDEX($C$158:$BV$158,AD$2-Params!$B$7+1),0)</f>
        <v/>
      </c>
      <c r="AE160" s="3">
        <f>IF(AE$2&gt;=Params!$B$7,INDEX($C$158:$BV$158,AE$2-Params!$B$7+1),0)</f>
        <v/>
      </c>
      <c r="AF160" s="3">
        <f>IF(AF$2&gt;=Params!$B$7,INDEX($C$158:$BV$158,AF$2-Params!$B$7+1),0)</f>
        <v/>
      </c>
      <c r="AG160" s="3">
        <f>IF(AG$2&gt;=Params!$B$7,INDEX($C$158:$BV$158,AG$2-Params!$B$7+1),0)</f>
        <v/>
      </c>
      <c r="AH160" s="3">
        <f>IF(AH$2&gt;=Params!$B$7,INDEX($C$158:$BV$158,AH$2-Params!$B$7+1),0)</f>
        <v/>
      </c>
      <c r="AI160" s="3">
        <f>IF(AI$2&gt;=Params!$B$7,INDEX($C$158:$BV$158,AI$2-Params!$B$7+1),0)</f>
        <v/>
      </c>
      <c r="AJ160" s="3">
        <f>IF(AJ$2&gt;=Params!$B$7,INDEX($C$158:$BV$158,AJ$2-Params!$B$7+1),0)</f>
        <v/>
      </c>
      <c r="AK160" s="3">
        <f>IF(AK$2&gt;=Params!$B$7,INDEX($C$158:$BV$158,AK$2-Params!$B$7+1),0)</f>
        <v/>
      </c>
      <c r="AL160" s="3">
        <f>IF(AL$2&gt;=Params!$B$7,INDEX($C$158:$BV$158,AL$2-Params!$B$7+1),0)</f>
        <v/>
      </c>
      <c r="AM160" s="3">
        <f>IF(AM$2&gt;=Params!$B$7,INDEX($C$158:$BV$158,AM$2-Params!$B$7+1),0)</f>
        <v/>
      </c>
      <c r="AN160" s="3">
        <f>IF(AN$2&gt;=Params!$B$7,INDEX($C$158:$BV$158,AN$2-Params!$B$7+1),0)</f>
        <v/>
      </c>
      <c r="AO160" s="3">
        <f>IF(AO$2&gt;=Params!$B$7,INDEX($C$158:$BV$158,AO$2-Params!$B$7+1),0)</f>
        <v/>
      </c>
      <c r="AP160" s="3">
        <f>IF(AP$2&gt;=Params!$B$7,INDEX($C$158:$BV$158,AP$2-Params!$B$7+1),0)</f>
        <v/>
      </c>
      <c r="AQ160" s="3">
        <f>IF(AQ$2&gt;=Params!$B$7,INDEX($C$158:$BV$158,AQ$2-Params!$B$7+1),0)</f>
        <v/>
      </c>
      <c r="AR160" s="3">
        <f>IF(AR$2&gt;=Params!$B$7,INDEX($C$158:$BV$158,AR$2-Params!$B$7+1),0)</f>
        <v/>
      </c>
      <c r="AS160" s="3">
        <f>IF(AS$2&gt;=Params!$B$7,INDEX($C$158:$BV$158,AS$2-Params!$B$7+1),0)</f>
        <v/>
      </c>
      <c r="AT160" s="3">
        <f>IF(AT$2&gt;=Params!$B$7,INDEX($C$158:$BV$158,AT$2-Params!$B$7+1),0)</f>
        <v/>
      </c>
      <c r="AU160" s="3">
        <f>IF(AU$2&gt;=Params!$B$7,INDEX($C$158:$BV$158,AU$2-Params!$B$7+1),0)</f>
        <v/>
      </c>
      <c r="AV160" s="3">
        <f>IF(AV$2&gt;=Params!$B$7,INDEX($C$158:$BV$158,AV$2-Params!$B$7+1),0)</f>
        <v/>
      </c>
      <c r="AW160" s="3">
        <f>IF(AW$2&gt;=Params!$B$7,INDEX($C$158:$BV$158,AW$2-Params!$B$7+1),0)</f>
        <v/>
      </c>
      <c r="AX160" s="3">
        <f>IF(AX$2&gt;=Params!$B$7,INDEX($C$158:$BV$158,AX$2-Params!$B$7+1),0)</f>
        <v/>
      </c>
      <c r="AY160" s="3">
        <f>IF(AY$2&gt;=Params!$B$7,INDEX($C$158:$BV$158,AY$2-Params!$B$7+1),0)</f>
        <v/>
      </c>
      <c r="AZ160" s="3">
        <f>IF(AZ$2&gt;=Params!$B$7,INDEX($C$158:$BV$158,AZ$2-Params!$B$7+1),0)</f>
        <v/>
      </c>
      <c r="BA160" s="3">
        <f>IF(BA$2&gt;=Params!$B$7,INDEX($C$158:$BV$158,BA$2-Params!$B$7+1),0)</f>
        <v/>
      </c>
      <c r="BB160" s="3">
        <f>IF(BB$2&gt;=Params!$B$7,INDEX($C$158:$BV$158,BB$2-Params!$B$7+1),0)</f>
        <v/>
      </c>
      <c r="BC160" s="3">
        <f>IF(BC$2&gt;=Params!$B$7,INDEX($C$158:$BV$158,BC$2-Params!$B$7+1),0)</f>
        <v/>
      </c>
      <c r="BD160" s="3">
        <f>IF(BD$2&gt;=Params!$B$7,INDEX($C$158:$BV$158,BD$2-Params!$B$7+1),0)</f>
        <v/>
      </c>
      <c r="BE160" s="3">
        <f>IF(BE$2&gt;=Params!$B$7,INDEX($C$158:$BV$158,BE$2-Params!$B$7+1),0)</f>
        <v/>
      </c>
      <c r="BF160" s="3">
        <f>IF(BF$2&gt;=Params!$B$7,INDEX($C$158:$BV$158,BF$2-Params!$B$7+1),0)</f>
        <v/>
      </c>
      <c r="BG160" s="3">
        <f>IF(BG$2&gt;=Params!$B$7,INDEX($C$158:$BV$158,BG$2-Params!$B$7+1),0)</f>
        <v/>
      </c>
      <c r="BH160" s="3">
        <f>IF(BH$2&gt;=Params!$B$7,INDEX($C$158:$BV$158,BH$2-Params!$B$7+1),0)</f>
        <v/>
      </c>
      <c r="BI160" s="3">
        <f>IF(BI$2&gt;=Params!$B$7,INDEX($C$158:$BV$158,BI$2-Params!$B$7+1),0)</f>
        <v/>
      </c>
      <c r="BJ160" s="3">
        <f>IF(BJ$2&gt;=Params!$B$7,INDEX($C$158:$BV$158,BJ$2-Params!$B$7+1),0)</f>
        <v/>
      </c>
      <c r="BK160" s="3">
        <f>IF(BK$2&gt;=Params!$B$7,INDEX($C$158:$BV$158,BK$2-Params!$B$7+1),0)</f>
        <v/>
      </c>
      <c r="BL160" s="3">
        <f>IF(BL$2&gt;=Params!$B$7,INDEX($C$158:$BV$158,BL$2-Params!$B$7+1),0)</f>
        <v/>
      </c>
      <c r="BM160" s="3">
        <f>IF(BM$2&gt;=Params!$B$7,INDEX($C$158:$BV$158,BM$2-Params!$B$7+1),0)</f>
        <v/>
      </c>
      <c r="BN160" s="3">
        <f>IF(BN$2&gt;=Params!$B$7,INDEX($C$158:$BV$158,BN$2-Params!$B$7+1),0)</f>
        <v/>
      </c>
      <c r="BO160" s="3">
        <f>IF(BO$2&gt;=Params!$B$7,INDEX($C$158:$BV$158,BO$2-Params!$B$7+1),0)</f>
        <v/>
      </c>
      <c r="BP160" s="3">
        <f>IF(BP$2&gt;=Params!$B$7,INDEX($C$158:$BV$158,BP$2-Params!$B$7+1),0)</f>
        <v/>
      </c>
      <c r="BQ160" s="3">
        <f>IF(BQ$2&gt;=Params!$B$7,INDEX($C$158:$BV$158,BQ$2-Params!$B$7+1),0)</f>
        <v/>
      </c>
      <c r="BR160" s="3">
        <f>IF(BR$2&gt;=Params!$B$7,INDEX($C$158:$BV$158,BR$2-Params!$B$7+1),0)</f>
        <v/>
      </c>
      <c r="BS160" s="3">
        <f>IF(BS$2&gt;=Params!$B$7,INDEX($C$158:$BV$158,BS$2-Params!$B$7+1),0)</f>
        <v/>
      </c>
      <c r="BT160" s="3">
        <f>IF(BT$2&gt;=Params!$B$7,INDEX($C$158:$BV$158,BT$2-Params!$B$7+1),0)</f>
        <v/>
      </c>
      <c r="BU160" s="3">
        <f>IF(BU$2&gt;=Params!$B$7,INDEX($C$158:$BV$158,BU$2-Params!$B$7+1),0)</f>
        <v/>
      </c>
      <c r="BV160" s="3">
        <f>IF(BV$2&gt;=Params!$B$7,INDEX($C$158:$BV$158,BV$2-Params!$B$7+1),0)</f>
        <v/>
      </c>
    </row>
    <row r="161">
      <c r="A161" t="inlineStr">
        <is>
          <t>trials converted</t>
        </is>
      </c>
      <c r="B161" t="inlineStr">
        <is>
          <t>APAC|BASIC_M</t>
        </is>
      </c>
      <c r="C161" s="3">
        <f>C160*Params!$B$8</f>
        <v/>
      </c>
      <c r="D161" s="3">
        <f>D160*Params!$B$8</f>
        <v/>
      </c>
      <c r="E161" s="3">
        <f>E160*Params!$B$8</f>
        <v/>
      </c>
      <c r="F161" s="3">
        <f>F160*Params!$B$8</f>
        <v/>
      </c>
      <c r="G161" s="3">
        <f>G160*Params!$B$8</f>
        <v/>
      </c>
      <c r="H161" s="3">
        <f>H160*Params!$B$8</f>
        <v/>
      </c>
      <c r="I161" s="3">
        <f>I160*Params!$B$8</f>
        <v/>
      </c>
      <c r="J161" s="3">
        <f>J160*Params!$B$8</f>
        <v/>
      </c>
      <c r="K161" s="3">
        <f>K160*Params!$B$8</f>
        <v/>
      </c>
      <c r="L161" s="3">
        <f>L160*Params!$B$8</f>
        <v/>
      </c>
      <c r="M161" s="3">
        <f>M160*Params!$B$8</f>
        <v/>
      </c>
      <c r="N161" s="3">
        <f>N160*Params!$B$8</f>
        <v/>
      </c>
      <c r="O161" s="3">
        <f>O160*Params!$B$8</f>
        <v/>
      </c>
      <c r="P161" s="3">
        <f>P160*Params!$B$8</f>
        <v/>
      </c>
      <c r="Q161" s="3">
        <f>Q160*Params!$B$8</f>
        <v/>
      </c>
      <c r="R161" s="3">
        <f>R160*Params!$B$8</f>
        <v/>
      </c>
      <c r="S161" s="3">
        <f>S160*Params!$B$8</f>
        <v/>
      </c>
      <c r="T161" s="3">
        <f>T160*Params!$B$8</f>
        <v/>
      </c>
      <c r="U161" s="3">
        <f>U160*Params!$B$8</f>
        <v/>
      </c>
      <c r="V161" s="3">
        <f>V160*Params!$B$8</f>
        <v/>
      </c>
      <c r="W161" s="3">
        <f>W160*Params!$B$8</f>
        <v/>
      </c>
      <c r="X161" s="3">
        <f>X160*Params!$B$8</f>
        <v/>
      </c>
      <c r="Y161" s="3">
        <f>Y160*Params!$B$8</f>
        <v/>
      </c>
      <c r="Z161" s="3">
        <f>Z160*Params!$B$8</f>
        <v/>
      </c>
      <c r="AA161" s="3">
        <f>AA160*Params!$B$8</f>
        <v/>
      </c>
      <c r="AB161" s="3">
        <f>AB160*Params!$B$8</f>
        <v/>
      </c>
      <c r="AC161" s="3">
        <f>AC160*Params!$B$8</f>
        <v/>
      </c>
      <c r="AD161" s="3">
        <f>AD160*Params!$B$8</f>
        <v/>
      </c>
      <c r="AE161" s="3">
        <f>AE160*Params!$B$8</f>
        <v/>
      </c>
      <c r="AF161" s="3">
        <f>AF160*Params!$B$8</f>
        <v/>
      </c>
      <c r="AG161" s="3">
        <f>AG160*Params!$B$8</f>
        <v/>
      </c>
      <c r="AH161" s="3">
        <f>AH160*Params!$B$8</f>
        <v/>
      </c>
      <c r="AI161" s="3">
        <f>AI160*Params!$B$8</f>
        <v/>
      </c>
      <c r="AJ161" s="3">
        <f>AJ160*Params!$B$8</f>
        <v/>
      </c>
      <c r="AK161" s="3">
        <f>AK160*Params!$B$8</f>
        <v/>
      </c>
      <c r="AL161" s="3">
        <f>AL160*Params!$B$8</f>
        <v/>
      </c>
      <c r="AM161" s="3">
        <f>AM160*Params!$B$8</f>
        <v/>
      </c>
      <c r="AN161" s="3">
        <f>AN160*Params!$B$8</f>
        <v/>
      </c>
      <c r="AO161" s="3">
        <f>AO160*Params!$B$8</f>
        <v/>
      </c>
      <c r="AP161" s="3">
        <f>AP160*Params!$B$8</f>
        <v/>
      </c>
      <c r="AQ161" s="3">
        <f>AQ160*Params!$B$8</f>
        <v/>
      </c>
      <c r="AR161" s="3">
        <f>AR160*Params!$B$8</f>
        <v/>
      </c>
      <c r="AS161" s="3">
        <f>AS160*Params!$B$8</f>
        <v/>
      </c>
      <c r="AT161" s="3">
        <f>AT160*Params!$B$8</f>
        <v/>
      </c>
      <c r="AU161" s="3">
        <f>AU160*Params!$B$8</f>
        <v/>
      </c>
      <c r="AV161" s="3">
        <f>AV160*Params!$B$8</f>
        <v/>
      </c>
      <c r="AW161" s="3">
        <f>AW160*Params!$B$8</f>
        <v/>
      </c>
      <c r="AX161" s="3">
        <f>AX160*Params!$B$8</f>
        <v/>
      </c>
      <c r="AY161" s="3">
        <f>AY160*Params!$B$8</f>
        <v/>
      </c>
      <c r="AZ161" s="3">
        <f>AZ160*Params!$B$8</f>
        <v/>
      </c>
      <c r="BA161" s="3">
        <f>BA160*Params!$B$8</f>
        <v/>
      </c>
      <c r="BB161" s="3">
        <f>BB160*Params!$B$8</f>
        <v/>
      </c>
      <c r="BC161" s="3">
        <f>BC160*Params!$B$8</f>
        <v/>
      </c>
      <c r="BD161" s="3">
        <f>BD160*Params!$B$8</f>
        <v/>
      </c>
      <c r="BE161" s="3">
        <f>BE160*Params!$B$8</f>
        <v/>
      </c>
      <c r="BF161" s="3">
        <f>BF160*Params!$B$8</f>
        <v/>
      </c>
      <c r="BG161" s="3">
        <f>BG160*Params!$B$8</f>
        <v/>
      </c>
      <c r="BH161" s="3">
        <f>BH160*Params!$B$8</f>
        <v/>
      </c>
      <c r="BI161" s="3">
        <f>BI160*Params!$B$8</f>
        <v/>
      </c>
      <c r="BJ161" s="3">
        <f>BJ160*Params!$B$8</f>
        <v/>
      </c>
      <c r="BK161" s="3">
        <f>BK160*Params!$B$8</f>
        <v/>
      </c>
      <c r="BL161" s="3">
        <f>BL160*Params!$B$8</f>
        <v/>
      </c>
      <c r="BM161" s="3">
        <f>BM160*Params!$B$8</f>
        <v/>
      </c>
      <c r="BN161" s="3">
        <f>BN160*Params!$B$8</f>
        <v/>
      </c>
      <c r="BO161" s="3">
        <f>BO160*Params!$B$8</f>
        <v/>
      </c>
      <c r="BP161" s="3">
        <f>BP160*Params!$B$8</f>
        <v/>
      </c>
      <c r="BQ161" s="3">
        <f>BQ160*Params!$B$8</f>
        <v/>
      </c>
      <c r="BR161" s="3">
        <f>BR160*Params!$B$8</f>
        <v/>
      </c>
      <c r="BS161" s="3">
        <f>BS160*Params!$B$8</f>
        <v/>
      </c>
      <c r="BT161" s="3">
        <f>BT160*Params!$B$8</f>
        <v/>
      </c>
      <c r="BU161" s="3">
        <f>BU160*Params!$B$8</f>
        <v/>
      </c>
      <c r="BV161" s="3">
        <f>BV160*Params!$B$8</f>
        <v/>
      </c>
    </row>
    <row r="162">
      <c r="A162" t="inlineStr">
        <is>
          <t>trials lost</t>
        </is>
      </c>
      <c r="B162" t="inlineStr">
        <is>
          <t>APAC|BASIC_M</t>
        </is>
      </c>
      <c r="C162" s="3">
        <f>C160-C161</f>
        <v/>
      </c>
      <c r="D162" s="3">
        <f>D160-D161</f>
        <v/>
      </c>
      <c r="E162" s="3">
        <f>E160-E161</f>
        <v/>
      </c>
      <c r="F162" s="3">
        <f>F160-F161</f>
        <v/>
      </c>
      <c r="G162" s="3">
        <f>G160-G161</f>
        <v/>
      </c>
      <c r="H162" s="3">
        <f>H160-H161</f>
        <v/>
      </c>
      <c r="I162" s="3">
        <f>I160-I161</f>
        <v/>
      </c>
      <c r="J162" s="3">
        <f>J160-J161</f>
        <v/>
      </c>
      <c r="K162" s="3">
        <f>K160-K161</f>
        <v/>
      </c>
      <c r="L162" s="3">
        <f>L160-L161</f>
        <v/>
      </c>
      <c r="M162" s="3">
        <f>M160-M161</f>
        <v/>
      </c>
      <c r="N162" s="3">
        <f>N160-N161</f>
        <v/>
      </c>
      <c r="O162" s="3">
        <f>O160-O161</f>
        <v/>
      </c>
      <c r="P162" s="3">
        <f>P160-P161</f>
        <v/>
      </c>
      <c r="Q162" s="3">
        <f>Q160-Q161</f>
        <v/>
      </c>
      <c r="R162" s="3">
        <f>R160-R161</f>
        <v/>
      </c>
      <c r="S162" s="3">
        <f>S160-S161</f>
        <v/>
      </c>
      <c r="T162" s="3">
        <f>T160-T161</f>
        <v/>
      </c>
      <c r="U162" s="3">
        <f>U160-U161</f>
        <v/>
      </c>
      <c r="V162" s="3">
        <f>V160-V161</f>
        <v/>
      </c>
      <c r="W162" s="3">
        <f>W160-W161</f>
        <v/>
      </c>
      <c r="X162" s="3">
        <f>X160-X161</f>
        <v/>
      </c>
      <c r="Y162" s="3">
        <f>Y160-Y161</f>
        <v/>
      </c>
      <c r="Z162" s="3">
        <f>Z160-Z161</f>
        <v/>
      </c>
      <c r="AA162" s="3">
        <f>AA160-AA161</f>
        <v/>
      </c>
      <c r="AB162" s="3">
        <f>AB160-AB161</f>
        <v/>
      </c>
      <c r="AC162" s="3">
        <f>AC160-AC161</f>
        <v/>
      </c>
      <c r="AD162" s="3">
        <f>AD160-AD161</f>
        <v/>
      </c>
      <c r="AE162" s="3">
        <f>AE160-AE161</f>
        <v/>
      </c>
      <c r="AF162" s="3">
        <f>AF160-AF161</f>
        <v/>
      </c>
      <c r="AG162" s="3">
        <f>AG160-AG161</f>
        <v/>
      </c>
      <c r="AH162" s="3">
        <f>AH160-AH161</f>
        <v/>
      </c>
      <c r="AI162" s="3">
        <f>AI160-AI161</f>
        <v/>
      </c>
      <c r="AJ162" s="3">
        <f>AJ160-AJ161</f>
        <v/>
      </c>
      <c r="AK162" s="3">
        <f>AK160-AK161</f>
        <v/>
      </c>
      <c r="AL162" s="3">
        <f>AL160-AL161</f>
        <v/>
      </c>
      <c r="AM162" s="3">
        <f>AM160-AM161</f>
        <v/>
      </c>
      <c r="AN162" s="3">
        <f>AN160-AN161</f>
        <v/>
      </c>
      <c r="AO162" s="3">
        <f>AO160-AO161</f>
        <v/>
      </c>
      <c r="AP162" s="3">
        <f>AP160-AP161</f>
        <v/>
      </c>
      <c r="AQ162" s="3">
        <f>AQ160-AQ161</f>
        <v/>
      </c>
      <c r="AR162" s="3">
        <f>AR160-AR161</f>
        <v/>
      </c>
      <c r="AS162" s="3">
        <f>AS160-AS161</f>
        <v/>
      </c>
      <c r="AT162" s="3">
        <f>AT160-AT161</f>
        <v/>
      </c>
      <c r="AU162" s="3">
        <f>AU160-AU161</f>
        <v/>
      </c>
      <c r="AV162" s="3">
        <f>AV160-AV161</f>
        <v/>
      </c>
      <c r="AW162" s="3">
        <f>AW160-AW161</f>
        <v/>
      </c>
      <c r="AX162" s="3">
        <f>AX160-AX161</f>
        <v/>
      </c>
      <c r="AY162" s="3">
        <f>AY160-AY161</f>
        <v/>
      </c>
      <c r="AZ162" s="3">
        <f>AZ160-AZ161</f>
        <v/>
      </c>
      <c r="BA162" s="3">
        <f>BA160-BA161</f>
        <v/>
      </c>
      <c r="BB162" s="3">
        <f>BB160-BB161</f>
        <v/>
      </c>
      <c r="BC162" s="3">
        <f>BC160-BC161</f>
        <v/>
      </c>
      <c r="BD162" s="3">
        <f>BD160-BD161</f>
        <v/>
      </c>
      <c r="BE162" s="3">
        <f>BE160-BE161</f>
        <v/>
      </c>
      <c r="BF162" s="3">
        <f>BF160-BF161</f>
        <v/>
      </c>
      <c r="BG162" s="3">
        <f>BG160-BG161</f>
        <v/>
      </c>
      <c r="BH162" s="3">
        <f>BH160-BH161</f>
        <v/>
      </c>
      <c r="BI162" s="3">
        <f>BI160-BI161</f>
        <v/>
      </c>
      <c r="BJ162" s="3">
        <f>BJ160-BJ161</f>
        <v/>
      </c>
      <c r="BK162" s="3">
        <f>BK160-BK161</f>
        <v/>
      </c>
      <c r="BL162" s="3">
        <f>BL160-BL161</f>
        <v/>
      </c>
      <c r="BM162" s="3">
        <f>BM160-BM161</f>
        <v/>
      </c>
      <c r="BN162" s="3">
        <f>BN160-BN161</f>
        <v/>
      </c>
      <c r="BO162" s="3">
        <f>BO160-BO161</f>
        <v/>
      </c>
      <c r="BP162" s="3">
        <f>BP160-BP161</f>
        <v/>
      </c>
      <c r="BQ162" s="3">
        <f>BQ160-BQ161</f>
        <v/>
      </c>
      <c r="BR162" s="3">
        <f>BR160-BR161</f>
        <v/>
      </c>
      <c r="BS162" s="3">
        <f>BS160-BS161</f>
        <v/>
      </c>
      <c r="BT162" s="3">
        <f>BT160-BT161</f>
        <v/>
      </c>
      <c r="BU162" s="3">
        <f>BU160-BU161</f>
        <v/>
      </c>
      <c r="BV162" s="3">
        <f>BV160-BV161</f>
        <v/>
      </c>
    </row>
    <row r="163">
      <c r="A163" t="inlineStr">
        <is>
          <t>cum trial starts</t>
        </is>
      </c>
      <c r="B163" t="inlineStr">
        <is>
          <t>APAC|BASIC_M</t>
        </is>
      </c>
      <c r="C163" s="3">
        <f>SUM($C158:C158)</f>
        <v/>
      </c>
      <c r="D163" s="3">
        <f>SUM($C158:D158)</f>
        <v/>
      </c>
      <c r="E163" s="3">
        <f>SUM($C158:E158)</f>
        <v/>
      </c>
      <c r="F163" s="3">
        <f>SUM($C158:F158)</f>
        <v/>
      </c>
      <c r="G163" s="3">
        <f>SUM($C158:G158)</f>
        <v/>
      </c>
      <c r="H163" s="3">
        <f>SUM($C158:H158)</f>
        <v/>
      </c>
      <c r="I163" s="3">
        <f>SUM($C158:I158)</f>
        <v/>
      </c>
      <c r="J163" s="3">
        <f>SUM($C158:J158)</f>
        <v/>
      </c>
      <c r="K163" s="3">
        <f>SUM($C158:K158)</f>
        <v/>
      </c>
      <c r="L163" s="3">
        <f>SUM($C158:L158)</f>
        <v/>
      </c>
      <c r="M163" s="3">
        <f>SUM($C158:M158)</f>
        <v/>
      </c>
      <c r="N163" s="3">
        <f>SUM($C158:N158)</f>
        <v/>
      </c>
      <c r="O163" s="3">
        <f>SUM($C158:O158)</f>
        <v/>
      </c>
      <c r="P163" s="3">
        <f>SUM($C158:P158)</f>
        <v/>
      </c>
      <c r="Q163" s="3">
        <f>SUM($C158:Q158)</f>
        <v/>
      </c>
      <c r="R163" s="3">
        <f>SUM($C158:R158)</f>
        <v/>
      </c>
      <c r="S163" s="3">
        <f>SUM($C158:S158)</f>
        <v/>
      </c>
      <c r="T163" s="3">
        <f>SUM($C158:T158)</f>
        <v/>
      </c>
      <c r="U163" s="3">
        <f>SUM($C158:U158)</f>
        <v/>
      </c>
      <c r="V163" s="3">
        <f>SUM($C158:V158)</f>
        <v/>
      </c>
      <c r="W163" s="3">
        <f>SUM($C158:W158)</f>
        <v/>
      </c>
      <c r="X163" s="3">
        <f>SUM($C158:X158)</f>
        <v/>
      </c>
      <c r="Y163" s="3">
        <f>SUM($C158:Y158)</f>
        <v/>
      </c>
      <c r="Z163" s="3">
        <f>SUM($C158:Z158)</f>
        <v/>
      </c>
      <c r="AA163" s="3">
        <f>SUM($C158:AA158)</f>
        <v/>
      </c>
      <c r="AB163" s="3">
        <f>SUM($C158:AB158)</f>
        <v/>
      </c>
      <c r="AC163" s="3">
        <f>SUM($C158:AC158)</f>
        <v/>
      </c>
      <c r="AD163" s="3">
        <f>SUM($C158:AD158)</f>
        <v/>
      </c>
      <c r="AE163" s="3">
        <f>SUM($C158:AE158)</f>
        <v/>
      </c>
      <c r="AF163" s="3">
        <f>SUM($C158:AF158)</f>
        <v/>
      </c>
      <c r="AG163" s="3">
        <f>SUM($C158:AG158)</f>
        <v/>
      </c>
      <c r="AH163" s="3">
        <f>SUM($C158:AH158)</f>
        <v/>
      </c>
      <c r="AI163" s="3">
        <f>SUM($C158:AI158)</f>
        <v/>
      </c>
      <c r="AJ163" s="3">
        <f>SUM($C158:AJ158)</f>
        <v/>
      </c>
      <c r="AK163" s="3">
        <f>SUM($C158:AK158)</f>
        <v/>
      </c>
      <c r="AL163" s="3">
        <f>SUM($C158:AL158)</f>
        <v/>
      </c>
      <c r="AM163" s="3">
        <f>SUM($C158:AM158)</f>
        <v/>
      </c>
      <c r="AN163" s="3">
        <f>SUM($C158:AN158)</f>
        <v/>
      </c>
      <c r="AO163" s="3">
        <f>SUM($C158:AO158)</f>
        <v/>
      </c>
      <c r="AP163" s="3">
        <f>SUM($C158:AP158)</f>
        <v/>
      </c>
      <c r="AQ163" s="3">
        <f>SUM($C158:AQ158)</f>
        <v/>
      </c>
      <c r="AR163" s="3">
        <f>SUM($C158:AR158)</f>
        <v/>
      </c>
      <c r="AS163" s="3">
        <f>SUM($C158:AS158)</f>
        <v/>
      </c>
      <c r="AT163" s="3">
        <f>SUM($C158:AT158)</f>
        <v/>
      </c>
      <c r="AU163" s="3">
        <f>SUM($C158:AU158)</f>
        <v/>
      </c>
      <c r="AV163" s="3">
        <f>SUM($C158:AV158)</f>
        <v/>
      </c>
      <c r="AW163" s="3">
        <f>SUM($C158:AW158)</f>
        <v/>
      </c>
      <c r="AX163" s="3">
        <f>SUM($C158:AX158)</f>
        <v/>
      </c>
      <c r="AY163" s="3">
        <f>SUM($C158:AY158)</f>
        <v/>
      </c>
      <c r="AZ163" s="3">
        <f>SUM($C158:AZ158)</f>
        <v/>
      </c>
      <c r="BA163" s="3">
        <f>SUM($C158:BA158)</f>
        <v/>
      </c>
      <c r="BB163" s="3">
        <f>SUM($C158:BB158)</f>
        <v/>
      </c>
      <c r="BC163" s="3">
        <f>SUM($C158:BC158)</f>
        <v/>
      </c>
      <c r="BD163" s="3">
        <f>SUM($C158:BD158)</f>
        <v/>
      </c>
      <c r="BE163" s="3">
        <f>SUM($C158:BE158)</f>
        <v/>
      </c>
      <c r="BF163" s="3">
        <f>SUM($C158:BF158)</f>
        <v/>
      </c>
      <c r="BG163" s="3">
        <f>SUM($C158:BG158)</f>
        <v/>
      </c>
      <c r="BH163" s="3">
        <f>SUM($C158:BH158)</f>
        <v/>
      </c>
      <c r="BI163" s="3">
        <f>SUM($C158:BI158)</f>
        <v/>
      </c>
      <c r="BJ163" s="3">
        <f>SUM($C158:BJ158)</f>
        <v/>
      </c>
      <c r="BK163" s="3">
        <f>SUM($C158:BK158)</f>
        <v/>
      </c>
      <c r="BL163" s="3">
        <f>SUM($C158:BL158)</f>
        <v/>
      </c>
      <c r="BM163" s="3">
        <f>SUM($C158:BM158)</f>
        <v/>
      </c>
      <c r="BN163" s="3">
        <f>SUM($C158:BN158)</f>
        <v/>
      </c>
      <c r="BO163" s="3">
        <f>SUM($C158:BO158)</f>
        <v/>
      </c>
      <c r="BP163" s="3">
        <f>SUM($C158:BP158)</f>
        <v/>
      </c>
      <c r="BQ163" s="3">
        <f>SUM($C158:BQ158)</f>
        <v/>
      </c>
      <c r="BR163" s="3">
        <f>SUM($C158:BR158)</f>
        <v/>
      </c>
      <c r="BS163" s="3">
        <f>SUM($C158:BS158)</f>
        <v/>
      </c>
      <c r="BT163" s="3">
        <f>SUM($C158:BT158)</f>
        <v/>
      </c>
      <c r="BU163" s="3">
        <f>SUM($C158:BU158)</f>
        <v/>
      </c>
      <c r="BV163" s="3">
        <f>SUM($C158:BV158)</f>
        <v/>
      </c>
    </row>
    <row r="164">
      <c r="A164" t="inlineStr">
        <is>
          <t>cum trials ending</t>
        </is>
      </c>
      <c r="B164" t="inlineStr">
        <is>
          <t>APAC|BASIC_M</t>
        </is>
      </c>
      <c r="C164" s="3">
        <f>SUM($C160:C160)</f>
        <v/>
      </c>
      <c r="D164" s="3">
        <f>SUM($C160:D160)</f>
        <v/>
      </c>
      <c r="E164" s="3">
        <f>SUM($C160:E160)</f>
        <v/>
      </c>
      <c r="F164" s="3">
        <f>SUM($C160:F160)</f>
        <v/>
      </c>
      <c r="G164" s="3">
        <f>SUM($C160:G160)</f>
        <v/>
      </c>
      <c r="H164" s="3">
        <f>SUM($C160:H160)</f>
        <v/>
      </c>
      <c r="I164" s="3">
        <f>SUM($C160:I160)</f>
        <v/>
      </c>
      <c r="J164" s="3">
        <f>SUM($C160:J160)</f>
        <v/>
      </c>
      <c r="K164" s="3">
        <f>SUM($C160:K160)</f>
        <v/>
      </c>
      <c r="L164" s="3">
        <f>SUM($C160:L160)</f>
        <v/>
      </c>
      <c r="M164" s="3">
        <f>SUM($C160:M160)</f>
        <v/>
      </c>
      <c r="N164" s="3">
        <f>SUM($C160:N160)</f>
        <v/>
      </c>
      <c r="O164" s="3">
        <f>SUM($C160:O160)</f>
        <v/>
      </c>
      <c r="P164" s="3">
        <f>SUM($C160:P160)</f>
        <v/>
      </c>
      <c r="Q164" s="3">
        <f>SUM($C160:Q160)</f>
        <v/>
      </c>
      <c r="R164" s="3">
        <f>SUM($C160:R160)</f>
        <v/>
      </c>
      <c r="S164" s="3">
        <f>SUM($C160:S160)</f>
        <v/>
      </c>
      <c r="T164" s="3">
        <f>SUM($C160:T160)</f>
        <v/>
      </c>
      <c r="U164" s="3">
        <f>SUM($C160:U160)</f>
        <v/>
      </c>
      <c r="V164" s="3">
        <f>SUM($C160:V160)</f>
        <v/>
      </c>
      <c r="W164" s="3">
        <f>SUM($C160:W160)</f>
        <v/>
      </c>
      <c r="X164" s="3">
        <f>SUM($C160:X160)</f>
        <v/>
      </c>
      <c r="Y164" s="3">
        <f>SUM($C160:Y160)</f>
        <v/>
      </c>
      <c r="Z164" s="3">
        <f>SUM($C160:Z160)</f>
        <v/>
      </c>
      <c r="AA164" s="3">
        <f>SUM($C160:AA160)</f>
        <v/>
      </c>
      <c r="AB164" s="3">
        <f>SUM($C160:AB160)</f>
        <v/>
      </c>
      <c r="AC164" s="3">
        <f>SUM($C160:AC160)</f>
        <v/>
      </c>
      <c r="AD164" s="3">
        <f>SUM($C160:AD160)</f>
        <v/>
      </c>
      <c r="AE164" s="3">
        <f>SUM($C160:AE160)</f>
        <v/>
      </c>
      <c r="AF164" s="3">
        <f>SUM($C160:AF160)</f>
        <v/>
      </c>
      <c r="AG164" s="3">
        <f>SUM($C160:AG160)</f>
        <v/>
      </c>
      <c r="AH164" s="3">
        <f>SUM($C160:AH160)</f>
        <v/>
      </c>
      <c r="AI164" s="3">
        <f>SUM($C160:AI160)</f>
        <v/>
      </c>
      <c r="AJ164" s="3">
        <f>SUM($C160:AJ160)</f>
        <v/>
      </c>
      <c r="AK164" s="3">
        <f>SUM($C160:AK160)</f>
        <v/>
      </c>
      <c r="AL164" s="3">
        <f>SUM($C160:AL160)</f>
        <v/>
      </c>
      <c r="AM164" s="3">
        <f>SUM($C160:AM160)</f>
        <v/>
      </c>
      <c r="AN164" s="3">
        <f>SUM($C160:AN160)</f>
        <v/>
      </c>
      <c r="AO164" s="3">
        <f>SUM($C160:AO160)</f>
        <v/>
      </c>
      <c r="AP164" s="3">
        <f>SUM($C160:AP160)</f>
        <v/>
      </c>
      <c r="AQ164" s="3">
        <f>SUM($C160:AQ160)</f>
        <v/>
      </c>
      <c r="AR164" s="3">
        <f>SUM($C160:AR160)</f>
        <v/>
      </c>
      <c r="AS164" s="3">
        <f>SUM($C160:AS160)</f>
        <v/>
      </c>
      <c r="AT164" s="3">
        <f>SUM($C160:AT160)</f>
        <v/>
      </c>
      <c r="AU164" s="3">
        <f>SUM($C160:AU160)</f>
        <v/>
      </c>
      <c r="AV164" s="3">
        <f>SUM($C160:AV160)</f>
        <v/>
      </c>
      <c r="AW164" s="3">
        <f>SUM($C160:AW160)</f>
        <v/>
      </c>
      <c r="AX164" s="3">
        <f>SUM($C160:AX160)</f>
        <v/>
      </c>
      <c r="AY164" s="3">
        <f>SUM($C160:AY160)</f>
        <v/>
      </c>
      <c r="AZ164" s="3">
        <f>SUM($C160:AZ160)</f>
        <v/>
      </c>
      <c r="BA164" s="3">
        <f>SUM($C160:BA160)</f>
        <v/>
      </c>
      <c r="BB164" s="3">
        <f>SUM($C160:BB160)</f>
        <v/>
      </c>
      <c r="BC164" s="3">
        <f>SUM($C160:BC160)</f>
        <v/>
      </c>
      <c r="BD164" s="3">
        <f>SUM($C160:BD160)</f>
        <v/>
      </c>
      <c r="BE164" s="3">
        <f>SUM($C160:BE160)</f>
        <v/>
      </c>
      <c r="BF164" s="3">
        <f>SUM($C160:BF160)</f>
        <v/>
      </c>
      <c r="BG164" s="3">
        <f>SUM($C160:BG160)</f>
        <v/>
      </c>
      <c r="BH164" s="3">
        <f>SUM($C160:BH160)</f>
        <v/>
      </c>
      <c r="BI164" s="3">
        <f>SUM($C160:BI160)</f>
        <v/>
      </c>
      <c r="BJ164" s="3">
        <f>SUM($C160:BJ160)</f>
        <v/>
      </c>
      <c r="BK164" s="3">
        <f>SUM($C160:BK160)</f>
        <v/>
      </c>
      <c r="BL164" s="3">
        <f>SUM($C160:BL160)</f>
        <v/>
      </c>
      <c r="BM164" s="3">
        <f>SUM($C160:BM160)</f>
        <v/>
      </c>
      <c r="BN164" s="3">
        <f>SUM($C160:BN160)</f>
        <v/>
      </c>
      <c r="BO164" s="3">
        <f>SUM($C160:BO160)</f>
        <v/>
      </c>
      <c r="BP164" s="3">
        <f>SUM($C160:BP160)</f>
        <v/>
      </c>
      <c r="BQ164" s="3">
        <f>SUM($C160:BQ160)</f>
        <v/>
      </c>
      <c r="BR164" s="3">
        <f>SUM($C160:BR160)</f>
        <v/>
      </c>
      <c r="BS164" s="3">
        <f>SUM($C160:BS160)</f>
        <v/>
      </c>
      <c r="BT164" s="3">
        <f>SUM($C160:BT160)</f>
        <v/>
      </c>
      <c r="BU164" s="3">
        <f>SUM($C160:BU160)</f>
        <v/>
      </c>
      <c r="BV164" s="3">
        <f>SUM($C160:BV160)</f>
        <v/>
      </c>
    </row>
    <row r="165">
      <c r="A165" t="inlineStr">
        <is>
          <t>trials active</t>
        </is>
      </c>
      <c r="B165" t="inlineStr">
        <is>
          <t>APAC|BASIC_M</t>
        </is>
      </c>
      <c r="C165" s="3">
        <f>C163-C164</f>
        <v/>
      </c>
      <c r="D165" s="3">
        <f>D163-D164</f>
        <v/>
      </c>
      <c r="E165" s="3">
        <f>E163-E164</f>
        <v/>
      </c>
      <c r="F165" s="3">
        <f>F163-F164</f>
        <v/>
      </c>
      <c r="G165" s="3">
        <f>G163-G164</f>
        <v/>
      </c>
      <c r="H165" s="3">
        <f>H163-H164</f>
        <v/>
      </c>
      <c r="I165" s="3">
        <f>I163-I164</f>
        <v/>
      </c>
      <c r="J165" s="3">
        <f>J163-J164</f>
        <v/>
      </c>
      <c r="K165" s="3">
        <f>K163-K164</f>
        <v/>
      </c>
      <c r="L165" s="3">
        <f>L163-L164</f>
        <v/>
      </c>
      <c r="M165" s="3">
        <f>M163-M164</f>
        <v/>
      </c>
      <c r="N165" s="3">
        <f>N163-N164</f>
        <v/>
      </c>
      <c r="O165" s="3">
        <f>O163-O164</f>
        <v/>
      </c>
      <c r="P165" s="3">
        <f>P163-P164</f>
        <v/>
      </c>
      <c r="Q165" s="3">
        <f>Q163-Q164</f>
        <v/>
      </c>
      <c r="R165" s="3">
        <f>R163-R164</f>
        <v/>
      </c>
      <c r="S165" s="3">
        <f>S163-S164</f>
        <v/>
      </c>
      <c r="T165" s="3">
        <f>T163-T164</f>
        <v/>
      </c>
      <c r="U165" s="3">
        <f>U163-U164</f>
        <v/>
      </c>
      <c r="V165" s="3">
        <f>V163-V164</f>
        <v/>
      </c>
      <c r="W165" s="3">
        <f>W163-W164</f>
        <v/>
      </c>
      <c r="X165" s="3">
        <f>X163-X164</f>
        <v/>
      </c>
      <c r="Y165" s="3">
        <f>Y163-Y164</f>
        <v/>
      </c>
      <c r="Z165" s="3">
        <f>Z163-Z164</f>
        <v/>
      </c>
      <c r="AA165" s="3">
        <f>AA163-AA164</f>
        <v/>
      </c>
      <c r="AB165" s="3">
        <f>AB163-AB164</f>
        <v/>
      </c>
      <c r="AC165" s="3">
        <f>AC163-AC164</f>
        <v/>
      </c>
      <c r="AD165" s="3">
        <f>AD163-AD164</f>
        <v/>
      </c>
      <c r="AE165" s="3">
        <f>AE163-AE164</f>
        <v/>
      </c>
      <c r="AF165" s="3">
        <f>AF163-AF164</f>
        <v/>
      </c>
      <c r="AG165" s="3">
        <f>AG163-AG164</f>
        <v/>
      </c>
      <c r="AH165" s="3">
        <f>AH163-AH164</f>
        <v/>
      </c>
      <c r="AI165" s="3">
        <f>AI163-AI164</f>
        <v/>
      </c>
      <c r="AJ165" s="3">
        <f>AJ163-AJ164</f>
        <v/>
      </c>
      <c r="AK165" s="3">
        <f>AK163-AK164</f>
        <v/>
      </c>
      <c r="AL165" s="3">
        <f>AL163-AL164</f>
        <v/>
      </c>
      <c r="AM165" s="3">
        <f>AM163-AM164</f>
        <v/>
      </c>
      <c r="AN165" s="3">
        <f>AN163-AN164</f>
        <v/>
      </c>
      <c r="AO165" s="3">
        <f>AO163-AO164</f>
        <v/>
      </c>
      <c r="AP165" s="3">
        <f>AP163-AP164</f>
        <v/>
      </c>
      <c r="AQ165" s="3">
        <f>AQ163-AQ164</f>
        <v/>
      </c>
      <c r="AR165" s="3">
        <f>AR163-AR164</f>
        <v/>
      </c>
      <c r="AS165" s="3">
        <f>AS163-AS164</f>
        <v/>
      </c>
      <c r="AT165" s="3">
        <f>AT163-AT164</f>
        <v/>
      </c>
      <c r="AU165" s="3">
        <f>AU163-AU164</f>
        <v/>
      </c>
      <c r="AV165" s="3">
        <f>AV163-AV164</f>
        <v/>
      </c>
      <c r="AW165" s="3">
        <f>AW163-AW164</f>
        <v/>
      </c>
      <c r="AX165" s="3">
        <f>AX163-AX164</f>
        <v/>
      </c>
      <c r="AY165" s="3">
        <f>AY163-AY164</f>
        <v/>
      </c>
      <c r="AZ165" s="3">
        <f>AZ163-AZ164</f>
        <v/>
      </c>
      <c r="BA165" s="3">
        <f>BA163-BA164</f>
        <v/>
      </c>
      <c r="BB165" s="3">
        <f>BB163-BB164</f>
        <v/>
      </c>
      <c r="BC165" s="3">
        <f>BC163-BC164</f>
        <v/>
      </c>
      <c r="BD165" s="3">
        <f>BD163-BD164</f>
        <v/>
      </c>
      <c r="BE165" s="3">
        <f>BE163-BE164</f>
        <v/>
      </c>
      <c r="BF165" s="3">
        <f>BF163-BF164</f>
        <v/>
      </c>
      <c r="BG165" s="3">
        <f>BG163-BG164</f>
        <v/>
      </c>
      <c r="BH165" s="3">
        <f>BH163-BH164</f>
        <v/>
      </c>
      <c r="BI165" s="3">
        <f>BI163-BI164</f>
        <v/>
      </c>
      <c r="BJ165" s="3">
        <f>BJ163-BJ164</f>
        <v/>
      </c>
      <c r="BK165" s="3">
        <f>BK163-BK164</f>
        <v/>
      </c>
      <c r="BL165" s="3">
        <f>BL163-BL164</f>
        <v/>
      </c>
      <c r="BM165" s="3">
        <f>BM163-BM164</f>
        <v/>
      </c>
      <c r="BN165" s="3">
        <f>BN163-BN164</f>
        <v/>
      </c>
      <c r="BO165" s="3">
        <f>BO163-BO164</f>
        <v/>
      </c>
      <c r="BP165" s="3">
        <f>BP163-BP164</f>
        <v/>
      </c>
      <c r="BQ165" s="3">
        <f>BQ163-BQ164</f>
        <v/>
      </c>
      <c r="BR165" s="3">
        <f>BR163-BR164</f>
        <v/>
      </c>
      <c r="BS165" s="3">
        <f>BS163-BS164</f>
        <v/>
      </c>
      <c r="BT165" s="3">
        <f>BT163-BT164</f>
        <v/>
      </c>
      <c r="BU165" s="3">
        <f>BU163-BU164</f>
        <v/>
      </c>
      <c r="BV165" s="3">
        <f>BV163-BV164</f>
        <v/>
      </c>
    </row>
    <row r="166">
      <c r="A166" t="inlineStr">
        <is>
          <t>paid starts</t>
        </is>
      </c>
      <c r="B166" t="inlineStr">
        <is>
          <t>APAC|BASIC_M</t>
        </is>
      </c>
      <c r="C166" s="3">
        <f>C159+C161</f>
        <v/>
      </c>
      <c r="D166" s="3">
        <f>D159+D161</f>
        <v/>
      </c>
      <c r="E166" s="3">
        <f>E159+E161</f>
        <v/>
      </c>
      <c r="F166" s="3">
        <f>F159+F161</f>
        <v/>
      </c>
      <c r="G166" s="3">
        <f>G159+G161</f>
        <v/>
      </c>
      <c r="H166" s="3">
        <f>H159+H161</f>
        <v/>
      </c>
      <c r="I166" s="3">
        <f>I159+I161</f>
        <v/>
      </c>
      <c r="J166" s="3">
        <f>J159+J161</f>
        <v/>
      </c>
      <c r="K166" s="3">
        <f>K159+K161</f>
        <v/>
      </c>
      <c r="L166" s="3">
        <f>L159+L161</f>
        <v/>
      </c>
      <c r="M166" s="3">
        <f>M159+M161</f>
        <v/>
      </c>
      <c r="N166" s="3">
        <f>N159+N161</f>
        <v/>
      </c>
      <c r="O166" s="3">
        <f>O159+O161</f>
        <v/>
      </c>
      <c r="P166" s="3">
        <f>P159+P161</f>
        <v/>
      </c>
      <c r="Q166" s="3">
        <f>Q159+Q161</f>
        <v/>
      </c>
      <c r="R166" s="3">
        <f>R159+R161</f>
        <v/>
      </c>
      <c r="S166" s="3">
        <f>S159+S161</f>
        <v/>
      </c>
      <c r="T166" s="3">
        <f>T159+T161</f>
        <v/>
      </c>
      <c r="U166" s="3">
        <f>U159+U161</f>
        <v/>
      </c>
      <c r="V166" s="3">
        <f>V159+V161</f>
        <v/>
      </c>
      <c r="W166" s="3">
        <f>W159+W161</f>
        <v/>
      </c>
      <c r="X166" s="3">
        <f>X159+X161</f>
        <v/>
      </c>
      <c r="Y166" s="3">
        <f>Y159+Y161</f>
        <v/>
      </c>
      <c r="Z166" s="3">
        <f>Z159+Z161</f>
        <v/>
      </c>
      <c r="AA166" s="3">
        <f>AA159+AA161</f>
        <v/>
      </c>
      <c r="AB166" s="3">
        <f>AB159+AB161</f>
        <v/>
      </c>
      <c r="AC166" s="3">
        <f>AC159+AC161</f>
        <v/>
      </c>
      <c r="AD166" s="3">
        <f>AD159+AD161</f>
        <v/>
      </c>
      <c r="AE166" s="3">
        <f>AE159+AE161</f>
        <v/>
      </c>
      <c r="AF166" s="3">
        <f>AF159+AF161</f>
        <v/>
      </c>
      <c r="AG166" s="3">
        <f>AG159+AG161</f>
        <v/>
      </c>
      <c r="AH166" s="3">
        <f>AH159+AH161</f>
        <v/>
      </c>
      <c r="AI166" s="3">
        <f>AI159+AI161</f>
        <v/>
      </c>
      <c r="AJ166" s="3">
        <f>AJ159+AJ161</f>
        <v/>
      </c>
      <c r="AK166" s="3">
        <f>AK159+AK161</f>
        <v/>
      </c>
      <c r="AL166" s="3">
        <f>AL159+AL161</f>
        <v/>
      </c>
      <c r="AM166" s="3">
        <f>AM159+AM161</f>
        <v/>
      </c>
      <c r="AN166" s="3">
        <f>AN159+AN161</f>
        <v/>
      </c>
      <c r="AO166" s="3">
        <f>AO159+AO161</f>
        <v/>
      </c>
      <c r="AP166" s="3">
        <f>AP159+AP161</f>
        <v/>
      </c>
      <c r="AQ166" s="3">
        <f>AQ159+AQ161</f>
        <v/>
      </c>
      <c r="AR166" s="3">
        <f>AR159+AR161</f>
        <v/>
      </c>
      <c r="AS166" s="3">
        <f>AS159+AS161</f>
        <v/>
      </c>
      <c r="AT166" s="3">
        <f>AT159+AT161</f>
        <v/>
      </c>
      <c r="AU166" s="3">
        <f>AU159+AU161</f>
        <v/>
      </c>
      <c r="AV166" s="3">
        <f>AV159+AV161</f>
        <v/>
      </c>
      <c r="AW166" s="3">
        <f>AW159+AW161</f>
        <v/>
      </c>
      <c r="AX166" s="3">
        <f>AX159+AX161</f>
        <v/>
      </c>
      <c r="AY166" s="3">
        <f>AY159+AY161</f>
        <v/>
      </c>
      <c r="AZ166" s="3">
        <f>AZ159+AZ161</f>
        <v/>
      </c>
      <c r="BA166" s="3">
        <f>BA159+BA161</f>
        <v/>
      </c>
      <c r="BB166" s="3">
        <f>BB159+BB161</f>
        <v/>
      </c>
      <c r="BC166" s="3">
        <f>BC159+BC161</f>
        <v/>
      </c>
      <c r="BD166" s="3">
        <f>BD159+BD161</f>
        <v/>
      </c>
      <c r="BE166" s="3">
        <f>BE159+BE161</f>
        <v/>
      </c>
      <c r="BF166" s="3">
        <f>BF159+BF161</f>
        <v/>
      </c>
      <c r="BG166" s="3">
        <f>BG159+BG161</f>
        <v/>
      </c>
      <c r="BH166" s="3">
        <f>BH159+BH161</f>
        <v/>
      </c>
      <c r="BI166" s="3">
        <f>BI159+BI161</f>
        <v/>
      </c>
      <c r="BJ166" s="3">
        <f>BJ159+BJ161</f>
        <v/>
      </c>
      <c r="BK166" s="3">
        <f>BK159+BK161</f>
        <v/>
      </c>
      <c r="BL166" s="3">
        <f>BL159+BL161</f>
        <v/>
      </c>
      <c r="BM166" s="3">
        <f>BM159+BM161</f>
        <v/>
      </c>
      <c r="BN166" s="3">
        <f>BN159+BN161</f>
        <v/>
      </c>
      <c r="BO166" s="3">
        <f>BO159+BO161</f>
        <v/>
      </c>
      <c r="BP166" s="3">
        <f>BP159+BP161</f>
        <v/>
      </c>
      <c r="BQ166" s="3">
        <f>BQ159+BQ161</f>
        <v/>
      </c>
      <c r="BR166" s="3">
        <f>BR159+BR161</f>
        <v/>
      </c>
      <c r="BS166" s="3">
        <f>BS159+BS161</f>
        <v/>
      </c>
      <c r="BT166" s="3">
        <f>BT159+BT161</f>
        <v/>
      </c>
      <c r="BU166" s="3">
        <f>BU159+BU161</f>
        <v/>
      </c>
      <c r="BV166" s="3">
        <f>BV159+BV161</f>
        <v/>
      </c>
    </row>
    <row r="168">
      <c r="A168" t="inlineStr">
        <is>
          <t>gross adds</t>
        </is>
      </c>
      <c r="B168" t="inlineStr">
        <is>
          <t>APAC|BASIC_A</t>
        </is>
      </c>
      <c r="C168" s="3">
        <f>MAU!C7*Params!$B$39*Params!$B$5*Params!$B$87*Params!$B$74</f>
        <v/>
      </c>
      <c r="D168" s="3">
        <f>MAU!D7*Params!$B$39*Params!$B$5*Params!$B$87*Params!$B$74</f>
        <v/>
      </c>
      <c r="E168" s="3">
        <f>MAU!E7*Params!$B$39*Params!$B$5*Params!$B$87*Params!$B$74</f>
        <v/>
      </c>
      <c r="F168" s="3">
        <f>MAU!F7*Params!$B$39*Params!$B$5*Params!$B$87*Params!$B$74</f>
        <v/>
      </c>
      <c r="G168" s="3">
        <f>MAU!G7*Params!$B$39*Params!$B$5*Params!$B$87*Params!$B$74</f>
        <v/>
      </c>
      <c r="H168" s="3">
        <f>MAU!H7*Params!$B$39*Params!$B$5*Params!$B$87*Params!$B$74</f>
        <v/>
      </c>
      <c r="I168" s="3">
        <f>MAU!I7*Params!$B$39*Params!$B$5*Params!$B$87*Params!$B$74</f>
        <v/>
      </c>
      <c r="J168" s="3">
        <f>MAU!J7*Params!$B$39*Params!$B$5*Params!$B$87*Params!$B$74</f>
        <v/>
      </c>
      <c r="K168" s="3">
        <f>MAU!K7*Params!$B$39*Params!$B$5*Params!$B$87*Params!$B$74</f>
        <v/>
      </c>
      <c r="L168" s="3">
        <f>MAU!L7*Params!$B$39*Params!$B$5*Params!$B$87*Params!$B$74</f>
        <v/>
      </c>
      <c r="M168" s="3">
        <f>MAU!M7*Params!$B$39*Params!$B$5*Params!$B$87*Params!$B$74</f>
        <v/>
      </c>
      <c r="N168" s="3">
        <f>MAU!N7*Params!$B$39*Params!$B$5*Params!$B$87*Params!$B$74</f>
        <v/>
      </c>
      <c r="O168" s="3">
        <f>MAU!O7*Params!$B$39*Params!$B$5*Params!$B$87*Params!$B$74</f>
        <v/>
      </c>
      <c r="P168" s="3">
        <f>MAU!P7*Params!$B$39*Params!$B$5*Params!$B$87*Params!$B$74</f>
        <v/>
      </c>
      <c r="Q168" s="3">
        <f>MAU!Q7*Params!$B$39*Params!$B$5*Params!$B$87*Params!$B$74</f>
        <v/>
      </c>
      <c r="R168" s="3">
        <f>MAU!R7*Params!$B$39*Params!$B$5*Params!$B$87*Params!$B$74</f>
        <v/>
      </c>
      <c r="S168" s="3">
        <f>MAU!S7*Params!$B$39*Params!$B$5*Params!$B$87*Params!$B$74</f>
        <v/>
      </c>
      <c r="T168" s="3">
        <f>MAU!T7*Params!$B$39*Params!$B$5*Params!$B$87*Params!$B$74</f>
        <v/>
      </c>
      <c r="U168" s="3">
        <f>MAU!U7*Params!$B$39*Params!$B$5*Params!$B$87*Params!$B$74</f>
        <v/>
      </c>
      <c r="V168" s="3">
        <f>MAU!V7*Params!$B$39*Params!$B$5*Params!$B$87*Params!$B$74</f>
        <v/>
      </c>
      <c r="W168" s="3">
        <f>MAU!W7*Params!$B$39*Params!$B$5*Params!$B$87*Params!$B$74</f>
        <v/>
      </c>
      <c r="X168" s="3">
        <f>MAU!X7*Params!$B$39*Params!$B$5*Params!$B$87*Params!$B$74</f>
        <v/>
      </c>
      <c r="Y168" s="3">
        <f>MAU!Y7*Params!$B$39*Params!$B$5*Params!$B$87*Params!$B$74</f>
        <v/>
      </c>
      <c r="Z168" s="3">
        <f>MAU!Z7*Params!$B$39*Params!$B$5*Params!$B$87*Params!$B$74</f>
        <v/>
      </c>
      <c r="AA168" s="3">
        <f>MAU!AA7*Params!$B$39*Params!$B$5*Params!$B$87*Params!$B$74</f>
        <v/>
      </c>
      <c r="AB168" s="3">
        <f>MAU!AB7*Params!$B$39*Params!$B$5*Params!$B$87*Params!$B$74</f>
        <v/>
      </c>
      <c r="AC168" s="3">
        <f>MAU!AC7*Params!$B$39*Params!$B$5*Params!$B$87*Params!$B$74</f>
        <v/>
      </c>
      <c r="AD168" s="3">
        <f>MAU!AD7*Params!$B$39*Params!$B$5*Params!$B$87*Params!$B$74</f>
        <v/>
      </c>
      <c r="AE168" s="3">
        <f>MAU!AE7*Params!$B$39*Params!$B$5*Params!$B$87*Params!$B$74</f>
        <v/>
      </c>
      <c r="AF168" s="3">
        <f>MAU!AF7*Params!$B$39*Params!$B$5*Params!$B$87*Params!$B$74</f>
        <v/>
      </c>
      <c r="AG168" s="3">
        <f>MAU!AG7*Params!$B$39*Params!$B$5*Params!$B$87*Params!$B$74</f>
        <v/>
      </c>
      <c r="AH168" s="3">
        <f>MAU!AH7*Params!$B$39*Params!$B$5*Params!$B$87*Params!$B$74</f>
        <v/>
      </c>
      <c r="AI168" s="3">
        <f>MAU!AI7*Params!$B$39*Params!$B$5*Params!$B$87*Params!$B$74</f>
        <v/>
      </c>
      <c r="AJ168" s="3">
        <f>MAU!AJ7*Params!$B$39*Params!$B$5*Params!$B$87*Params!$B$74</f>
        <v/>
      </c>
      <c r="AK168" s="3">
        <f>MAU!AK7*Params!$B$39*Params!$B$5*Params!$B$87*Params!$B$74</f>
        <v/>
      </c>
      <c r="AL168" s="3">
        <f>MAU!AL7*Params!$B$39*Params!$B$5*Params!$B$87*Params!$B$74</f>
        <v/>
      </c>
      <c r="AM168" s="3">
        <f>MAU!AM7*Params!$B$39*Params!$B$5*Params!$B$87*Params!$B$74</f>
        <v/>
      </c>
      <c r="AN168" s="3">
        <f>MAU!AN7*Params!$B$39*Params!$B$5*Params!$B$87*Params!$B$74</f>
        <v/>
      </c>
      <c r="AO168" s="3">
        <f>MAU!AO7*Params!$B$39*Params!$B$5*Params!$B$87*Params!$B$74</f>
        <v/>
      </c>
      <c r="AP168" s="3">
        <f>MAU!AP7*Params!$B$39*Params!$B$5*Params!$B$87*Params!$B$74</f>
        <v/>
      </c>
      <c r="AQ168" s="3">
        <f>MAU!AQ7*Params!$B$39*Params!$B$5*Params!$B$87*Params!$B$74</f>
        <v/>
      </c>
      <c r="AR168" s="3">
        <f>MAU!AR7*Params!$B$39*Params!$B$5*Params!$B$87*Params!$B$74</f>
        <v/>
      </c>
      <c r="AS168" s="3">
        <f>MAU!AS7*Params!$B$39*Params!$B$5*Params!$B$87*Params!$B$74</f>
        <v/>
      </c>
      <c r="AT168" s="3">
        <f>MAU!AT7*Params!$B$39*Params!$B$5*Params!$B$87*Params!$B$74</f>
        <v/>
      </c>
      <c r="AU168" s="3">
        <f>MAU!AU7*Params!$B$39*Params!$B$5*Params!$B$87*Params!$B$74</f>
        <v/>
      </c>
      <c r="AV168" s="3">
        <f>MAU!AV7*Params!$B$39*Params!$B$5*Params!$B$87*Params!$B$74</f>
        <v/>
      </c>
      <c r="AW168" s="3">
        <f>MAU!AW7*Params!$B$39*Params!$B$5*Params!$B$87*Params!$B$74</f>
        <v/>
      </c>
      <c r="AX168" s="3">
        <f>MAU!AX7*Params!$B$39*Params!$B$5*Params!$B$87*Params!$B$74</f>
        <v/>
      </c>
      <c r="AY168" s="3">
        <f>MAU!AY7*Params!$B$39*Params!$B$5*Params!$B$87*Params!$B$74</f>
        <v/>
      </c>
      <c r="AZ168" s="3">
        <f>MAU!AZ7*Params!$B$39*Params!$B$5*Params!$B$87*Params!$B$74</f>
        <v/>
      </c>
      <c r="BA168" s="3">
        <f>MAU!BA7*Params!$B$39*Params!$B$5*Params!$B$87*Params!$B$74</f>
        <v/>
      </c>
      <c r="BB168" s="3">
        <f>MAU!BB7*Params!$B$39*Params!$B$5*Params!$B$87*Params!$B$74</f>
        <v/>
      </c>
      <c r="BC168" s="3">
        <f>MAU!BC7*Params!$B$39*Params!$B$5*Params!$B$87*Params!$B$74</f>
        <v/>
      </c>
      <c r="BD168" s="3">
        <f>MAU!BD7*Params!$B$39*Params!$B$5*Params!$B$87*Params!$B$74</f>
        <v/>
      </c>
      <c r="BE168" s="3">
        <f>MAU!BE7*Params!$B$39*Params!$B$5*Params!$B$87*Params!$B$74</f>
        <v/>
      </c>
      <c r="BF168" s="3">
        <f>MAU!BF7*Params!$B$39*Params!$B$5*Params!$B$87*Params!$B$74</f>
        <v/>
      </c>
      <c r="BG168" s="3">
        <f>MAU!BG7*Params!$B$39*Params!$B$5*Params!$B$87*Params!$B$74</f>
        <v/>
      </c>
      <c r="BH168" s="3">
        <f>MAU!BH7*Params!$B$39*Params!$B$5*Params!$B$87*Params!$B$74</f>
        <v/>
      </c>
      <c r="BI168" s="3">
        <f>MAU!BI7*Params!$B$39*Params!$B$5*Params!$B$87*Params!$B$74</f>
        <v/>
      </c>
      <c r="BJ168" s="3">
        <f>MAU!BJ7*Params!$B$39*Params!$B$5*Params!$B$87*Params!$B$74</f>
        <v/>
      </c>
      <c r="BK168" s="3">
        <f>MAU!BK7*Params!$B$39*Params!$B$5*Params!$B$87*Params!$B$74</f>
        <v/>
      </c>
      <c r="BL168" s="3">
        <f>MAU!BL7*Params!$B$39*Params!$B$5*Params!$B$87*Params!$B$74</f>
        <v/>
      </c>
      <c r="BM168" s="3">
        <f>MAU!BM7*Params!$B$39*Params!$B$5*Params!$B$87*Params!$B$74</f>
        <v/>
      </c>
      <c r="BN168" s="3">
        <f>MAU!BN7*Params!$B$39*Params!$B$5*Params!$B$87*Params!$B$74</f>
        <v/>
      </c>
      <c r="BO168" s="3">
        <f>MAU!BO7*Params!$B$39*Params!$B$5*Params!$B$87*Params!$B$74</f>
        <v/>
      </c>
      <c r="BP168" s="3">
        <f>MAU!BP7*Params!$B$39*Params!$B$5*Params!$B$87*Params!$B$74</f>
        <v/>
      </c>
      <c r="BQ168" s="3">
        <f>MAU!BQ7*Params!$B$39*Params!$B$5*Params!$B$87*Params!$B$74</f>
        <v/>
      </c>
      <c r="BR168" s="3">
        <f>MAU!BR7*Params!$B$39*Params!$B$5*Params!$B$87*Params!$B$74</f>
        <v/>
      </c>
      <c r="BS168" s="3">
        <f>MAU!BS7*Params!$B$39*Params!$B$5*Params!$B$87*Params!$B$74</f>
        <v/>
      </c>
      <c r="BT168" s="3">
        <f>MAU!BT7*Params!$B$39*Params!$B$5*Params!$B$87*Params!$B$74</f>
        <v/>
      </c>
      <c r="BU168" s="3">
        <f>MAU!BU7*Params!$B$39*Params!$B$5*Params!$B$87*Params!$B$74</f>
        <v/>
      </c>
      <c r="BV168" s="3">
        <f>MAU!BV7*Params!$B$39*Params!$B$5*Params!$B$87*Params!$B$74</f>
        <v/>
      </c>
    </row>
    <row r="169">
      <c r="A169" t="inlineStr">
        <is>
          <t>trial starts</t>
        </is>
      </c>
      <c r="B169" t="inlineStr">
        <is>
          <t>APAC|BASIC_A</t>
        </is>
      </c>
      <c r="C169" s="3">
        <f>C168*Params!$B$6</f>
        <v/>
      </c>
      <c r="D169" s="3">
        <f>D168*Params!$B$6</f>
        <v/>
      </c>
      <c r="E169" s="3">
        <f>E168*Params!$B$6</f>
        <v/>
      </c>
      <c r="F169" s="3">
        <f>F168*Params!$B$6</f>
        <v/>
      </c>
      <c r="G169" s="3">
        <f>G168*Params!$B$6</f>
        <v/>
      </c>
      <c r="H169" s="3">
        <f>H168*Params!$B$6</f>
        <v/>
      </c>
      <c r="I169" s="3">
        <f>I168*Params!$B$6</f>
        <v/>
      </c>
      <c r="J169" s="3">
        <f>J168*Params!$B$6</f>
        <v/>
      </c>
      <c r="K169" s="3">
        <f>K168*Params!$B$6</f>
        <v/>
      </c>
      <c r="L169" s="3">
        <f>L168*Params!$B$6</f>
        <v/>
      </c>
      <c r="M169" s="3">
        <f>M168*Params!$B$6</f>
        <v/>
      </c>
      <c r="N169" s="3">
        <f>N168*Params!$B$6</f>
        <v/>
      </c>
      <c r="O169" s="3">
        <f>O168*Params!$B$6</f>
        <v/>
      </c>
      <c r="P169" s="3">
        <f>P168*Params!$B$6</f>
        <v/>
      </c>
      <c r="Q169" s="3">
        <f>Q168*Params!$B$6</f>
        <v/>
      </c>
      <c r="R169" s="3">
        <f>R168*Params!$B$6</f>
        <v/>
      </c>
      <c r="S169" s="3">
        <f>S168*Params!$B$6</f>
        <v/>
      </c>
      <c r="T169" s="3">
        <f>T168*Params!$B$6</f>
        <v/>
      </c>
      <c r="U169" s="3">
        <f>U168*Params!$B$6</f>
        <v/>
      </c>
      <c r="V169" s="3">
        <f>V168*Params!$B$6</f>
        <v/>
      </c>
      <c r="W169" s="3">
        <f>W168*Params!$B$6</f>
        <v/>
      </c>
      <c r="X169" s="3">
        <f>X168*Params!$B$6</f>
        <v/>
      </c>
      <c r="Y169" s="3">
        <f>Y168*Params!$B$6</f>
        <v/>
      </c>
      <c r="Z169" s="3">
        <f>Z168*Params!$B$6</f>
        <v/>
      </c>
      <c r="AA169" s="3">
        <f>AA168*Params!$B$6</f>
        <v/>
      </c>
      <c r="AB169" s="3">
        <f>AB168*Params!$B$6</f>
        <v/>
      </c>
      <c r="AC169" s="3">
        <f>AC168*Params!$B$6</f>
        <v/>
      </c>
      <c r="AD169" s="3">
        <f>AD168*Params!$B$6</f>
        <v/>
      </c>
      <c r="AE169" s="3">
        <f>AE168*Params!$B$6</f>
        <v/>
      </c>
      <c r="AF169" s="3">
        <f>AF168*Params!$B$6</f>
        <v/>
      </c>
      <c r="AG169" s="3">
        <f>AG168*Params!$B$6</f>
        <v/>
      </c>
      <c r="AH169" s="3">
        <f>AH168*Params!$B$6</f>
        <v/>
      </c>
      <c r="AI169" s="3">
        <f>AI168*Params!$B$6</f>
        <v/>
      </c>
      <c r="AJ169" s="3">
        <f>AJ168*Params!$B$6</f>
        <v/>
      </c>
      <c r="AK169" s="3">
        <f>AK168*Params!$B$6</f>
        <v/>
      </c>
      <c r="AL169" s="3">
        <f>AL168*Params!$B$6</f>
        <v/>
      </c>
      <c r="AM169" s="3">
        <f>AM168*Params!$B$6</f>
        <v/>
      </c>
      <c r="AN169" s="3">
        <f>AN168*Params!$B$6</f>
        <v/>
      </c>
      <c r="AO169" s="3">
        <f>AO168*Params!$B$6</f>
        <v/>
      </c>
      <c r="AP169" s="3">
        <f>AP168*Params!$B$6</f>
        <v/>
      </c>
      <c r="AQ169" s="3">
        <f>AQ168*Params!$B$6</f>
        <v/>
      </c>
      <c r="AR169" s="3">
        <f>AR168*Params!$B$6</f>
        <v/>
      </c>
      <c r="AS169" s="3">
        <f>AS168*Params!$B$6</f>
        <v/>
      </c>
      <c r="AT169" s="3">
        <f>AT168*Params!$B$6</f>
        <v/>
      </c>
      <c r="AU169" s="3">
        <f>AU168*Params!$B$6</f>
        <v/>
      </c>
      <c r="AV169" s="3">
        <f>AV168*Params!$B$6</f>
        <v/>
      </c>
      <c r="AW169" s="3">
        <f>AW168*Params!$B$6</f>
        <v/>
      </c>
      <c r="AX169" s="3">
        <f>AX168*Params!$B$6</f>
        <v/>
      </c>
      <c r="AY169" s="3">
        <f>AY168*Params!$B$6</f>
        <v/>
      </c>
      <c r="AZ169" s="3">
        <f>AZ168*Params!$B$6</f>
        <v/>
      </c>
      <c r="BA169" s="3">
        <f>BA168*Params!$B$6</f>
        <v/>
      </c>
      <c r="BB169" s="3">
        <f>BB168*Params!$B$6</f>
        <v/>
      </c>
      <c r="BC169" s="3">
        <f>BC168*Params!$B$6</f>
        <v/>
      </c>
      <c r="BD169" s="3">
        <f>BD168*Params!$B$6</f>
        <v/>
      </c>
      <c r="BE169" s="3">
        <f>BE168*Params!$B$6</f>
        <v/>
      </c>
      <c r="BF169" s="3">
        <f>BF168*Params!$B$6</f>
        <v/>
      </c>
      <c r="BG169" s="3">
        <f>BG168*Params!$B$6</f>
        <v/>
      </c>
      <c r="BH169" s="3">
        <f>BH168*Params!$B$6</f>
        <v/>
      </c>
      <c r="BI169" s="3">
        <f>BI168*Params!$B$6</f>
        <v/>
      </c>
      <c r="BJ169" s="3">
        <f>BJ168*Params!$B$6</f>
        <v/>
      </c>
      <c r="BK169" s="3">
        <f>BK168*Params!$B$6</f>
        <v/>
      </c>
      <c r="BL169" s="3">
        <f>BL168*Params!$B$6</f>
        <v/>
      </c>
      <c r="BM169" s="3">
        <f>BM168*Params!$B$6</f>
        <v/>
      </c>
      <c r="BN169" s="3">
        <f>BN168*Params!$B$6</f>
        <v/>
      </c>
      <c r="BO169" s="3">
        <f>BO168*Params!$B$6</f>
        <v/>
      </c>
      <c r="BP169" s="3">
        <f>BP168*Params!$B$6</f>
        <v/>
      </c>
      <c r="BQ169" s="3">
        <f>BQ168*Params!$B$6</f>
        <v/>
      </c>
      <c r="BR169" s="3">
        <f>BR168*Params!$B$6</f>
        <v/>
      </c>
      <c r="BS169" s="3">
        <f>BS168*Params!$B$6</f>
        <v/>
      </c>
      <c r="BT169" s="3">
        <f>BT168*Params!$B$6</f>
        <v/>
      </c>
      <c r="BU169" s="3">
        <f>BU168*Params!$B$6</f>
        <v/>
      </c>
      <c r="BV169" s="3">
        <f>BV168*Params!$B$6</f>
        <v/>
      </c>
    </row>
    <row r="170">
      <c r="A170" t="inlineStr">
        <is>
          <t>direct paid starts</t>
        </is>
      </c>
      <c r="B170" t="inlineStr">
        <is>
          <t>APAC|BASIC_A</t>
        </is>
      </c>
      <c r="C170" s="3">
        <f>C168-C169</f>
        <v/>
      </c>
      <c r="D170" s="3">
        <f>D168-D169</f>
        <v/>
      </c>
      <c r="E170" s="3">
        <f>E168-E169</f>
        <v/>
      </c>
      <c r="F170" s="3">
        <f>F168-F169</f>
        <v/>
      </c>
      <c r="G170" s="3">
        <f>G168-G169</f>
        <v/>
      </c>
      <c r="H170" s="3">
        <f>H168-H169</f>
        <v/>
      </c>
      <c r="I170" s="3">
        <f>I168-I169</f>
        <v/>
      </c>
      <c r="J170" s="3">
        <f>J168-J169</f>
        <v/>
      </c>
      <c r="K170" s="3">
        <f>K168-K169</f>
        <v/>
      </c>
      <c r="L170" s="3">
        <f>L168-L169</f>
        <v/>
      </c>
      <c r="M170" s="3">
        <f>M168-M169</f>
        <v/>
      </c>
      <c r="N170" s="3">
        <f>N168-N169</f>
        <v/>
      </c>
      <c r="O170" s="3">
        <f>O168-O169</f>
        <v/>
      </c>
      <c r="P170" s="3">
        <f>P168-P169</f>
        <v/>
      </c>
      <c r="Q170" s="3">
        <f>Q168-Q169</f>
        <v/>
      </c>
      <c r="R170" s="3">
        <f>R168-R169</f>
        <v/>
      </c>
      <c r="S170" s="3">
        <f>S168-S169</f>
        <v/>
      </c>
      <c r="T170" s="3">
        <f>T168-T169</f>
        <v/>
      </c>
      <c r="U170" s="3">
        <f>U168-U169</f>
        <v/>
      </c>
      <c r="V170" s="3">
        <f>V168-V169</f>
        <v/>
      </c>
      <c r="W170" s="3">
        <f>W168-W169</f>
        <v/>
      </c>
      <c r="X170" s="3">
        <f>X168-X169</f>
        <v/>
      </c>
      <c r="Y170" s="3">
        <f>Y168-Y169</f>
        <v/>
      </c>
      <c r="Z170" s="3">
        <f>Z168-Z169</f>
        <v/>
      </c>
      <c r="AA170" s="3">
        <f>AA168-AA169</f>
        <v/>
      </c>
      <c r="AB170" s="3">
        <f>AB168-AB169</f>
        <v/>
      </c>
      <c r="AC170" s="3">
        <f>AC168-AC169</f>
        <v/>
      </c>
      <c r="AD170" s="3">
        <f>AD168-AD169</f>
        <v/>
      </c>
      <c r="AE170" s="3">
        <f>AE168-AE169</f>
        <v/>
      </c>
      <c r="AF170" s="3">
        <f>AF168-AF169</f>
        <v/>
      </c>
      <c r="AG170" s="3">
        <f>AG168-AG169</f>
        <v/>
      </c>
      <c r="AH170" s="3">
        <f>AH168-AH169</f>
        <v/>
      </c>
      <c r="AI170" s="3">
        <f>AI168-AI169</f>
        <v/>
      </c>
      <c r="AJ170" s="3">
        <f>AJ168-AJ169</f>
        <v/>
      </c>
      <c r="AK170" s="3">
        <f>AK168-AK169</f>
        <v/>
      </c>
      <c r="AL170" s="3">
        <f>AL168-AL169</f>
        <v/>
      </c>
      <c r="AM170" s="3">
        <f>AM168-AM169</f>
        <v/>
      </c>
      <c r="AN170" s="3">
        <f>AN168-AN169</f>
        <v/>
      </c>
      <c r="AO170" s="3">
        <f>AO168-AO169</f>
        <v/>
      </c>
      <c r="AP170" s="3">
        <f>AP168-AP169</f>
        <v/>
      </c>
      <c r="AQ170" s="3">
        <f>AQ168-AQ169</f>
        <v/>
      </c>
      <c r="AR170" s="3">
        <f>AR168-AR169</f>
        <v/>
      </c>
      <c r="AS170" s="3">
        <f>AS168-AS169</f>
        <v/>
      </c>
      <c r="AT170" s="3">
        <f>AT168-AT169</f>
        <v/>
      </c>
      <c r="AU170" s="3">
        <f>AU168-AU169</f>
        <v/>
      </c>
      <c r="AV170" s="3">
        <f>AV168-AV169</f>
        <v/>
      </c>
      <c r="AW170" s="3">
        <f>AW168-AW169</f>
        <v/>
      </c>
      <c r="AX170" s="3">
        <f>AX168-AX169</f>
        <v/>
      </c>
      <c r="AY170" s="3">
        <f>AY168-AY169</f>
        <v/>
      </c>
      <c r="AZ170" s="3">
        <f>AZ168-AZ169</f>
        <v/>
      </c>
      <c r="BA170" s="3">
        <f>BA168-BA169</f>
        <v/>
      </c>
      <c r="BB170" s="3">
        <f>BB168-BB169</f>
        <v/>
      </c>
      <c r="BC170" s="3">
        <f>BC168-BC169</f>
        <v/>
      </c>
      <c r="BD170" s="3">
        <f>BD168-BD169</f>
        <v/>
      </c>
      <c r="BE170" s="3">
        <f>BE168-BE169</f>
        <v/>
      </c>
      <c r="BF170" s="3">
        <f>BF168-BF169</f>
        <v/>
      </c>
      <c r="BG170" s="3">
        <f>BG168-BG169</f>
        <v/>
      </c>
      <c r="BH170" s="3">
        <f>BH168-BH169</f>
        <v/>
      </c>
      <c r="BI170" s="3">
        <f>BI168-BI169</f>
        <v/>
      </c>
      <c r="BJ170" s="3">
        <f>BJ168-BJ169</f>
        <v/>
      </c>
      <c r="BK170" s="3">
        <f>BK168-BK169</f>
        <v/>
      </c>
      <c r="BL170" s="3">
        <f>BL168-BL169</f>
        <v/>
      </c>
      <c r="BM170" s="3">
        <f>BM168-BM169</f>
        <v/>
      </c>
      <c r="BN170" s="3">
        <f>BN168-BN169</f>
        <v/>
      </c>
      <c r="BO170" s="3">
        <f>BO168-BO169</f>
        <v/>
      </c>
      <c r="BP170" s="3">
        <f>BP168-BP169</f>
        <v/>
      </c>
      <c r="BQ170" s="3">
        <f>BQ168-BQ169</f>
        <v/>
      </c>
      <c r="BR170" s="3">
        <f>BR168-BR169</f>
        <v/>
      </c>
      <c r="BS170" s="3">
        <f>BS168-BS169</f>
        <v/>
      </c>
      <c r="BT170" s="3">
        <f>BT168-BT169</f>
        <v/>
      </c>
      <c r="BU170" s="3">
        <f>BU168-BU169</f>
        <v/>
      </c>
      <c r="BV170" s="3">
        <f>BV168-BV169</f>
        <v/>
      </c>
    </row>
    <row r="171">
      <c r="A171" t="inlineStr">
        <is>
          <t>trials ending</t>
        </is>
      </c>
      <c r="B171" t="inlineStr">
        <is>
          <t>APAC|BASIC_A</t>
        </is>
      </c>
      <c r="C171" s="3">
        <f>IF(C$2&gt;=Params!$B$7,INDEX($C$169:$BV$169,C$2-Params!$B$7+1),0)</f>
        <v/>
      </c>
      <c r="D171" s="3">
        <f>IF(D$2&gt;=Params!$B$7,INDEX($C$169:$BV$169,D$2-Params!$B$7+1),0)</f>
        <v/>
      </c>
      <c r="E171" s="3">
        <f>IF(E$2&gt;=Params!$B$7,INDEX($C$169:$BV$169,E$2-Params!$B$7+1),0)</f>
        <v/>
      </c>
      <c r="F171" s="3">
        <f>IF(F$2&gt;=Params!$B$7,INDEX($C$169:$BV$169,F$2-Params!$B$7+1),0)</f>
        <v/>
      </c>
      <c r="G171" s="3">
        <f>IF(G$2&gt;=Params!$B$7,INDEX($C$169:$BV$169,G$2-Params!$B$7+1),0)</f>
        <v/>
      </c>
      <c r="H171" s="3">
        <f>IF(H$2&gt;=Params!$B$7,INDEX($C$169:$BV$169,H$2-Params!$B$7+1),0)</f>
        <v/>
      </c>
      <c r="I171" s="3">
        <f>IF(I$2&gt;=Params!$B$7,INDEX($C$169:$BV$169,I$2-Params!$B$7+1),0)</f>
        <v/>
      </c>
      <c r="J171" s="3">
        <f>IF(J$2&gt;=Params!$B$7,INDEX($C$169:$BV$169,J$2-Params!$B$7+1),0)</f>
        <v/>
      </c>
      <c r="K171" s="3">
        <f>IF(K$2&gt;=Params!$B$7,INDEX($C$169:$BV$169,K$2-Params!$B$7+1),0)</f>
        <v/>
      </c>
      <c r="L171" s="3">
        <f>IF(L$2&gt;=Params!$B$7,INDEX($C$169:$BV$169,L$2-Params!$B$7+1),0)</f>
        <v/>
      </c>
      <c r="M171" s="3">
        <f>IF(M$2&gt;=Params!$B$7,INDEX($C$169:$BV$169,M$2-Params!$B$7+1),0)</f>
        <v/>
      </c>
      <c r="N171" s="3">
        <f>IF(N$2&gt;=Params!$B$7,INDEX($C$169:$BV$169,N$2-Params!$B$7+1),0)</f>
        <v/>
      </c>
      <c r="O171" s="3">
        <f>IF(O$2&gt;=Params!$B$7,INDEX($C$169:$BV$169,O$2-Params!$B$7+1),0)</f>
        <v/>
      </c>
      <c r="P171" s="3">
        <f>IF(P$2&gt;=Params!$B$7,INDEX($C$169:$BV$169,P$2-Params!$B$7+1),0)</f>
        <v/>
      </c>
      <c r="Q171" s="3">
        <f>IF(Q$2&gt;=Params!$B$7,INDEX($C$169:$BV$169,Q$2-Params!$B$7+1),0)</f>
        <v/>
      </c>
      <c r="R171" s="3">
        <f>IF(R$2&gt;=Params!$B$7,INDEX($C$169:$BV$169,R$2-Params!$B$7+1),0)</f>
        <v/>
      </c>
      <c r="S171" s="3">
        <f>IF(S$2&gt;=Params!$B$7,INDEX($C$169:$BV$169,S$2-Params!$B$7+1),0)</f>
        <v/>
      </c>
      <c r="T171" s="3">
        <f>IF(T$2&gt;=Params!$B$7,INDEX($C$169:$BV$169,T$2-Params!$B$7+1),0)</f>
        <v/>
      </c>
      <c r="U171" s="3">
        <f>IF(U$2&gt;=Params!$B$7,INDEX($C$169:$BV$169,U$2-Params!$B$7+1),0)</f>
        <v/>
      </c>
      <c r="V171" s="3">
        <f>IF(V$2&gt;=Params!$B$7,INDEX($C$169:$BV$169,V$2-Params!$B$7+1),0)</f>
        <v/>
      </c>
      <c r="W171" s="3">
        <f>IF(W$2&gt;=Params!$B$7,INDEX($C$169:$BV$169,W$2-Params!$B$7+1),0)</f>
        <v/>
      </c>
      <c r="X171" s="3">
        <f>IF(X$2&gt;=Params!$B$7,INDEX($C$169:$BV$169,X$2-Params!$B$7+1),0)</f>
        <v/>
      </c>
      <c r="Y171" s="3">
        <f>IF(Y$2&gt;=Params!$B$7,INDEX($C$169:$BV$169,Y$2-Params!$B$7+1),0)</f>
        <v/>
      </c>
      <c r="Z171" s="3">
        <f>IF(Z$2&gt;=Params!$B$7,INDEX($C$169:$BV$169,Z$2-Params!$B$7+1),0)</f>
        <v/>
      </c>
      <c r="AA171" s="3">
        <f>IF(AA$2&gt;=Params!$B$7,INDEX($C$169:$BV$169,AA$2-Params!$B$7+1),0)</f>
        <v/>
      </c>
      <c r="AB171" s="3">
        <f>IF(AB$2&gt;=Params!$B$7,INDEX($C$169:$BV$169,AB$2-Params!$B$7+1),0)</f>
        <v/>
      </c>
      <c r="AC171" s="3">
        <f>IF(AC$2&gt;=Params!$B$7,INDEX($C$169:$BV$169,AC$2-Params!$B$7+1),0)</f>
        <v/>
      </c>
      <c r="AD171" s="3">
        <f>IF(AD$2&gt;=Params!$B$7,INDEX($C$169:$BV$169,AD$2-Params!$B$7+1),0)</f>
        <v/>
      </c>
      <c r="AE171" s="3">
        <f>IF(AE$2&gt;=Params!$B$7,INDEX($C$169:$BV$169,AE$2-Params!$B$7+1),0)</f>
        <v/>
      </c>
      <c r="AF171" s="3">
        <f>IF(AF$2&gt;=Params!$B$7,INDEX($C$169:$BV$169,AF$2-Params!$B$7+1),0)</f>
        <v/>
      </c>
      <c r="AG171" s="3">
        <f>IF(AG$2&gt;=Params!$B$7,INDEX($C$169:$BV$169,AG$2-Params!$B$7+1),0)</f>
        <v/>
      </c>
      <c r="AH171" s="3">
        <f>IF(AH$2&gt;=Params!$B$7,INDEX($C$169:$BV$169,AH$2-Params!$B$7+1),0)</f>
        <v/>
      </c>
      <c r="AI171" s="3">
        <f>IF(AI$2&gt;=Params!$B$7,INDEX($C$169:$BV$169,AI$2-Params!$B$7+1),0)</f>
        <v/>
      </c>
      <c r="AJ171" s="3">
        <f>IF(AJ$2&gt;=Params!$B$7,INDEX($C$169:$BV$169,AJ$2-Params!$B$7+1),0)</f>
        <v/>
      </c>
      <c r="AK171" s="3">
        <f>IF(AK$2&gt;=Params!$B$7,INDEX($C$169:$BV$169,AK$2-Params!$B$7+1),0)</f>
        <v/>
      </c>
      <c r="AL171" s="3">
        <f>IF(AL$2&gt;=Params!$B$7,INDEX($C$169:$BV$169,AL$2-Params!$B$7+1),0)</f>
        <v/>
      </c>
      <c r="AM171" s="3">
        <f>IF(AM$2&gt;=Params!$B$7,INDEX($C$169:$BV$169,AM$2-Params!$B$7+1),0)</f>
        <v/>
      </c>
      <c r="AN171" s="3">
        <f>IF(AN$2&gt;=Params!$B$7,INDEX($C$169:$BV$169,AN$2-Params!$B$7+1),0)</f>
        <v/>
      </c>
      <c r="AO171" s="3">
        <f>IF(AO$2&gt;=Params!$B$7,INDEX($C$169:$BV$169,AO$2-Params!$B$7+1),0)</f>
        <v/>
      </c>
      <c r="AP171" s="3">
        <f>IF(AP$2&gt;=Params!$B$7,INDEX($C$169:$BV$169,AP$2-Params!$B$7+1),0)</f>
        <v/>
      </c>
      <c r="AQ171" s="3">
        <f>IF(AQ$2&gt;=Params!$B$7,INDEX($C$169:$BV$169,AQ$2-Params!$B$7+1),0)</f>
        <v/>
      </c>
      <c r="AR171" s="3">
        <f>IF(AR$2&gt;=Params!$B$7,INDEX($C$169:$BV$169,AR$2-Params!$B$7+1),0)</f>
        <v/>
      </c>
      <c r="AS171" s="3">
        <f>IF(AS$2&gt;=Params!$B$7,INDEX($C$169:$BV$169,AS$2-Params!$B$7+1),0)</f>
        <v/>
      </c>
      <c r="AT171" s="3">
        <f>IF(AT$2&gt;=Params!$B$7,INDEX($C$169:$BV$169,AT$2-Params!$B$7+1),0)</f>
        <v/>
      </c>
      <c r="AU171" s="3">
        <f>IF(AU$2&gt;=Params!$B$7,INDEX($C$169:$BV$169,AU$2-Params!$B$7+1),0)</f>
        <v/>
      </c>
      <c r="AV171" s="3">
        <f>IF(AV$2&gt;=Params!$B$7,INDEX($C$169:$BV$169,AV$2-Params!$B$7+1),0)</f>
        <v/>
      </c>
      <c r="AW171" s="3">
        <f>IF(AW$2&gt;=Params!$B$7,INDEX($C$169:$BV$169,AW$2-Params!$B$7+1),0)</f>
        <v/>
      </c>
      <c r="AX171" s="3">
        <f>IF(AX$2&gt;=Params!$B$7,INDEX($C$169:$BV$169,AX$2-Params!$B$7+1),0)</f>
        <v/>
      </c>
      <c r="AY171" s="3">
        <f>IF(AY$2&gt;=Params!$B$7,INDEX($C$169:$BV$169,AY$2-Params!$B$7+1),0)</f>
        <v/>
      </c>
      <c r="AZ171" s="3">
        <f>IF(AZ$2&gt;=Params!$B$7,INDEX($C$169:$BV$169,AZ$2-Params!$B$7+1),0)</f>
        <v/>
      </c>
      <c r="BA171" s="3">
        <f>IF(BA$2&gt;=Params!$B$7,INDEX($C$169:$BV$169,BA$2-Params!$B$7+1),0)</f>
        <v/>
      </c>
      <c r="BB171" s="3">
        <f>IF(BB$2&gt;=Params!$B$7,INDEX($C$169:$BV$169,BB$2-Params!$B$7+1),0)</f>
        <v/>
      </c>
      <c r="BC171" s="3">
        <f>IF(BC$2&gt;=Params!$B$7,INDEX($C$169:$BV$169,BC$2-Params!$B$7+1),0)</f>
        <v/>
      </c>
      <c r="BD171" s="3">
        <f>IF(BD$2&gt;=Params!$B$7,INDEX($C$169:$BV$169,BD$2-Params!$B$7+1),0)</f>
        <v/>
      </c>
      <c r="BE171" s="3">
        <f>IF(BE$2&gt;=Params!$B$7,INDEX($C$169:$BV$169,BE$2-Params!$B$7+1),0)</f>
        <v/>
      </c>
      <c r="BF171" s="3">
        <f>IF(BF$2&gt;=Params!$B$7,INDEX($C$169:$BV$169,BF$2-Params!$B$7+1),0)</f>
        <v/>
      </c>
      <c r="BG171" s="3">
        <f>IF(BG$2&gt;=Params!$B$7,INDEX($C$169:$BV$169,BG$2-Params!$B$7+1),0)</f>
        <v/>
      </c>
      <c r="BH171" s="3">
        <f>IF(BH$2&gt;=Params!$B$7,INDEX($C$169:$BV$169,BH$2-Params!$B$7+1),0)</f>
        <v/>
      </c>
      <c r="BI171" s="3">
        <f>IF(BI$2&gt;=Params!$B$7,INDEX($C$169:$BV$169,BI$2-Params!$B$7+1),0)</f>
        <v/>
      </c>
      <c r="BJ171" s="3">
        <f>IF(BJ$2&gt;=Params!$B$7,INDEX($C$169:$BV$169,BJ$2-Params!$B$7+1),0)</f>
        <v/>
      </c>
      <c r="BK171" s="3">
        <f>IF(BK$2&gt;=Params!$B$7,INDEX($C$169:$BV$169,BK$2-Params!$B$7+1),0)</f>
        <v/>
      </c>
      <c r="BL171" s="3">
        <f>IF(BL$2&gt;=Params!$B$7,INDEX($C$169:$BV$169,BL$2-Params!$B$7+1),0)</f>
        <v/>
      </c>
      <c r="BM171" s="3">
        <f>IF(BM$2&gt;=Params!$B$7,INDEX($C$169:$BV$169,BM$2-Params!$B$7+1),0)</f>
        <v/>
      </c>
      <c r="BN171" s="3">
        <f>IF(BN$2&gt;=Params!$B$7,INDEX($C$169:$BV$169,BN$2-Params!$B$7+1),0)</f>
        <v/>
      </c>
      <c r="BO171" s="3">
        <f>IF(BO$2&gt;=Params!$B$7,INDEX($C$169:$BV$169,BO$2-Params!$B$7+1),0)</f>
        <v/>
      </c>
      <c r="BP171" s="3">
        <f>IF(BP$2&gt;=Params!$B$7,INDEX($C$169:$BV$169,BP$2-Params!$B$7+1),0)</f>
        <v/>
      </c>
      <c r="BQ171" s="3">
        <f>IF(BQ$2&gt;=Params!$B$7,INDEX($C$169:$BV$169,BQ$2-Params!$B$7+1),0)</f>
        <v/>
      </c>
      <c r="BR171" s="3">
        <f>IF(BR$2&gt;=Params!$B$7,INDEX($C$169:$BV$169,BR$2-Params!$B$7+1),0)</f>
        <v/>
      </c>
      <c r="BS171" s="3">
        <f>IF(BS$2&gt;=Params!$B$7,INDEX($C$169:$BV$169,BS$2-Params!$B$7+1),0)</f>
        <v/>
      </c>
      <c r="BT171" s="3">
        <f>IF(BT$2&gt;=Params!$B$7,INDEX($C$169:$BV$169,BT$2-Params!$B$7+1),0)</f>
        <v/>
      </c>
      <c r="BU171" s="3">
        <f>IF(BU$2&gt;=Params!$B$7,INDEX($C$169:$BV$169,BU$2-Params!$B$7+1),0)</f>
        <v/>
      </c>
      <c r="BV171" s="3">
        <f>IF(BV$2&gt;=Params!$B$7,INDEX($C$169:$BV$169,BV$2-Params!$B$7+1),0)</f>
        <v/>
      </c>
    </row>
    <row r="172">
      <c r="A172" t="inlineStr">
        <is>
          <t>trials converted</t>
        </is>
      </c>
      <c r="B172" t="inlineStr">
        <is>
          <t>APAC|BASIC_A</t>
        </is>
      </c>
      <c r="C172" s="3">
        <f>C171*Params!$B$8</f>
        <v/>
      </c>
      <c r="D172" s="3">
        <f>D171*Params!$B$8</f>
        <v/>
      </c>
      <c r="E172" s="3">
        <f>E171*Params!$B$8</f>
        <v/>
      </c>
      <c r="F172" s="3">
        <f>F171*Params!$B$8</f>
        <v/>
      </c>
      <c r="G172" s="3">
        <f>G171*Params!$B$8</f>
        <v/>
      </c>
      <c r="H172" s="3">
        <f>H171*Params!$B$8</f>
        <v/>
      </c>
      <c r="I172" s="3">
        <f>I171*Params!$B$8</f>
        <v/>
      </c>
      <c r="J172" s="3">
        <f>J171*Params!$B$8</f>
        <v/>
      </c>
      <c r="K172" s="3">
        <f>K171*Params!$B$8</f>
        <v/>
      </c>
      <c r="L172" s="3">
        <f>L171*Params!$B$8</f>
        <v/>
      </c>
      <c r="M172" s="3">
        <f>M171*Params!$B$8</f>
        <v/>
      </c>
      <c r="N172" s="3">
        <f>N171*Params!$B$8</f>
        <v/>
      </c>
      <c r="O172" s="3">
        <f>O171*Params!$B$8</f>
        <v/>
      </c>
      <c r="P172" s="3">
        <f>P171*Params!$B$8</f>
        <v/>
      </c>
      <c r="Q172" s="3">
        <f>Q171*Params!$B$8</f>
        <v/>
      </c>
      <c r="R172" s="3">
        <f>R171*Params!$B$8</f>
        <v/>
      </c>
      <c r="S172" s="3">
        <f>S171*Params!$B$8</f>
        <v/>
      </c>
      <c r="T172" s="3">
        <f>T171*Params!$B$8</f>
        <v/>
      </c>
      <c r="U172" s="3">
        <f>U171*Params!$B$8</f>
        <v/>
      </c>
      <c r="V172" s="3">
        <f>V171*Params!$B$8</f>
        <v/>
      </c>
      <c r="W172" s="3">
        <f>W171*Params!$B$8</f>
        <v/>
      </c>
      <c r="X172" s="3">
        <f>X171*Params!$B$8</f>
        <v/>
      </c>
      <c r="Y172" s="3">
        <f>Y171*Params!$B$8</f>
        <v/>
      </c>
      <c r="Z172" s="3">
        <f>Z171*Params!$B$8</f>
        <v/>
      </c>
      <c r="AA172" s="3">
        <f>AA171*Params!$B$8</f>
        <v/>
      </c>
      <c r="AB172" s="3">
        <f>AB171*Params!$B$8</f>
        <v/>
      </c>
      <c r="AC172" s="3">
        <f>AC171*Params!$B$8</f>
        <v/>
      </c>
      <c r="AD172" s="3">
        <f>AD171*Params!$B$8</f>
        <v/>
      </c>
      <c r="AE172" s="3">
        <f>AE171*Params!$B$8</f>
        <v/>
      </c>
      <c r="AF172" s="3">
        <f>AF171*Params!$B$8</f>
        <v/>
      </c>
      <c r="AG172" s="3">
        <f>AG171*Params!$B$8</f>
        <v/>
      </c>
      <c r="AH172" s="3">
        <f>AH171*Params!$B$8</f>
        <v/>
      </c>
      <c r="AI172" s="3">
        <f>AI171*Params!$B$8</f>
        <v/>
      </c>
      <c r="AJ172" s="3">
        <f>AJ171*Params!$B$8</f>
        <v/>
      </c>
      <c r="AK172" s="3">
        <f>AK171*Params!$B$8</f>
        <v/>
      </c>
      <c r="AL172" s="3">
        <f>AL171*Params!$B$8</f>
        <v/>
      </c>
      <c r="AM172" s="3">
        <f>AM171*Params!$B$8</f>
        <v/>
      </c>
      <c r="AN172" s="3">
        <f>AN171*Params!$B$8</f>
        <v/>
      </c>
      <c r="AO172" s="3">
        <f>AO171*Params!$B$8</f>
        <v/>
      </c>
      <c r="AP172" s="3">
        <f>AP171*Params!$B$8</f>
        <v/>
      </c>
      <c r="AQ172" s="3">
        <f>AQ171*Params!$B$8</f>
        <v/>
      </c>
      <c r="AR172" s="3">
        <f>AR171*Params!$B$8</f>
        <v/>
      </c>
      <c r="AS172" s="3">
        <f>AS171*Params!$B$8</f>
        <v/>
      </c>
      <c r="AT172" s="3">
        <f>AT171*Params!$B$8</f>
        <v/>
      </c>
      <c r="AU172" s="3">
        <f>AU171*Params!$B$8</f>
        <v/>
      </c>
      <c r="AV172" s="3">
        <f>AV171*Params!$B$8</f>
        <v/>
      </c>
      <c r="AW172" s="3">
        <f>AW171*Params!$B$8</f>
        <v/>
      </c>
      <c r="AX172" s="3">
        <f>AX171*Params!$B$8</f>
        <v/>
      </c>
      <c r="AY172" s="3">
        <f>AY171*Params!$B$8</f>
        <v/>
      </c>
      <c r="AZ172" s="3">
        <f>AZ171*Params!$B$8</f>
        <v/>
      </c>
      <c r="BA172" s="3">
        <f>BA171*Params!$B$8</f>
        <v/>
      </c>
      <c r="BB172" s="3">
        <f>BB171*Params!$B$8</f>
        <v/>
      </c>
      <c r="BC172" s="3">
        <f>BC171*Params!$B$8</f>
        <v/>
      </c>
      <c r="BD172" s="3">
        <f>BD171*Params!$B$8</f>
        <v/>
      </c>
      <c r="BE172" s="3">
        <f>BE171*Params!$B$8</f>
        <v/>
      </c>
      <c r="BF172" s="3">
        <f>BF171*Params!$B$8</f>
        <v/>
      </c>
      <c r="BG172" s="3">
        <f>BG171*Params!$B$8</f>
        <v/>
      </c>
      <c r="BH172" s="3">
        <f>BH171*Params!$B$8</f>
        <v/>
      </c>
      <c r="BI172" s="3">
        <f>BI171*Params!$B$8</f>
        <v/>
      </c>
      <c r="BJ172" s="3">
        <f>BJ171*Params!$B$8</f>
        <v/>
      </c>
      <c r="BK172" s="3">
        <f>BK171*Params!$B$8</f>
        <v/>
      </c>
      <c r="BL172" s="3">
        <f>BL171*Params!$B$8</f>
        <v/>
      </c>
      <c r="BM172" s="3">
        <f>BM171*Params!$B$8</f>
        <v/>
      </c>
      <c r="BN172" s="3">
        <f>BN171*Params!$B$8</f>
        <v/>
      </c>
      <c r="BO172" s="3">
        <f>BO171*Params!$B$8</f>
        <v/>
      </c>
      <c r="BP172" s="3">
        <f>BP171*Params!$B$8</f>
        <v/>
      </c>
      <c r="BQ172" s="3">
        <f>BQ171*Params!$B$8</f>
        <v/>
      </c>
      <c r="BR172" s="3">
        <f>BR171*Params!$B$8</f>
        <v/>
      </c>
      <c r="BS172" s="3">
        <f>BS171*Params!$B$8</f>
        <v/>
      </c>
      <c r="BT172" s="3">
        <f>BT171*Params!$B$8</f>
        <v/>
      </c>
      <c r="BU172" s="3">
        <f>BU171*Params!$B$8</f>
        <v/>
      </c>
      <c r="BV172" s="3">
        <f>BV171*Params!$B$8</f>
        <v/>
      </c>
    </row>
    <row r="173">
      <c r="A173" t="inlineStr">
        <is>
          <t>trials lost</t>
        </is>
      </c>
      <c r="B173" t="inlineStr">
        <is>
          <t>APAC|BASIC_A</t>
        </is>
      </c>
      <c r="C173" s="3">
        <f>C171-C172</f>
        <v/>
      </c>
      <c r="D173" s="3">
        <f>D171-D172</f>
        <v/>
      </c>
      <c r="E173" s="3">
        <f>E171-E172</f>
        <v/>
      </c>
      <c r="F173" s="3">
        <f>F171-F172</f>
        <v/>
      </c>
      <c r="G173" s="3">
        <f>G171-G172</f>
        <v/>
      </c>
      <c r="H173" s="3">
        <f>H171-H172</f>
        <v/>
      </c>
      <c r="I173" s="3">
        <f>I171-I172</f>
        <v/>
      </c>
      <c r="J173" s="3">
        <f>J171-J172</f>
        <v/>
      </c>
      <c r="K173" s="3">
        <f>K171-K172</f>
        <v/>
      </c>
      <c r="L173" s="3">
        <f>L171-L172</f>
        <v/>
      </c>
      <c r="M173" s="3">
        <f>M171-M172</f>
        <v/>
      </c>
      <c r="N173" s="3">
        <f>N171-N172</f>
        <v/>
      </c>
      <c r="O173" s="3">
        <f>O171-O172</f>
        <v/>
      </c>
      <c r="P173" s="3">
        <f>P171-P172</f>
        <v/>
      </c>
      <c r="Q173" s="3">
        <f>Q171-Q172</f>
        <v/>
      </c>
      <c r="R173" s="3">
        <f>R171-R172</f>
        <v/>
      </c>
      <c r="S173" s="3">
        <f>S171-S172</f>
        <v/>
      </c>
      <c r="T173" s="3">
        <f>T171-T172</f>
        <v/>
      </c>
      <c r="U173" s="3">
        <f>U171-U172</f>
        <v/>
      </c>
      <c r="V173" s="3">
        <f>V171-V172</f>
        <v/>
      </c>
      <c r="W173" s="3">
        <f>W171-W172</f>
        <v/>
      </c>
      <c r="X173" s="3">
        <f>X171-X172</f>
        <v/>
      </c>
      <c r="Y173" s="3">
        <f>Y171-Y172</f>
        <v/>
      </c>
      <c r="Z173" s="3">
        <f>Z171-Z172</f>
        <v/>
      </c>
      <c r="AA173" s="3">
        <f>AA171-AA172</f>
        <v/>
      </c>
      <c r="AB173" s="3">
        <f>AB171-AB172</f>
        <v/>
      </c>
      <c r="AC173" s="3">
        <f>AC171-AC172</f>
        <v/>
      </c>
      <c r="AD173" s="3">
        <f>AD171-AD172</f>
        <v/>
      </c>
      <c r="AE173" s="3">
        <f>AE171-AE172</f>
        <v/>
      </c>
      <c r="AF173" s="3">
        <f>AF171-AF172</f>
        <v/>
      </c>
      <c r="AG173" s="3">
        <f>AG171-AG172</f>
        <v/>
      </c>
      <c r="AH173" s="3">
        <f>AH171-AH172</f>
        <v/>
      </c>
      <c r="AI173" s="3">
        <f>AI171-AI172</f>
        <v/>
      </c>
      <c r="AJ173" s="3">
        <f>AJ171-AJ172</f>
        <v/>
      </c>
      <c r="AK173" s="3">
        <f>AK171-AK172</f>
        <v/>
      </c>
      <c r="AL173" s="3">
        <f>AL171-AL172</f>
        <v/>
      </c>
      <c r="AM173" s="3">
        <f>AM171-AM172</f>
        <v/>
      </c>
      <c r="AN173" s="3">
        <f>AN171-AN172</f>
        <v/>
      </c>
      <c r="AO173" s="3">
        <f>AO171-AO172</f>
        <v/>
      </c>
      <c r="AP173" s="3">
        <f>AP171-AP172</f>
        <v/>
      </c>
      <c r="AQ173" s="3">
        <f>AQ171-AQ172</f>
        <v/>
      </c>
      <c r="AR173" s="3">
        <f>AR171-AR172</f>
        <v/>
      </c>
      <c r="AS173" s="3">
        <f>AS171-AS172</f>
        <v/>
      </c>
      <c r="AT173" s="3">
        <f>AT171-AT172</f>
        <v/>
      </c>
      <c r="AU173" s="3">
        <f>AU171-AU172</f>
        <v/>
      </c>
      <c r="AV173" s="3">
        <f>AV171-AV172</f>
        <v/>
      </c>
      <c r="AW173" s="3">
        <f>AW171-AW172</f>
        <v/>
      </c>
      <c r="AX173" s="3">
        <f>AX171-AX172</f>
        <v/>
      </c>
      <c r="AY173" s="3">
        <f>AY171-AY172</f>
        <v/>
      </c>
      <c r="AZ173" s="3">
        <f>AZ171-AZ172</f>
        <v/>
      </c>
      <c r="BA173" s="3">
        <f>BA171-BA172</f>
        <v/>
      </c>
      <c r="BB173" s="3">
        <f>BB171-BB172</f>
        <v/>
      </c>
      <c r="BC173" s="3">
        <f>BC171-BC172</f>
        <v/>
      </c>
      <c r="BD173" s="3">
        <f>BD171-BD172</f>
        <v/>
      </c>
      <c r="BE173" s="3">
        <f>BE171-BE172</f>
        <v/>
      </c>
      <c r="BF173" s="3">
        <f>BF171-BF172</f>
        <v/>
      </c>
      <c r="BG173" s="3">
        <f>BG171-BG172</f>
        <v/>
      </c>
      <c r="BH173" s="3">
        <f>BH171-BH172</f>
        <v/>
      </c>
      <c r="BI173" s="3">
        <f>BI171-BI172</f>
        <v/>
      </c>
      <c r="BJ173" s="3">
        <f>BJ171-BJ172</f>
        <v/>
      </c>
      <c r="BK173" s="3">
        <f>BK171-BK172</f>
        <v/>
      </c>
      <c r="BL173" s="3">
        <f>BL171-BL172</f>
        <v/>
      </c>
      <c r="BM173" s="3">
        <f>BM171-BM172</f>
        <v/>
      </c>
      <c r="BN173" s="3">
        <f>BN171-BN172</f>
        <v/>
      </c>
      <c r="BO173" s="3">
        <f>BO171-BO172</f>
        <v/>
      </c>
      <c r="BP173" s="3">
        <f>BP171-BP172</f>
        <v/>
      </c>
      <c r="BQ173" s="3">
        <f>BQ171-BQ172</f>
        <v/>
      </c>
      <c r="BR173" s="3">
        <f>BR171-BR172</f>
        <v/>
      </c>
      <c r="BS173" s="3">
        <f>BS171-BS172</f>
        <v/>
      </c>
      <c r="BT173" s="3">
        <f>BT171-BT172</f>
        <v/>
      </c>
      <c r="BU173" s="3">
        <f>BU171-BU172</f>
        <v/>
      </c>
      <c r="BV173" s="3">
        <f>BV171-BV172</f>
        <v/>
      </c>
    </row>
    <row r="174">
      <c r="A174" t="inlineStr">
        <is>
          <t>cum trial starts</t>
        </is>
      </c>
      <c r="B174" t="inlineStr">
        <is>
          <t>APAC|BASIC_A</t>
        </is>
      </c>
      <c r="C174" s="3">
        <f>SUM($C169:C169)</f>
        <v/>
      </c>
      <c r="D174" s="3">
        <f>SUM($C169:D169)</f>
        <v/>
      </c>
      <c r="E174" s="3">
        <f>SUM($C169:E169)</f>
        <v/>
      </c>
      <c r="F174" s="3">
        <f>SUM($C169:F169)</f>
        <v/>
      </c>
      <c r="G174" s="3">
        <f>SUM($C169:G169)</f>
        <v/>
      </c>
      <c r="H174" s="3">
        <f>SUM($C169:H169)</f>
        <v/>
      </c>
      <c r="I174" s="3">
        <f>SUM($C169:I169)</f>
        <v/>
      </c>
      <c r="J174" s="3">
        <f>SUM($C169:J169)</f>
        <v/>
      </c>
      <c r="K174" s="3">
        <f>SUM($C169:K169)</f>
        <v/>
      </c>
      <c r="L174" s="3">
        <f>SUM($C169:L169)</f>
        <v/>
      </c>
      <c r="M174" s="3">
        <f>SUM($C169:M169)</f>
        <v/>
      </c>
      <c r="N174" s="3">
        <f>SUM($C169:N169)</f>
        <v/>
      </c>
      <c r="O174" s="3">
        <f>SUM($C169:O169)</f>
        <v/>
      </c>
      <c r="P174" s="3">
        <f>SUM($C169:P169)</f>
        <v/>
      </c>
      <c r="Q174" s="3">
        <f>SUM($C169:Q169)</f>
        <v/>
      </c>
      <c r="R174" s="3">
        <f>SUM($C169:R169)</f>
        <v/>
      </c>
      <c r="S174" s="3">
        <f>SUM($C169:S169)</f>
        <v/>
      </c>
      <c r="T174" s="3">
        <f>SUM($C169:T169)</f>
        <v/>
      </c>
      <c r="U174" s="3">
        <f>SUM($C169:U169)</f>
        <v/>
      </c>
      <c r="V174" s="3">
        <f>SUM($C169:V169)</f>
        <v/>
      </c>
      <c r="W174" s="3">
        <f>SUM($C169:W169)</f>
        <v/>
      </c>
      <c r="X174" s="3">
        <f>SUM($C169:X169)</f>
        <v/>
      </c>
      <c r="Y174" s="3">
        <f>SUM($C169:Y169)</f>
        <v/>
      </c>
      <c r="Z174" s="3">
        <f>SUM($C169:Z169)</f>
        <v/>
      </c>
      <c r="AA174" s="3">
        <f>SUM($C169:AA169)</f>
        <v/>
      </c>
      <c r="AB174" s="3">
        <f>SUM($C169:AB169)</f>
        <v/>
      </c>
      <c r="AC174" s="3">
        <f>SUM($C169:AC169)</f>
        <v/>
      </c>
      <c r="AD174" s="3">
        <f>SUM($C169:AD169)</f>
        <v/>
      </c>
      <c r="AE174" s="3">
        <f>SUM($C169:AE169)</f>
        <v/>
      </c>
      <c r="AF174" s="3">
        <f>SUM($C169:AF169)</f>
        <v/>
      </c>
      <c r="AG174" s="3">
        <f>SUM($C169:AG169)</f>
        <v/>
      </c>
      <c r="AH174" s="3">
        <f>SUM($C169:AH169)</f>
        <v/>
      </c>
      <c r="AI174" s="3">
        <f>SUM($C169:AI169)</f>
        <v/>
      </c>
      <c r="AJ174" s="3">
        <f>SUM($C169:AJ169)</f>
        <v/>
      </c>
      <c r="AK174" s="3">
        <f>SUM($C169:AK169)</f>
        <v/>
      </c>
      <c r="AL174" s="3">
        <f>SUM($C169:AL169)</f>
        <v/>
      </c>
      <c r="AM174" s="3">
        <f>SUM($C169:AM169)</f>
        <v/>
      </c>
      <c r="AN174" s="3">
        <f>SUM($C169:AN169)</f>
        <v/>
      </c>
      <c r="AO174" s="3">
        <f>SUM($C169:AO169)</f>
        <v/>
      </c>
      <c r="AP174" s="3">
        <f>SUM($C169:AP169)</f>
        <v/>
      </c>
      <c r="AQ174" s="3">
        <f>SUM($C169:AQ169)</f>
        <v/>
      </c>
      <c r="AR174" s="3">
        <f>SUM($C169:AR169)</f>
        <v/>
      </c>
      <c r="AS174" s="3">
        <f>SUM($C169:AS169)</f>
        <v/>
      </c>
      <c r="AT174" s="3">
        <f>SUM($C169:AT169)</f>
        <v/>
      </c>
      <c r="AU174" s="3">
        <f>SUM($C169:AU169)</f>
        <v/>
      </c>
      <c r="AV174" s="3">
        <f>SUM($C169:AV169)</f>
        <v/>
      </c>
      <c r="AW174" s="3">
        <f>SUM($C169:AW169)</f>
        <v/>
      </c>
      <c r="AX174" s="3">
        <f>SUM($C169:AX169)</f>
        <v/>
      </c>
      <c r="AY174" s="3">
        <f>SUM($C169:AY169)</f>
        <v/>
      </c>
      <c r="AZ174" s="3">
        <f>SUM($C169:AZ169)</f>
        <v/>
      </c>
      <c r="BA174" s="3">
        <f>SUM($C169:BA169)</f>
        <v/>
      </c>
      <c r="BB174" s="3">
        <f>SUM($C169:BB169)</f>
        <v/>
      </c>
      <c r="BC174" s="3">
        <f>SUM($C169:BC169)</f>
        <v/>
      </c>
      <c r="BD174" s="3">
        <f>SUM($C169:BD169)</f>
        <v/>
      </c>
      <c r="BE174" s="3">
        <f>SUM($C169:BE169)</f>
        <v/>
      </c>
      <c r="BF174" s="3">
        <f>SUM($C169:BF169)</f>
        <v/>
      </c>
      <c r="BG174" s="3">
        <f>SUM($C169:BG169)</f>
        <v/>
      </c>
      <c r="BH174" s="3">
        <f>SUM($C169:BH169)</f>
        <v/>
      </c>
      <c r="BI174" s="3">
        <f>SUM($C169:BI169)</f>
        <v/>
      </c>
      <c r="BJ174" s="3">
        <f>SUM($C169:BJ169)</f>
        <v/>
      </c>
      <c r="BK174" s="3">
        <f>SUM($C169:BK169)</f>
        <v/>
      </c>
      <c r="BL174" s="3">
        <f>SUM($C169:BL169)</f>
        <v/>
      </c>
      <c r="BM174" s="3">
        <f>SUM($C169:BM169)</f>
        <v/>
      </c>
      <c r="BN174" s="3">
        <f>SUM($C169:BN169)</f>
        <v/>
      </c>
      <c r="BO174" s="3">
        <f>SUM($C169:BO169)</f>
        <v/>
      </c>
      <c r="BP174" s="3">
        <f>SUM($C169:BP169)</f>
        <v/>
      </c>
      <c r="BQ174" s="3">
        <f>SUM($C169:BQ169)</f>
        <v/>
      </c>
      <c r="BR174" s="3">
        <f>SUM($C169:BR169)</f>
        <v/>
      </c>
      <c r="BS174" s="3">
        <f>SUM($C169:BS169)</f>
        <v/>
      </c>
      <c r="BT174" s="3">
        <f>SUM($C169:BT169)</f>
        <v/>
      </c>
      <c r="BU174" s="3">
        <f>SUM($C169:BU169)</f>
        <v/>
      </c>
      <c r="BV174" s="3">
        <f>SUM($C169:BV169)</f>
        <v/>
      </c>
    </row>
    <row r="175">
      <c r="A175" t="inlineStr">
        <is>
          <t>cum trials ending</t>
        </is>
      </c>
      <c r="B175" t="inlineStr">
        <is>
          <t>APAC|BASIC_A</t>
        </is>
      </c>
      <c r="C175" s="3">
        <f>SUM($C171:C171)</f>
        <v/>
      </c>
      <c r="D175" s="3">
        <f>SUM($C171:D171)</f>
        <v/>
      </c>
      <c r="E175" s="3">
        <f>SUM($C171:E171)</f>
        <v/>
      </c>
      <c r="F175" s="3">
        <f>SUM($C171:F171)</f>
        <v/>
      </c>
      <c r="G175" s="3">
        <f>SUM($C171:G171)</f>
        <v/>
      </c>
      <c r="H175" s="3">
        <f>SUM($C171:H171)</f>
        <v/>
      </c>
      <c r="I175" s="3">
        <f>SUM($C171:I171)</f>
        <v/>
      </c>
      <c r="J175" s="3">
        <f>SUM($C171:J171)</f>
        <v/>
      </c>
      <c r="K175" s="3">
        <f>SUM($C171:K171)</f>
        <v/>
      </c>
      <c r="L175" s="3">
        <f>SUM($C171:L171)</f>
        <v/>
      </c>
      <c r="M175" s="3">
        <f>SUM($C171:M171)</f>
        <v/>
      </c>
      <c r="N175" s="3">
        <f>SUM($C171:N171)</f>
        <v/>
      </c>
      <c r="O175" s="3">
        <f>SUM($C171:O171)</f>
        <v/>
      </c>
      <c r="P175" s="3">
        <f>SUM($C171:P171)</f>
        <v/>
      </c>
      <c r="Q175" s="3">
        <f>SUM($C171:Q171)</f>
        <v/>
      </c>
      <c r="R175" s="3">
        <f>SUM($C171:R171)</f>
        <v/>
      </c>
      <c r="S175" s="3">
        <f>SUM($C171:S171)</f>
        <v/>
      </c>
      <c r="T175" s="3">
        <f>SUM($C171:T171)</f>
        <v/>
      </c>
      <c r="U175" s="3">
        <f>SUM($C171:U171)</f>
        <v/>
      </c>
      <c r="V175" s="3">
        <f>SUM($C171:V171)</f>
        <v/>
      </c>
      <c r="W175" s="3">
        <f>SUM($C171:W171)</f>
        <v/>
      </c>
      <c r="X175" s="3">
        <f>SUM($C171:X171)</f>
        <v/>
      </c>
      <c r="Y175" s="3">
        <f>SUM($C171:Y171)</f>
        <v/>
      </c>
      <c r="Z175" s="3">
        <f>SUM($C171:Z171)</f>
        <v/>
      </c>
      <c r="AA175" s="3">
        <f>SUM($C171:AA171)</f>
        <v/>
      </c>
      <c r="AB175" s="3">
        <f>SUM($C171:AB171)</f>
        <v/>
      </c>
      <c r="AC175" s="3">
        <f>SUM($C171:AC171)</f>
        <v/>
      </c>
      <c r="AD175" s="3">
        <f>SUM($C171:AD171)</f>
        <v/>
      </c>
      <c r="AE175" s="3">
        <f>SUM($C171:AE171)</f>
        <v/>
      </c>
      <c r="AF175" s="3">
        <f>SUM($C171:AF171)</f>
        <v/>
      </c>
      <c r="AG175" s="3">
        <f>SUM($C171:AG171)</f>
        <v/>
      </c>
      <c r="AH175" s="3">
        <f>SUM($C171:AH171)</f>
        <v/>
      </c>
      <c r="AI175" s="3">
        <f>SUM($C171:AI171)</f>
        <v/>
      </c>
      <c r="AJ175" s="3">
        <f>SUM($C171:AJ171)</f>
        <v/>
      </c>
      <c r="AK175" s="3">
        <f>SUM($C171:AK171)</f>
        <v/>
      </c>
      <c r="AL175" s="3">
        <f>SUM($C171:AL171)</f>
        <v/>
      </c>
      <c r="AM175" s="3">
        <f>SUM($C171:AM171)</f>
        <v/>
      </c>
      <c r="AN175" s="3">
        <f>SUM($C171:AN171)</f>
        <v/>
      </c>
      <c r="AO175" s="3">
        <f>SUM($C171:AO171)</f>
        <v/>
      </c>
      <c r="AP175" s="3">
        <f>SUM($C171:AP171)</f>
        <v/>
      </c>
      <c r="AQ175" s="3">
        <f>SUM($C171:AQ171)</f>
        <v/>
      </c>
      <c r="AR175" s="3">
        <f>SUM($C171:AR171)</f>
        <v/>
      </c>
      <c r="AS175" s="3">
        <f>SUM($C171:AS171)</f>
        <v/>
      </c>
      <c r="AT175" s="3">
        <f>SUM($C171:AT171)</f>
        <v/>
      </c>
      <c r="AU175" s="3">
        <f>SUM($C171:AU171)</f>
        <v/>
      </c>
      <c r="AV175" s="3">
        <f>SUM($C171:AV171)</f>
        <v/>
      </c>
      <c r="AW175" s="3">
        <f>SUM($C171:AW171)</f>
        <v/>
      </c>
      <c r="AX175" s="3">
        <f>SUM($C171:AX171)</f>
        <v/>
      </c>
      <c r="AY175" s="3">
        <f>SUM($C171:AY171)</f>
        <v/>
      </c>
      <c r="AZ175" s="3">
        <f>SUM($C171:AZ171)</f>
        <v/>
      </c>
      <c r="BA175" s="3">
        <f>SUM($C171:BA171)</f>
        <v/>
      </c>
      <c r="BB175" s="3">
        <f>SUM($C171:BB171)</f>
        <v/>
      </c>
      <c r="BC175" s="3">
        <f>SUM($C171:BC171)</f>
        <v/>
      </c>
      <c r="BD175" s="3">
        <f>SUM($C171:BD171)</f>
        <v/>
      </c>
      <c r="BE175" s="3">
        <f>SUM($C171:BE171)</f>
        <v/>
      </c>
      <c r="BF175" s="3">
        <f>SUM($C171:BF171)</f>
        <v/>
      </c>
      <c r="BG175" s="3">
        <f>SUM($C171:BG171)</f>
        <v/>
      </c>
      <c r="BH175" s="3">
        <f>SUM($C171:BH171)</f>
        <v/>
      </c>
      <c r="BI175" s="3">
        <f>SUM($C171:BI171)</f>
        <v/>
      </c>
      <c r="BJ175" s="3">
        <f>SUM($C171:BJ171)</f>
        <v/>
      </c>
      <c r="BK175" s="3">
        <f>SUM($C171:BK171)</f>
        <v/>
      </c>
      <c r="BL175" s="3">
        <f>SUM($C171:BL171)</f>
        <v/>
      </c>
      <c r="BM175" s="3">
        <f>SUM($C171:BM171)</f>
        <v/>
      </c>
      <c r="BN175" s="3">
        <f>SUM($C171:BN171)</f>
        <v/>
      </c>
      <c r="BO175" s="3">
        <f>SUM($C171:BO171)</f>
        <v/>
      </c>
      <c r="BP175" s="3">
        <f>SUM($C171:BP171)</f>
        <v/>
      </c>
      <c r="BQ175" s="3">
        <f>SUM($C171:BQ171)</f>
        <v/>
      </c>
      <c r="BR175" s="3">
        <f>SUM($C171:BR171)</f>
        <v/>
      </c>
      <c r="BS175" s="3">
        <f>SUM($C171:BS171)</f>
        <v/>
      </c>
      <c r="BT175" s="3">
        <f>SUM($C171:BT171)</f>
        <v/>
      </c>
      <c r="BU175" s="3">
        <f>SUM($C171:BU171)</f>
        <v/>
      </c>
      <c r="BV175" s="3">
        <f>SUM($C171:BV171)</f>
        <v/>
      </c>
    </row>
    <row r="176">
      <c r="A176" t="inlineStr">
        <is>
          <t>trials active</t>
        </is>
      </c>
      <c r="B176" t="inlineStr">
        <is>
          <t>APAC|BASIC_A</t>
        </is>
      </c>
      <c r="C176" s="3">
        <f>C174-C175</f>
        <v/>
      </c>
      <c r="D176" s="3">
        <f>D174-D175</f>
        <v/>
      </c>
      <c r="E176" s="3">
        <f>E174-E175</f>
        <v/>
      </c>
      <c r="F176" s="3">
        <f>F174-F175</f>
        <v/>
      </c>
      <c r="G176" s="3">
        <f>G174-G175</f>
        <v/>
      </c>
      <c r="H176" s="3">
        <f>H174-H175</f>
        <v/>
      </c>
      <c r="I176" s="3">
        <f>I174-I175</f>
        <v/>
      </c>
      <c r="J176" s="3">
        <f>J174-J175</f>
        <v/>
      </c>
      <c r="K176" s="3">
        <f>K174-K175</f>
        <v/>
      </c>
      <c r="L176" s="3">
        <f>L174-L175</f>
        <v/>
      </c>
      <c r="M176" s="3">
        <f>M174-M175</f>
        <v/>
      </c>
      <c r="N176" s="3">
        <f>N174-N175</f>
        <v/>
      </c>
      <c r="O176" s="3">
        <f>O174-O175</f>
        <v/>
      </c>
      <c r="P176" s="3">
        <f>P174-P175</f>
        <v/>
      </c>
      <c r="Q176" s="3">
        <f>Q174-Q175</f>
        <v/>
      </c>
      <c r="R176" s="3">
        <f>R174-R175</f>
        <v/>
      </c>
      <c r="S176" s="3">
        <f>S174-S175</f>
        <v/>
      </c>
      <c r="T176" s="3">
        <f>T174-T175</f>
        <v/>
      </c>
      <c r="U176" s="3">
        <f>U174-U175</f>
        <v/>
      </c>
      <c r="V176" s="3">
        <f>V174-V175</f>
        <v/>
      </c>
      <c r="W176" s="3">
        <f>W174-W175</f>
        <v/>
      </c>
      <c r="X176" s="3">
        <f>X174-X175</f>
        <v/>
      </c>
      <c r="Y176" s="3">
        <f>Y174-Y175</f>
        <v/>
      </c>
      <c r="Z176" s="3">
        <f>Z174-Z175</f>
        <v/>
      </c>
      <c r="AA176" s="3">
        <f>AA174-AA175</f>
        <v/>
      </c>
      <c r="AB176" s="3">
        <f>AB174-AB175</f>
        <v/>
      </c>
      <c r="AC176" s="3">
        <f>AC174-AC175</f>
        <v/>
      </c>
      <c r="AD176" s="3">
        <f>AD174-AD175</f>
        <v/>
      </c>
      <c r="AE176" s="3">
        <f>AE174-AE175</f>
        <v/>
      </c>
      <c r="AF176" s="3">
        <f>AF174-AF175</f>
        <v/>
      </c>
      <c r="AG176" s="3">
        <f>AG174-AG175</f>
        <v/>
      </c>
      <c r="AH176" s="3">
        <f>AH174-AH175</f>
        <v/>
      </c>
      <c r="AI176" s="3">
        <f>AI174-AI175</f>
        <v/>
      </c>
      <c r="AJ176" s="3">
        <f>AJ174-AJ175</f>
        <v/>
      </c>
      <c r="AK176" s="3">
        <f>AK174-AK175</f>
        <v/>
      </c>
      <c r="AL176" s="3">
        <f>AL174-AL175</f>
        <v/>
      </c>
      <c r="AM176" s="3">
        <f>AM174-AM175</f>
        <v/>
      </c>
      <c r="AN176" s="3">
        <f>AN174-AN175</f>
        <v/>
      </c>
      <c r="AO176" s="3">
        <f>AO174-AO175</f>
        <v/>
      </c>
      <c r="AP176" s="3">
        <f>AP174-AP175</f>
        <v/>
      </c>
      <c r="AQ176" s="3">
        <f>AQ174-AQ175</f>
        <v/>
      </c>
      <c r="AR176" s="3">
        <f>AR174-AR175</f>
        <v/>
      </c>
      <c r="AS176" s="3">
        <f>AS174-AS175</f>
        <v/>
      </c>
      <c r="AT176" s="3">
        <f>AT174-AT175</f>
        <v/>
      </c>
      <c r="AU176" s="3">
        <f>AU174-AU175</f>
        <v/>
      </c>
      <c r="AV176" s="3">
        <f>AV174-AV175</f>
        <v/>
      </c>
      <c r="AW176" s="3">
        <f>AW174-AW175</f>
        <v/>
      </c>
      <c r="AX176" s="3">
        <f>AX174-AX175</f>
        <v/>
      </c>
      <c r="AY176" s="3">
        <f>AY174-AY175</f>
        <v/>
      </c>
      <c r="AZ176" s="3">
        <f>AZ174-AZ175</f>
        <v/>
      </c>
      <c r="BA176" s="3">
        <f>BA174-BA175</f>
        <v/>
      </c>
      <c r="BB176" s="3">
        <f>BB174-BB175</f>
        <v/>
      </c>
      <c r="BC176" s="3">
        <f>BC174-BC175</f>
        <v/>
      </c>
      <c r="BD176" s="3">
        <f>BD174-BD175</f>
        <v/>
      </c>
      <c r="BE176" s="3">
        <f>BE174-BE175</f>
        <v/>
      </c>
      <c r="BF176" s="3">
        <f>BF174-BF175</f>
        <v/>
      </c>
      <c r="BG176" s="3">
        <f>BG174-BG175</f>
        <v/>
      </c>
      <c r="BH176" s="3">
        <f>BH174-BH175</f>
        <v/>
      </c>
      <c r="BI176" s="3">
        <f>BI174-BI175</f>
        <v/>
      </c>
      <c r="BJ176" s="3">
        <f>BJ174-BJ175</f>
        <v/>
      </c>
      <c r="BK176" s="3">
        <f>BK174-BK175</f>
        <v/>
      </c>
      <c r="BL176" s="3">
        <f>BL174-BL175</f>
        <v/>
      </c>
      <c r="BM176" s="3">
        <f>BM174-BM175</f>
        <v/>
      </c>
      <c r="BN176" s="3">
        <f>BN174-BN175</f>
        <v/>
      </c>
      <c r="BO176" s="3">
        <f>BO174-BO175</f>
        <v/>
      </c>
      <c r="BP176" s="3">
        <f>BP174-BP175</f>
        <v/>
      </c>
      <c r="BQ176" s="3">
        <f>BQ174-BQ175</f>
        <v/>
      </c>
      <c r="BR176" s="3">
        <f>BR174-BR175</f>
        <v/>
      </c>
      <c r="BS176" s="3">
        <f>BS174-BS175</f>
        <v/>
      </c>
      <c r="BT176" s="3">
        <f>BT174-BT175</f>
        <v/>
      </c>
      <c r="BU176" s="3">
        <f>BU174-BU175</f>
        <v/>
      </c>
      <c r="BV176" s="3">
        <f>BV174-BV175</f>
        <v/>
      </c>
    </row>
    <row r="177">
      <c r="A177" t="inlineStr">
        <is>
          <t>paid starts</t>
        </is>
      </c>
      <c r="B177" t="inlineStr">
        <is>
          <t>APAC|BASIC_A</t>
        </is>
      </c>
      <c r="C177" s="3">
        <f>C170+C172</f>
        <v/>
      </c>
      <c r="D177" s="3">
        <f>D170+D172</f>
        <v/>
      </c>
      <c r="E177" s="3">
        <f>E170+E172</f>
        <v/>
      </c>
      <c r="F177" s="3">
        <f>F170+F172</f>
        <v/>
      </c>
      <c r="G177" s="3">
        <f>G170+G172</f>
        <v/>
      </c>
      <c r="H177" s="3">
        <f>H170+H172</f>
        <v/>
      </c>
      <c r="I177" s="3">
        <f>I170+I172</f>
        <v/>
      </c>
      <c r="J177" s="3">
        <f>J170+J172</f>
        <v/>
      </c>
      <c r="K177" s="3">
        <f>K170+K172</f>
        <v/>
      </c>
      <c r="L177" s="3">
        <f>L170+L172</f>
        <v/>
      </c>
      <c r="M177" s="3">
        <f>M170+M172</f>
        <v/>
      </c>
      <c r="N177" s="3">
        <f>N170+N172</f>
        <v/>
      </c>
      <c r="O177" s="3">
        <f>O170+O172</f>
        <v/>
      </c>
      <c r="P177" s="3">
        <f>P170+P172</f>
        <v/>
      </c>
      <c r="Q177" s="3">
        <f>Q170+Q172</f>
        <v/>
      </c>
      <c r="R177" s="3">
        <f>R170+R172</f>
        <v/>
      </c>
      <c r="S177" s="3">
        <f>S170+S172</f>
        <v/>
      </c>
      <c r="T177" s="3">
        <f>T170+T172</f>
        <v/>
      </c>
      <c r="U177" s="3">
        <f>U170+U172</f>
        <v/>
      </c>
      <c r="V177" s="3">
        <f>V170+V172</f>
        <v/>
      </c>
      <c r="W177" s="3">
        <f>W170+W172</f>
        <v/>
      </c>
      <c r="X177" s="3">
        <f>X170+X172</f>
        <v/>
      </c>
      <c r="Y177" s="3">
        <f>Y170+Y172</f>
        <v/>
      </c>
      <c r="Z177" s="3">
        <f>Z170+Z172</f>
        <v/>
      </c>
      <c r="AA177" s="3">
        <f>AA170+AA172</f>
        <v/>
      </c>
      <c r="AB177" s="3">
        <f>AB170+AB172</f>
        <v/>
      </c>
      <c r="AC177" s="3">
        <f>AC170+AC172</f>
        <v/>
      </c>
      <c r="AD177" s="3">
        <f>AD170+AD172</f>
        <v/>
      </c>
      <c r="AE177" s="3">
        <f>AE170+AE172</f>
        <v/>
      </c>
      <c r="AF177" s="3">
        <f>AF170+AF172</f>
        <v/>
      </c>
      <c r="AG177" s="3">
        <f>AG170+AG172</f>
        <v/>
      </c>
      <c r="AH177" s="3">
        <f>AH170+AH172</f>
        <v/>
      </c>
      <c r="AI177" s="3">
        <f>AI170+AI172</f>
        <v/>
      </c>
      <c r="AJ177" s="3">
        <f>AJ170+AJ172</f>
        <v/>
      </c>
      <c r="AK177" s="3">
        <f>AK170+AK172</f>
        <v/>
      </c>
      <c r="AL177" s="3">
        <f>AL170+AL172</f>
        <v/>
      </c>
      <c r="AM177" s="3">
        <f>AM170+AM172</f>
        <v/>
      </c>
      <c r="AN177" s="3">
        <f>AN170+AN172</f>
        <v/>
      </c>
      <c r="AO177" s="3">
        <f>AO170+AO172</f>
        <v/>
      </c>
      <c r="AP177" s="3">
        <f>AP170+AP172</f>
        <v/>
      </c>
      <c r="AQ177" s="3">
        <f>AQ170+AQ172</f>
        <v/>
      </c>
      <c r="AR177" s="3">
        <f>AR170+AR172</f>
        <v/>
      </c>
      <c r="AS177" s="3">
        <f>AS170+AS172</f>
        <v/>
      </c>
      <c r="AT177" s="3">
        <f>AT170+AT172</f>
        <v/>
      </c>
      <c r="AU177" s="3">
        <f>AU170+AU172</f>
        <v/>
      </c>
      <c r="AV177" s="3">
        <f>AV170+AV172</f>
        <v/>
      </c>
      <c r="AW177" s="3">
        <f>AW170+AW172</f>
        <v/>
      </c>
      <c r="AX177" s="3">
        <f>AX170+AX172</f>
        <v/>
      </c>
      <c r="AY177" s="3">
        <f>AY170+AY172</f>
        <v/>
      </c>
      <c r="AZ177" s="3">
        <f>AZ170+AZ172</f>
        <v/>
      </c>
      <c r="BA177" s="3">
        <f>BA170+BA172</f>
        <v/>
      </c>
      <c r="BB177" s="3">
        <f>BB170+BB172</f>
        <v/>
      </c>
      <c r="BC177" s="3">
        <f>BC170+BC172</f>
        <v/>
      </c>
      <c r="BD177" s="3">
        <f>BD170+BD172</f>
        <v/>
      </c>
      <c r="BE177" s="3">
        <f>BE170+BE172</f>
        <v/>
      </c>
      <c r="BF177" s="3">
        <f>BF170+BF172</f>
        <v/>
      </c>
      <c r="BG177" s="3">
        <f>BG170+BG172</f>
        <v/>
      </c>
      <c r="BH177" s="3">
        <f>BH170+BH172</f>
        <v/>
      </c>
      <c r="BI177" s="3">
        <f>BI170+BI172</f>
        <v/>
      </c>
      <c r="BJ177" s="3">
        <f>BJ170+BJ172</f>
        <v/>
      </c>
      <c r="BK177" s="3">
        <f>BK170+BK172</f>
        <v/>
      </c>
      <c r="BL177" s="3">
        <f>BL170+BL172</f>
        <v/>
      </c>
      <c r="BM177" s="3">
        <f>BM170+BM172</f>
        <v/>
      </c>
      <c r="BN177" s="3">
        <f>BN170+BN172</f>
        <v/>
      </c>
      <c r="BO177" s="3">
        <f>BO170+BO172</f>
        <v/>
      </c>
      <c r="BP177" s="3">
        <f>BP170+BP172</f>
        <v/>
      </c>
      <c r="BQ177" s="3">
        <f>BQ170+BQ172</f>
        <v/>
      </c>
      <c r="BR177" s="3">
        <f>BR170+BR172</f>
        <v/>
      </c>
      <c r="BS177" s="3">
        <f>BS170+BS172</f>
        <v/>
      </c>
      <c r="BT177" s="3">
        <f>BT170+BT172</f>
        <v/>
      </c>
      <c r="BU177" s="3">
        <f>BU170+BU172</f>
        <v/>
      </c>
      <c r="BV177" s="3">
        <f>BV170+BV172</f>
        <v/>
      </c>
    </row>
    <row r="179">
      <c r="A179" t="inlineStr">
        <is>
          <t>gross adds</t>
        </is>
      </c>
      <c r="B179" t="inlineStr">
        <is>
          <t>ROW|NITRO_M</t>
        </is>
      </c>
      <c r="C179" s="3">
        <f>MAU!C8*Params!$B$40*Params!$B$5*Params!$B$87*Params!$B$71</f>
        <v/>
      </c>
      <c r="D179" s="3">
        <f>MAU!D8*Params!$B$40*Params!$B$5*Params!$B$87*Params!$B$71</f>
        <v/>
      </c>
      <c r="E179" s="3">
        <f>MAU!E8*Params!$B$40*Params!$B$5*Params!$B$87*Params!$B$71</f>
        <v/>
      </c>
      <c r="F179" s="3">
        <f>MAU!F8*Params!$B$40*Params!$B$5*Params!$B$87*Params!$B$71</f>
        <v/>
      </c>
      <c r="G179" s="3">
        <f>MAU!G8*Params!$B$40*Params!$B$5*Params!$B$87*Params!$B$71</f>
        <v/>
      </c>
      <c r="H179" s="3">
        <f>MAU!H8*Params!$B$40*Params!$B$5*Params!$B$87*Params!$B$71</f>
        <v/>
      </c>
      <c r="I179" s="3">
        <f>MAU!I8*Params!$B$40*Params!$B$5*Params!$B$87*Params!$B$71</f>
        <v/>
      </c>
      <c r="J179" s="3">
        <f>MAU!J8*Params!$B$40*Params!$B$5*Params!$B$87*Params!$B$71</f>
        <v/>
      </c>
      <c r="K179" s="3">
        <f>MAU!K8*Params!$B$40*Params!$B$5*Params!$B$87*Params!$B$71</f>
        <v/>
      </c>
      <c r="L179" s="3">
        <f>MAU!L8*Params!$B$40*Params!$B$5*Params!$B$87*Params!$B$71</f>
        <v/>
      </c>
      <c r="M179" s="3">
        <f>MAU!M8*Params!$B$40*Params!$B$5*Params!$B$87*Params!$B$71</f>
        <v/>
      </c>
      <c r="N179" s="3">
        <f>MAU!N8*Params!$B$40*Params!$B$5*Params!$B$87*Params!$B$71</f>
        <v/>
      </c>
      <c r="O179" s="3">
        <f>MAU!O8*Params!$B$40*Params!$B$5*Params!$B$87*Params!$B$71</f>
        <v/>
      </c>
      <c r="P179" s="3">
        <f>MAU!P8*Params!$B$40*Params!$B$5*Params!$B$87*Params!$B$71</f>
        <v/>
      </c>
      <c r="Q179" s="3">
        <f>MAU!Q8*Params!$B$40*Params!$B$5*Params!$B$87*Params!$B$71</f>
        <v/>
      </c>
      <c r="R179" s="3">
        <f>MAU!R8*Params!$B$40*Params!$B$5*Params!$B$87*Params!$B$71</f>
        <v/>
      </c>
      <c r="S179" s="3">
        <f>MAU!S8*Params!$B$40*Params!$B$5*Params!$B$87*Params!$B$71</f>
        <v/>
      </c>
      <c r="T179" s="3">
        <f>MAU!T8*Params!$B$40*Params!$B$5*Params!$B$87*Params!$B$71</f>
        <v/>
      </c>
      <c r="U179" s="3">
        <f>MAU!U8*Params!$B$40*Params!$B$5*Params!$B$87*Params!$B$71</f>
        <v/>
      </c>
      <c r="V179" s="3">
        <f>MAU!V8*Params!$B$40*Params!$B$5*Params!$B$87*Params!$B$71</f>
        <v/>
      </c>
      <c r="W179" s="3">
        <f>MAU!W8*Params!$B$40*Params!$B$5*Params!$B$87*Params!$B$71</f>
        <v/>
      </c>
      <c r="X179" s="3">
        <f>MAU!X8*Params!$B$40*Params!$B$5*Params!$B$87*Params!$B$71</f>
        <v/>
      </c>
      <c r="Y179" s="3">
        <f>MAU!Y8*Params!$B$40*Params!$B$5*Params!$B$87*Params!$B$71</f>
        <v/>
      </c>
      <c r="Z179" s="3">
        <f>MAU!Z8*Params!$B$40*Params!$B$5*Params!$B$87*Params!$B$71</f>
        <v/>
      </c>
      <c r="AA179" s="3">
        <f>MAU!AA8*Params!$B$40*Params!$B$5*Params!$B$87*Params!$B$71</f>
        <v/>
      </c>
      <c r="AB179" s="3">
        <f>MAU!AB8*Params!$B$40*Params!$B$5*Params!$B$87*Params!$B$71</f>
        <v/>
      </c>
      <c r="AC179" s="3">
        <f>MAU!AC8*Params!$B$40*Params!$B$5*Params!$B$87*Params!$B$71</f>
        <v/>
      </c>
      <c r="AD179" s="3">
        <f>MAU!AD8*Params!$B$40*Params!$B$5*Params!$B$87*Params!$B$71</f>
        <v/>
      </c>
      <c r="AE179" s="3">
        <f>MAU!AE8*Params!$B$40*Params!$B$5*Params!$B$87*Params!$B$71</f>
        <v/>
      </c>
      <c r="AF179" s="3">
        <f>MAU!AF8*Params!$B$40*Params!$B$5*Params!$B$87*Params!$B$71</f>
        <v/>
      </c>
      <c r="AG179" s="3">
        <f>MAU!AG8*Params!$B$40*Params!$B$5*Params!$B$87*Params!$B$71</f>
        <v/>
      </c>
      <c r="AH179" s="3">
        <f>MAU!AH8*Params!$B$40*Params!$B$5*Params!$B$87*Params!$B$71</f>
        <v/>
      </c>
      <c r="AI179" s="3">
        <f>MAU!AI8*Params!$B$40*Params!$B$5*Params!$B$87*Params!$B$71</f>
        <v/>
      </c>
      <c r="AJ179" s="3">
        <f>MAU!AJ8*Params!$B$40*Params!$B$5*Params!$B$87*Params!$B$71</f>
        <v/>
      </c>
      <c r="AK179" s="3">
        <f>MAU!AK8*Params!$B$40*Params!$B$5*Params!$B$87*Params!$B$71</f>
        <v/>
      </c>
      <c r="AL179" s="3">
        <f>MAU!AL8*Params!$B$40*Params!$B$5*Params!$B$87*Params!$B$71</f>
        <v/>
      </c>
      <c r="AM179" s="3">
        <f>MAU!AM8*Params!$B$40*Params!$B$5*Params!$B$87*Params!$B$71</f>
        <v/>
      </c>
      <c r="AN179" s="3">
        <f>MAU!AN8*Params!$B$40*Params!$B$5*Params!$B$87*Params!$B$71</f>
        <v/>
      </c>
      <c r="AO179" s="3">
        <f>MAU!AO8*Params!$B$40*Params!$B$5*Params!$B$87*Params!$B$71</f>
        <v/>
      </c>
      <c r="AP179" s="3">
        <f>MAU!AP8*Params!$B$40*Params!$B$5*Params!$B$87*Params!$B$71</f>
        <v/>
      </c>
      <c r="AQ179" s="3">
        <f>MAU!AQ8*Params!$B$40*Params!$B$5*Params!$B$87*Params!$B$71</f>
        <v/>
      </c>
      <c r="AR179" s="3">
        <f>MAU!AR8*Params!$B$40*Params!$B$5*Params!$B$87*Params!$B$71</f>
        <v/>
      </c>
      <c r="AS179" s="3">
        <f>MAU!AS8*Params!$B$40*Params!$B$5*Params!$B$87*Params!$B$71</f>
        <v/>
      </c>
      <c r="AT179" s="3">
        <f>MAU!AT8*Params!$B$40*Params!$B$5*Params!$B$87*Params!$B$71</f>
        <v/>
      </c>
      <c r="AU179" s="3">
        <f>MAU!AU8*Params!$B$40*Params!$B$5*Params!$B$87*Params!$B$71</f>
        <v/>
      </c>
      <c r="AV179" s="3">
        <f>MAU!AV8*Params!$B$40*Params!$B$5*Params!$B$87*Params!$B$71</f>
        <v/>
      </c>
      <c r="AW179" s="3">
        <f>MAU!AW8*Params!$B$40*Params!$B$5*Params!$B$87*Params!$B$71</f>
        <v/>
      </c>
      <c r="AX179" s="3">
        <f>MAU!AX8*Params!$B$40*Params!$B$5*Params!$B$87*Params!$B$71</f>
        <v/>
      </c>
      <c r="AY179" s="3">
        <f>MAU!AY8*Params!$B$40*Params!$B$5*Params!$B$87*Params!$B$71</f>
        <v/>
      </c>
      <c r="AZ179" s="3">
        <f>MAU!AZ8*Params!$B$40*Params!$B$5*Params!$B$87*Params!$B$71</f>
        <v/>
      </c>
      <c r="BA179" s="3">
        <f>MAU!BA8*Params!$B$40*Params!$B$5*Params!$B$87*Params!$B$71</f>
        <v/>
      </c>
      <c r="BB179" s="3">
        <f>MAU!BB8*Params!$B$40*Params!$B$5*Params!$B$87*Params!$B$71</f>
        <v/>
      </c>
      <c r="BC179" s="3">
        <f>MAU!BC8*Params!$B$40*Params!$B$5*Params!$B$87*Params!$B$71</f>
        <v/>
      </c>
      <c r="BD179" s="3">
        <f>MAU!BD8*Params!$B$40*Params!$B$5*Params!$B$87*Params!$B$71</f>
        <v/>
      </c>
      <c r="BE179" s="3">
        <f>MAU!BE8*Params!$B$40*Params!$B$5*Params!$B$87*Params!$B$71</f>
        <v/>
      </c>
      <c r="BF179" s="3">
        <f>MAU!BF8*Params!$B$40*Params!$B$5*Params!$B$87*Params!$B$71</f>
        <v/>
      </c>
      <c r="BG179" s="3">
        <f>MAU!BG8*Params!$B$40*Params!$B$5*Params!$B$87*Params!$B$71</f>
        <v/>
      </c>
      <c r="BH179" s="3">
        <f>MAU!BH8*Params!$B$40*Params!$B$5*Params!$B$87*Params!$B$71</f>
        <v/>
      </c>
      <c r="BI179" s="3">
        <f>MAU!BI8*Params!$B$40*Params!$B$5*Params!$B$87*Params!$B$71</f>
        <v/>
      </c>
      <c r="BJ179" s="3">
        <f>MAU!BJ8*Params!$B$40*Params!$B$5*Params!$B$87*Params!$B$71</f>
        <v/>
      </c>
      <c r="BK179" s="3">
        <f>MAU!BK8*Params!$B$40*Params!$B$5*Params!$B$87*Params!$B$71</f>
        <v/>
      </c>
      <c r="BL179" s="3">
        <f>MAU!BL8*Params!$B$40*Params!$B$5*Params!$B$87*Params!$B$71</f>
        <v/>
      </c>
      <c r="BM179" s="3">
        <f>MAU!BM8*Params!$B$40*Params!$B$5*Params!$B$87*Params!$B$71</f>
        <v/>
      </c>
      <c r="BN179" s="3">
        <f>MAU!BN8*Params!$B$40*Params!$B$5*Params!$B$87*Params!$B$71</f>
        <v/>
      </c>
      <c r="BO179" s="3">
        <f>MAU!BO8*Params!$B$40*Params!$B$5*Params!$B$87*Params!$B$71</f>
        <v/>
      </c>
      <c r="BP179" s="3">
        <f>MAU!BP8*Params!$B$40*Params!$B$5*Params!$B$87*Params!$B$71</f>
        <v/>
      </c>
      <c r="BQ179" s="3">
        <f>MAU!BQ8*Params!$B$40*Params!$B$5*Params!$B$87*Params!$B$71</f>
        <v/>
      </c>
      <c r="BR179" s="3">
        <f>MAU!BR8*Params!$B$40*Params!$B$5*Params!$B$87*Params!$B$71</f>
        <v/>
      </c>
      <c r="BS179" s="3">
        <f>MAU!BS8*Params!$B$40*Params!$B$5*Params!$B$87*Params!$B$71</f>
        <v/>
      </c>
      <c r="BT179" s="3">
        <f>MAU!BT8*Params!$B$40*Params!$B$5*Params!$B$87*Params!$B$71</f>
        <v/>
      </c>
      <c r="BU179" s="3">
        <f>MAU!BU8*Params!$B$40*Params!$B$5*Params!$B$87*Params!$B$71</f>
        <v/>
      </c>
      <c r="BV179" s="3">
        <f>MAU!BV8*Params!$B$40*Params!$B$5*Params!$B$87*Params!$B$71</f>
        <v/>
      </c>
    </row>
    <row r="180">
      <c r="A180" t="inlineStr">
        <is>
          <t>trial starts</t>
        </is>
      </c>
      <c r="B180" t="inlineStr">
        <is>
          <t>ROW|NITRO_M</t>
        </is>
      </c>
      <c r="C180" s="3">
        <f>C179*Params!$B$6</f>
        <v/>
      </c>
      <c r="D180" s="3">
        <f>D179*Params!$B$6</f>
        <v/>
      </c>
      <c r="E180" s="3">
        <f>E179*Params!$B$6</f>
        <v/>
      </c>
      <c r="F180" s="3">
        <f>F179*Params!$B$6</f>
        <v/>
      </c>
      <c r="G180" s="3">
        <f>G179*Params!$B$6</f>
        <v/>
      </c>
      <c r="H180" s="3">
        <f>H179*Params!$B$6</f>
        <v/>
      </c>
      <c r="I180" s="3">
        <f>I179*Params!$B$6</f>
        <v/>
      </c>
      <c r="J180" s="3">
        <f>J179*Params!$B$6</f>
        <v/>
      </c>
      <c r="K180" s="3">
        <f>K179*Params!$B$6</f>
        <v/>
      </c>
      <c r="L180" s="3">
        <f>L179*Params!$B$6</f>
        <v/>
      </c>
      <c r="M180" s="3">
        <f>M179*Params!$B$6</f>
        <v/>
      </c>
      <c r="N180" s="3">
        <f>N179*Params!$B$6</f>
        <v/>
      </c>
      <c r="O180" s="3">
        <f>O179*Params!$B$6</f>
        <v/>
      </c>
      <c r="P180" s="3">
        <f>P179*Params!$B$6</f>
        <v/>
      </c>
      <c r="Q180" s="3">
        <f>Q179*Params!$B$6</f>
        <v/>
      </c>
      <c r="R180" s="3">
        <f>R179*Params!$B$6</f>
        <v/>
      </c>
      <c r="S180" s="3">
        <f>S179*Params!$B$6</f>
        <v/>
      </c>
      <c r="T180" s="3">
        <f>T179*Params!$B$6</f>
        <v/>
      </c>
      <c r="U180" s="3">
        <f>U179*Params!$B$6</f>
        <v/>
      </c>
      <c r="V180" s="3">
        <f>V179*Params!$B$6</f>
        <v/>
      </c>
      <c r="W180" s="3">
        <f>W179*Params!$B$6</f>
        <v/>
      </c>
      <c r="X180" s="3">
        <f>X179*Params!$B$6</f>
        <v/>
      </c>
      <c r="Y180" s="3">
        <f>Y179*Params!$B$6</f>
        <v/>
      </c>
      <c r="Z180" s="3">
        <f>Z179*Params!$B$6</f>
        <v/>
      </c>
      <c r="AA180" s="3">
        <f>AA179*Params!$B$6</f>
        <v/>
      </c>
      <c r="AB180" s="3">
        <f>AB179*Params!$B$6</f>
        <v/>
      </c>
      <c r="AC180" s="3">
        <f>AC179*Params!$B$6</f>
        <v/>
      </c>
      <c r="AD180" s="3">
        <f>AD179*Params!$B$6</f>
        <v/>
      </c>
      <c r="AE180" s="3">
        <f>AE179*Params!$B$6</f>
        <v/>
      </c>
      <c r="AF180" s="3">
        <f>AF179*Params!$B$6</f>
        <v/>
      </c>
      <c r="AG180" s="3">
        <f>AG179*Params!$B$6</f>
        <v/>
      </c>
      <c r="AH180" s="3">
        <f>AH179*Params!$B$6</f>
        <v/>
      </c>
      <c r="AI180" s="3">
        <f>AI179*Params!$B$6</f>
        <v/>
      </c>
      <c r="AJ180" s="3">
        <f>AJ179*Params!$B$6</f>
        <v/>
      </c>
      <c r="AK180" s="3">
        <f>AK179*Params!$B$6</f>
        <v/>
      </c>
      <c r="AL180" s="3">
        <f>AL179*Params!$B$6</f>
        <v/>
      </c>
      <c r="AM180" s="3">
        <f>AM179*Params!$B$6</f>
        <v/>
      </c>
      <c r="AN180" s="3">
        <f>AN179*Params!$B$6</f>
        <v/>
      </c>
      <c r="AO180" s="3">
        <f>AO179*Params!$B$6</f>
        <v/>
      </c>
      <c r="AP180" s="3">
        <f>AP179*Params!$B$6</f>
        <v/>
      </c>
      <c r="AQ180" s="3">
        <f>AQ179*Params!$B$6</f>
        <v/>
      </c>
      <c r="AR180" s="3">
        <f>AR179*Params!$B$6</f>
        <v/>
      </c>
      <c r="AS180" s="3">
        <f>AS179*Params!$B$6</f>
        <v/>
      </c>
      <c r="AT180" s="3">
        <f>AT179*Params!$B$6</f>
        <v/>
      </c>
      <c r="AU180" s="3">
        <f>AU179*Params!$B$6</f>
        <v/>
      </c>
      <c r="AV180" s="3">
        <f>AV179*Params!$B$6</f>
        <v/>
      </c>
      <c r="AW180" s="3">
        <f>AW179*Params!$B$6</f>
        <v/>
      </c>
      <c r="AX180" s="3">
        <f>AX179*Params!$B$6</f>
        <v/>
      </c>
      <c r="AY180" s="3">
        <f>AY179*Params!$B$6</f>
        <v/>
      </c>
      <c r="AZ180" s="3">
        <f>AZ179*Params!$B$6</f>
        <v/>
      </c>
      <c r="BA180" s="3">
        <f>BA179*Params!$B$6</f>
        <v/>
      </c>
      <c r="BB180" s="3">
        <f>BB179*Params!$B$6</f>
        <v/>
      </c>
      <c r="BC180" s="3">
        <f>BC179*Params!$B$6</f>
        <v/>
      </c>
      <c r="BD180" s="3">
        <f>BD179*Params!$B$6</f>
        <v/>
      </c>
      <c r="BE180" s="3">
        <f>BE179*Params!$B$6</f>
        <v/>
      </c>
      <c r="BF180" s="3">
        <f>BF179*Params!$B$6</f>
        <v/>
      </c>
      <c r="BG180" s="3">
        <f>BG179*Params!$B$6</f>
        <v/>
      </c>
      <c r="BH180" s="3">
        <f>BH179*Params!$B$6</f>
        <v/>
      </c>
      <c r="BI180" s="3">
        <f>BI179*Params!$B$6</f>
        <v/>
      </c>
      <c r="BJ180" s="3">
        <f>BJ179*Params!$B$6</f>
        <v/>
      </c>
      <c r="BK180" s="3">
        <f>BK179*Params!$B$6</f>
        <v/>
      </c>
      <c r="BL180" s="3">
        <f>BL179*Params!$B$6</f>
        <v/>
      </c>
      <c r="BM180" s="3">
        <f>BM179*Params!$B$6</f>
        <v/>
      </c>
      <c r="BN180" s="3">
        <f>BN179*Params!$B$6</f>
        <v/>
      </c>
      <c r="BO180" s="3">
        <f>BO179*Params!$B$6</f>
        <v/>
      </c>
      <c r="BP180" s="3">
        <f>BP179*Params!$B$6</f>
        <v/>
      </c>
      <c r="BQ180" s="3">
        <f>BQ179*Params!$B$6</f>
        <v/>
      </c>
      <c r="BR180" s="3">
        <f>BR179*Params!$B$6</f>
        <v/>
      </c>
      <c r="BS180" s="3">
        <f>BS179*Params!$B$6</f>
        <v/>
      </c>
      <c r="BT180" s="3">
        <f>BT179*Params!$B$6</f>
        <v/>
      </c>
      <c r="BU180" s="3">
        <f>BU179*Params!$B$6</f>
        <v/>
      </c>
      <c r="BV180" s="3">
        <f>BV179*Params!$B$6</f>
        <v/>
      </c>
    </row>
    <row r="181">
      <c r="A181" t="inlineStr">
        <is>
          <t>direct paid starts</t>
        </is>
      </c>
      <c r="B181" t="inlineStr">
        <is>
          <t>ROW|NITRO_M</t>
        </is>
      </c>
      <c r="C181" s="3">
        <f>C179-C180</f>
        <v/>
      </c>
      <c r="D181" s="3">
        <f>D179-D180</f>
        <v/>
      </c>
      <c r="E181" s="3">
        <f>E179-E180</f>
        <v/>
      </c>
      <c r="F181" s="3">
        <f>F179-F180</f>
        <v/>
      </c>
      <c r="G181" s="3">
        <f>G179-G180</f>
        <v/>
      </c>
      <c r="H181" s="3">
        <f>H179-H180</f>
        <v/>
      </c>
      <c r="I181" s="3">
        <f>I179-I180</f>
        <v/>
      </c>
      <c r="J181" s="3">
        <f>J179-J180</f>
        <v/>
      </c>
      <c r="K181" s="3">
        <f>K179-K180</f>
        <v/>
      </c>
      <c r="L181" s="3">
        <f>L179-L180</f>
        <v/>
      </c>
      <c r="M181" s="3">
        <f>M179-M180</f>
        <v/>
      </c>
      <c r="N181" s="3">
        <f>N179-N180</f>
        <v/>
      </c>
      <c r="O181" s="3">
        <f>O179-O180</f>
        <v/>
      </c>
      <c r="P181" s="3">
        <f>P179-P180</f>
        <v/>
      </c>
      <c r="Q181" s="3">
        <f>Q179-Q180</f>
        <v/>
      </c>
      <c r="R181" s="3">
        <f>R179-R180</f>
        <v/>
      </c>
      <c r="S181" s="3">
        <f>S179-S180</f>
        <v/>
      </c>
      <c r="T181" s="3">
        <f>T179-T180</f>
        <v/>
      </c>
      <c r="U181" s="3">
        <f>U179-U180</f>
        <v/>
      </c>
      <c r="V181" s="3">
        <f>V179-V180</f>
        <v/>
      </c>
      <c r="W181" s="3">
        <f>W179-W180</f>
        <v/>
      </c>
      <c r="X181" s="3">
        <f>X179-X180</f>
        <v/>
      </c>
      <c r="Y181" s="3">
        <f>Y179-Y180</f>
        <v/>
      </c>
      <c r="Z181" s="3">
        <f>Z179-Z180</f>
        <v/>
      </c>
      <c r="AA181" s="3">
        <f>AA179-AA180</f>
        <v/>
      </c>
      <c r="AB181" s="3">
        <f>AB179-AB180</f>
        <v/>
      </c>
      <c r="AC181" s="3">
        <f>AC179-AC180</f>
        <v/>
      </c>
      <c r="AD181" s="3">
        <f>AD179-AD180</f>
        <v/>
      </c>
      <c r="AE181" s="3">
        <f>AE179-AE180</f>
        <v/>
      </c>
      <c r="AF181" s="3">
        <f>AF179-AF180</f>
        <v/>
      </c>
      <c r="AG181" s="3">
        <f>AG179-AG180</f>
        <v/>
      </c>
      <c r="AH181" s="3">
        <f>AH179-AH180</f>
        <v/>
      </c>
      <c r="AI181" s="3">
        <f>AI179-AI180</f>
        <v/>
      </c>
      <c r="AJ181" s="3">
        <f>AJ179-AJ180</f>
        <v/>
      </c>
      <c r="AK181" s="3">
        <f>AK179-AK180</f>
        <v/>
      </c>
      <c r="AL181" s="3">
        <f>AL179-AL180</f>
        <v/>
      </c>
      <c r="AM181" s="3">
        <f>AM179-AM180</f>
        <v/>
      </c>
      <c r="AN181" s="3">
        <f>AN179-AN180</f>
        <v/>
      </c>
      <c r="AO181" s="3">
        <f>AO179-AO180</f>
        <v/>
      </c>
      <c r="AP181" s="3">
        <f>AP179-AP180</f>
        <v/>
      </c>
      <c r="AQ181" s="3">
        <f>AQ179-AQ180</f>
        <v/>
      </c>
      <c r="AR181" s="3">
        <f>AR179-AR180</f>
        <v/>
      </c>
      <c r="AS181" s="3">
        <f>AS179-AS180</f>
        <v/>
      </c>
      <c r="AT181" s="3">
        <f>AT179-AT180</f>
        <v/>
      </c>
      <c r="AU181" s="3">
        <f>AU179-AU180</f>
        <v/>
      </c>
      <c r="AV181" s="3">
        <f>AV179-AV180</f>
        <v/>
      </c>
      <c r="AW181" s="3">
        <f>AW179-AW180</f>
        <v/>
      </c>
      <c r="AX181" s="3">
        <f>AX179-AX180</f>
        <v/>
      </c>
      <c r="AY181" s="3">
        <f>AY179-AY180</f>
        <v/>
      </c>
      <c r="AZ181" s="3">
        <f>AZ179-AZ180</f>
        <v/>
      </c>
      <c r="BA181" s="3">
        <f>BA179-BA180</f>
        <v/>
      </c>
      <c r="BB181" s="3">
        <f>BB179-BB180</f>
        <v/>
      </c>
      <c r="BC181" s="3">
        <f>BC179-BC180</f>
        <v/>
      </c>
      <c r="BD181" s="3">
        <f>BD179-BD180</f>
        <v/>
      </c>
      <c r="BE181" s="3">
        <f>BE179-BE180</f>
        <v/>
      </c>
      <c r="BF181" s="3">
        <f>BF179-BF180</f>
        <v/>
      </c>
      <c r="BG181" s="3">
        <f>BG179-BG180</f>
        <v/>
      </c>
      <c r="BH181" s="3">
        <f>BH179-BH180</f>
        <v/>
      </c>
      <c r="BI181" s="3">
        <f>BI179-BI180</f>
        <v/>
      </c>
      <c r="BJ181" s="3">
        <f>BJ179-BJ180</f>
        <v/>
      </c>
      <c r="BK181" s="3">
        <f>BK179-BK180</f>
        <v/>
      </c>
      <c r="BL181" s="3">
        <f>BL179-BL180</f>
        <v/>
      </c>
      <c r="BM181" s="3">
        <f>BM179-BM180</f>
        <v/>
      </c>
      <c r="BN181" s="3">
        <f>BN179-BN180</f>
        <v/>
      </c>
      <c r="BO181" s="3">
        <f>BO179-BO180</f>
        <v/>
      </c>
      <c r="BP181" s="3">
        <f>BP179-BP180</f>
        <v/>
      </c>
      <c r="BQ181" s="3">
        <f>BQ179-BQ180</f>
        <v/>
      </c>
      <c r="BR181" s="3">
        <f>BR179-BR180</f>
        <v/>
      </c>
      <c r="BS181" s="3">
        <f>BS179-BS180</f>
        <v/>
      </c>
      <c r="BT181" s="3">
        <f>BT179-BT180</f>
        <v/>
      </c>
      <c r="BU181" s="3">
        <f>BU179-BU180</f>
        <v/>
      </c>
      <c r="BV181" s="3">
        <f>BV179-BV180</f>
        <v/>
      </c>
    </row>
    <row r="182">
      <c r="A182" t="inlineStr">
        <is>
          <t>trials ending</t>
        </is>
      </c>
      <c r="B182" t="inlineStr">
        <is>
          <t>ROW|NITRO_M</t>
        </is>
      </c>
      <c r="C182" s="3">
        <f>IF(C$2&gt;=Params!$B$7,INDEX($C$180:$BV$180,C$2-Params!$B$7+1),0)</f>
        <v/>
      </c>
      <c r="D182" s="3">
        <f>IF(D$2&gt;=Params!$B$7,INDEX($C$180:$BV$180,D$2-Params!$B$7+1),0)</f>
        <v/>
      </c>
      <c r="E182" s="3">
        <f>IF(E$2&gt;=Params!$B$7,INDEX($C$180:$BV$180,E$2-Params!$B$7+1),0)</f>
        <v/>
      </c>
      <c r="F182" s="3">
        <f>IF(F$2&gt;=Params!$B$7,INDEX($C$180:$BV$180,F$2-Params!$B$7+1),0)</f>
        <v/>
      </c>
      <c r="G182" s="3">
        <f>IF(G$2&gt;=Params!$B$7,INDEX($C$180:$BV$180,G$2-Params!$B$7+1),0)</f>
        <v/>
      </c>
      <c r="H182" s="3">
        <f>IF(H$2&gt;=Params!$B$7,INDEX($C$180:$BV$180,H$2-Params!$B$7+1),0)</f>
        <v/>
      </c>
      <c r="I182" s="3">
        <f>IF(I$2&gt;=Params!$B$7,INDEX($C$180:$BV$180,I$2-Params!$B$7+1),0)</f>
        <v/>
      </c>
      <c r="J182" s="3">
        <f>IF(J$2&gt;=Params!$B$7,INDEX($C$180:$BV$180,J$2-Params!$B$7+1),0)</f>
        <v/>
      </c>
      <c r="K182" s="3">
        <f>IF(K$2&gt;=Params!$B$7,INDEX($C$180:$BV$180,K$2-Params!$B$7+1),0)</f>
        <v/>
      </c>
      <c r="L182" s="3">
        <f>IF(L$2&gt;=Params!$B$7,INDEX($C$180:$BV$180,L$2-Params!$B$7+1),0)</f>
        <v/>
      </c>
      <c r="M182" s="3">
        <f>IF(M$2&gt;=Params!$B$7,INDEX($C$180:$BV$180,M$2-Params!$B$7+1),0)</f>
        <v/>
      </c>
      <c r="N182" s="3">
        <f>IF(N$2&gt;=Params!$B$7,INDEX($C$180:$BV$180,N$2-Params!$B$7+1),0)</f>
        <v/>
      </c>
      <c r="O182" s="3">
        <f>IF(O$2&gt;=Params!$B$7,INDEX($C$180:$BV$180,O$2-Params!$B$7+1),0)</f>
        <v/>
      </c>
      <c r="P182" s="3">
        <f>IF(P$2&gt;=Params!$B$7,INDEX($C$180:$BV$180,P$2-Params!$B$7+1),0)</f>
        <v/>
      </c>
      <c r="Q182" s="3">
        <f>IF(Q$2&gt;=Params!$B$7,INDEX($C$180:$BV$180,Q$2-Params!$B$7+1),0)</f>
        <v/>
      </c>
      <c r="R182" s="3">
        <f>IF(R$2&gt;=Params!$B$7,INDEX($C$180:$BV$180,R$2-Params!$B$7+1),0)</f>
        <v/>
      </c>
      <c r="S182" s="3">
        <f>IF(S$2&gt;=Params!$B$7,INDEX($C$180:$BV$180,S$2-Params!$B$7+1),0)</f>
        <v/>
      </c>
      <c r="T182" s="3">
        <f>IF(T$2&gt;=Params!$B$7,INDEX($C$180:$BV$180,T$2-Params!$B$7+1),0)</f>
        <v/>
      </c>
      <c r="U182" s="3">
        <f>IF(U$2&gt;=Params!$B$7,INDEX($C$180:$BV$180,U$2-Params!$B$7+1),0)</f>
        <v/>
      </c>
      <c r="V182" s="3">
        <f>IF(V$2&gt;=Params!$B$7,INDEX($C$180:$BV$180,V$2-Params!$B$7+1),0)</f>
        <v/>
      </c>
      <c r="W182" s="3">
        <f>IF(W$2&gt;=Params!$B$7,INDEX($C$180:$BV$180,W$2-Params!$B$7+1),0)</f>
        <v/>
      </c>
      <c r="X182" s="3">
        <f>IF(X$2&gt;=Params!$B$7,INDEX($C$180:$BV$180,X$2-Params!$B$7+1),0)</f>
        <v/>
      </c>
      <c r="Y182" s="3">
        <f>IF(Y$2&gt;=Params!$B$7,INDEX($C$180:$BV$180,Y$2-Params!$B$7+1),0)</f>
        <v/>
      </c>
      <c r="Z182" s="3">
        <f>IF(Z$2&gt;=Params!$B$7,INDEX($C$180:$BV$180,Z$2-Params!$B$7+1),0)</f>
        <v/>
      </c>
      <c r="AA182" s="3">
        <f>IF(AA$2&gt;=Params!$B$7,INDEX($C$180:$BV$180,AA$2-Params!$B$7+1),0)</f>
        <v/>
      </c>
      <c r="AB182" s="3">
        <f>IF(AB$2&gt;=Params!$B$7,INDEX($C$180:$BV$180,AB$2-Params!$B$7+1),0)</f>
        <v/>
      </c>
      <c r="AC182" s="3">
        <f>IF(AC$2&gt;=Params!$B$7,INDEX($C$180:$BV$180,AC$2-Params!$B$7+1),0)</f>
        <v/>
      </c>
      <c r="AD182" s="3">
        <f>IF(AD$2&gt;=Params!$B$7,INDEX($C$180:$BV$180,AD$2-Params!$B$7+1),0)</f>
        <v/>
      </c>
      <c r="AE182" s="3">
        <f>IF(AE$2&gt;=Params!$B$7,INDEX($C$180:$BV$180,AE$2-Params!$B$7+1),0)</f>
        <v/>
      </c>
      <c r="AF182" s="3">
        <f>IF(AF$2&gt;=Params!$B$7,INDEX($C$180:$BV$180,AF$2-Params!$B$7+1),0)</f>
        <v/>
      </c>
      <c r="AG182" s="3">
        <f>IF(AG$2&gt;=Params!$B$7,INDEX($C$180:$BV$180,AG$2-Params!$B$7+1),0)</f>
        <v/>
      </c>
      <c r="AH182" s="3">
        <f>IF(AH$2&gt;=Params!$B$7,INDEX($C$180:$BV$180,AH$2-Params!$B$7+1),0)</f>
        <v/>
      </c>
      <c r="AI182" s="3">
        <f>IF(AI$2&gt;=Params!$B$7,INDEX($C$180:$BV$180,AI$2-Params!$B$7+1),0)</f>
        <v/>
      </c>
      <c r="AJ182" s="3">
        <f>IF(AJ$2&gt;=Params!$B$7,INDEX($C$180:$BV$180,AJ$2-Params!$B$7+1),0)</f>
        <v/>
      </c>
      <c r="AK182" s="3">
        <f>IF(AK$2&gt;=Params!$B$7,INDEX($C$180:$BV$180,AK$2-Params!$B$7+1),0)</f>
        <v/>
      </c>
      <c r="AL182" s="3">
        <f>IF(AL$2&gt;=Params!$B$7,INDEX($C$180:$BV$180,AL$2-Params!$B$7+1),0)</f>
        <v/>
      </c>
      <c r="AM182" s="3">
        <f>IF(AM$2&gt;=Params!$B$7,INDEX($C$180:$BV$180,AM$2-Params!$B$7+1),0)</f>
        <v/>
      </c>
      <c r="AN182" s="3">
        <f>IF(AN$2&gt;=Params!$B$7,INDEX($C$180:$BV$180,AN$2-Params!$B$7+1),0)</f>
        <v/>
      </c>
      <c r="AO182" s="3">
        <f>IF(AO$2&gt;=Params!$B$7,INDEX($C$180:$BV$180,AO$2-Params!$B$7+1),0)</f>
        <v/>
      </c>
      <c r="AP182" s="3">
        <f>IF(AP$2&gt;=Params!$B$7,INDEX($C$180:$BV$180,AP$2-Params!$B$7+1),0)</f>
        <v/>
      </c>
      <c r="AQ182" s="3">
        <f>IF(AQ$2&gt;=Params!$B$7,INDEX($C$180:$BV$180,AQ$2-Params!$B$7+1),0)</f>
        <v/>
      </c>
      <c r="AR182" s="3">
        <f>IF(AR$2&gt;=Params!$B$7,INDEX($C$180:$BV$180,AR$2-Params!$B$7+1),0)</f>
        <v/>
      </c>
      <c r="AS182" s="3">
        <f>IF(AS$2&gt;=Params!$B$7,INDEX($C$180:$BV$180,AS$2-Params!$B$7+1),0)</f>
        <v/>
      </c>
      <c r="AT182" s="3">
        <f>IF(AT$2&gt;=Params!$B$7,INDEX($C$180:$BV$180,AT$2-Params!$B$7+1),0)</f>
        <v/>
      </c>
      <c r="AU182" s="3">
        <f>IF(AU$2&gt;=Params!$B$7,INDEX($C$180:$BV$180,AU$2-Params!$B$7+1),0)</f>
        <v/>
      </c>
      <c r="AV182" s="3">
        <f>IF(AV$2&gt;=Params!$B$7,INDEX($C$180:$BV$180,AV$2-Params!$B$7+1),0)</f>
        <v/>
      </c>
      <c r="AW182" s="3">
        <f>IF(AW$2&gt;=Params!$B$7,INDEX($C$180:$BV$180,AW$2-Params!$B$7+1),0)</f>
        <v/>
      </c>
      <c r="AX182" s="3">
        <f>IF(AX$2&gt;=Params!$B$7,INDEX($C$180:$BV$180,AX$2-Params!$B$7+1),0)</f>
        <v/>
      </c>
      <c r="AY182" s="3">
        <f>IF(AY$2&gt;=Params!$B$7,INDEX($C$180:$BV$180,AY$2-Params!$B$7+1),0)</f>
        <v/>
      </c>
      <c r="AZ182" s="3">
        <f>IF(AZ$2&gt;=Params!$B$7,INDEX($C$180:$BV$180,AZ$2-Params!$B$7+1),0)</f>
        <v/>
      </c>
      <c r="BA182" s="3">
        <f>IF(BA$2&gt;=Params!$B$7,INDEX($C$180:$BV$180,BA$2-Params!$B$7+1),0)</f>
        <v/>
      </c>
      <c r="BB182" s="3">
        <f>IF(BB$2&gt;=Params!$B$7,INDEX($C$180:$BV$180,BB$2-Params!$B$7+1),0)</f>
        <v/>
      </c>
      <c r="BC182" s="3">
        <f>IF(BC$2&gt;=Params!$B$7,INDEX($C$180:$BV$180,BC$2-Params!$B$7+1),0)</f>
        <v/>
      </c>
      <c r="BD182" s="3">
        <f>IF(BD$2&gt;=Params!$B$7,INDEX($C$180:$BV$180,BD$2-Params!$B$7+1),0)</f>
        <v/>
      </c>
      <c r="BE182" s="3">
        <f>IF(BE$2&gt;=Params!$B$7,INDEX($C$180:$BV$180,BE$2-Params!$B$7+1),0)</f>
        <v/>
      </c>
      <c r="BF182" s="3">
        <f>IF(BF$2&gt;=Params!$B$7,INDEX($C$180:$BV$180,BF$2-Params!$B$7+1),0)</f>
        <v/>
      </c>
      <c r="BG182" s="3">
        <f>IF(BG$2&gt;=Params!$B$7,INDEX($C$180:$BV$180,BG$2-Params!$B$7+1),0)</f>
        <v/>
      </c>
      <c r="BH182" s="3">
        <f>IF(BH$2&gt;=Params!$B$7,INDEX($C$180:$BV$180,BH$2-Params!$B$7+1),0)</f>
        <v/>
      </c>
      <c r="BI182" s="3">
        <f>IF(BI$2&gt;=Params!$B$7,INDEX($C$180:$BV$180,BI$2-Params!$B$7+1),0)</f>
        <v/>
      </c>
      <c r="BJ182" s="3">
        <f>IF(BJ$2&gt;=Params!$B$7,INDEX($C$180:$BV$180,BJ$2-Params!$B$7+1),0)</f>
        <v/>
      </c>
      <c r="BK182" s="3">
        <f>IF(BK$2&gt;=Params!$B$7,INDEX($C$180:$BV$180,BK$2-Params!$B$7+1),0)</f>
        <v/>
      </c>
      <c r="BL182" s="3">
        <f>IF(BL$2&gt;=Params!$B$7,INDEX($C$180:$BV$180,BL$2-Params!$B$7+1),0)</f>
        <v/>
      </c>
      <c r="BM182" s="3">
        <f>IF(BM$2&gt;=Params!$B$7,INDEX($C$180:$BV$180,BM$2-Params!$B$7+1),0)</f>
        <v/>
      </c>
      <c r="BN182" s="3">
        <f>IF(BN$2&gt;=Params!$B$7,INDEX($C$180:$BV$180,BN$2-Params!$B$7+1),0)</f>
        <v/>
      </c>
      <c r="BO182" s="3">
        <f>IF(BO$2&gt;=Params!$B$7,INDEX($C$180:$BV$180,BO$2-Params!$B$7+1),0)</f>
        <v/>
      </c>
      <c r="BP182" s="3">
        <f>IF(BP$2&gt;=Params!$B$7,INDEX($C$180:$BV$180,BP$2-Params!$B$7+1),0)</f>
        <v/>
      </c>
      <c r="BQ182" s="3">
        <f>IF(BQ$2&gt;=Params!$B$7,INDEX($C$180:$BV$180,BQ$2-Params!$B$7+1),0)</f>
        <v/>
      </c>
      <c r="BR182" s="3">
        <f>IF(BR$2&gt;=Params!$B$7,INDEX($C$180:$BV$180,BR$2-Params!$B$7+1),0)</f>
        <v/>
      </c>
      <c r="BS182" s="3">
        <f>IF(BS$2&gt;=Params!$B$7,INDEX($C$180:$BV$180,BS$2-Params!$B$7+1),0)</f>
        <v/>
      </c>
      <c r="BT182" s="3">
        <f>IF(BT$2&gt;=Params!$B$7,INDEX($C$180:$BV$180,BT$2-Params!$B$7+1),0)</f>
        <v/>
      </c>
      <c r="BU182" s="3">
        <f>IF(BU$2&gt;=Params!$B$7,INDEX($C$180:$BV$180,BU$2-Params!$B$7+1),0)</f>
        <v/>
      </c>
      <c r="BV182" s="3">
        <f>IF(BV$2&gt;=Params!$B$7,INDEX($C$180:$BV$180,BV$2-Params!$B$7+1),0)</f>
        <v/>
      </c>
    </row>
    <row r="183">
      <c r="A183" t="inlineStr">
        <is>
          <t>trials converted</t>
        </is>
      </c>
      <c r="B183" t="inlineStr">
        <is>
          <t>ROW|NITRO_M</t>
        </is>
      </c>
      <c r="C183" s="3">
        <f>C182*Params!$B$8</f>
        <v/>
      </c>
      <c r="D183" s="3">
        <f>D182*Params!$B$8</f>
        <v/>
      </c>
      <c r="E183" s="3">
        <f>E182*Params!$B$8</f>
        <v/>
      </c>
      <c r="F183" s="3">
        <f>F182*Params!$B$8</f>
        <v/>
      </c>
      <c r="G183" s="3">
        <f>G182*Params!$B$8</f>
        <v/>
      </c>
      <c r="H183" s="3">
        <f>H182*Params!$B$8</f>
        <v/>
      </c>
      <c r="I183" s="3">
        <f>I182*Params!$B$8</f>
        <v/>
      </c>
      <c r="J183" s="3">
        <f>J182*Params!$B$8</f>
        <v/>
      </c>
      <c r="K183" s="3">
        <f>K182*Params!$B$8</f>
        <v/>
      </c>
      <c r="L183" s="3">
        <f>L182*Params!$B$8</f>
        <v/>
      </c>
      <c r="M183" s="3">
        <f>M182*Params!$B$8</f>
        <v/>
      </c>
      <c r="N183" s="3">
        <f>N182*Params!$B$8</f>
        <v/>
      </c>
      <c r="O183" s="3">
        <f>O182*Params!$B$8</f>
        <v/>
      </c>
      <c r="P183" s="3">
        <f>P182*Params!$B$8</f>
        <v/>
      </c>
      <c r="Q183" s="3">
        <f>Q182*Params!$B$8</f>
        <v/>
      </c>
      <c r="R183" s="3">
        <f>R182*Params!$B$8</f>
        <v/>
      </c>
      <c r="S183" s="3">
        <f>S182*Params!$B$8</f>
        <v/>
      </c>
      <c r="T183" s="3">
        <f>T182*Params!$B$8</f>
        <v/>
      </c>
      <c r="U183" s="3">
        <f>U182*Params!$B$8</f>
        <v/>
      </c>
      <c r="V183" s="3">
        <f>V182*Params!$B$8</f>
        <v/>
      </c>
      <c r="W183" s="3">
        <f>W182*Params!$B$8</f>
        <v/>
      </c>
      <c r="X183" s="3">
        <f>X182*Params!$B$8</f>
        <v/>
      </c>
      <c r="Y183" s="3">
        <f>Y182*Params!$B$8</f>
        <v/>
      </c>
      <c r="Z183" s="3">
        <f>Z182*Params!$B$8</f>
        <v/>
      </c>
      <c r="AA183" s="3">
        <f>AA182*Params!$B$8</f>
        <v/>
      </c>
      <c r="AB183" s="3">
        <f>AB182*Params!$B$8</f>
        <v/>
      </c>
      <c r="AC183" s="3">
        <f>AC182*Params!$B$8</f>
        <v/>
      </c>
      <c r="AD183" s="3">
        <f>AD182*Params!$B$8</f>
        <v/>
      </c>
      <c r="AE183" s="3">
        <f>AE182*Params!$B$8</f>
        <v/>
      </c>
      <c r="AF183" s="3">
        <f>AF182*Params!$B$8</f>
        <v/>
      </c>
      <c r="AG183" s="3">
        <f>AG182*Params!$B$8</f>
        <v/>
      </c>
      <c r="AH183" s="3">
        <f>AH182*Params!$B$8</f>
        <v/>
      </c>
      <c r="AI183" s="3">
        <f>AI182*Params!$B$8</f>
        <v/>
      </c>
      <c r="AJ183" s="3">
        <f>AJ182*Params!$B$8</f>
        <v/>
      </c>
      <c r="AK183" s="3">
        <f>AK182*Params!$B$8</f>
        <v/>
      </c>
      <c r="AL183" s="3">
        <f>AL182*Params!$B$8</f>
        <v/>
      </c>
      <c r="AM183" s="3">
        <f>AM182*Params!$B$8</f>
        <v/>
      </c>
      <c r="AN183" s="3">
        <f>AN182*Params!$B$8</f>
        <v/>
      </c>
      <c r="AO183" s="3">
        <f>AO182*Params!$B$8</f>
        <v/>
      </c>
      <c r="AP183" s="3">
        <f>AP182*Params!$B$8</f>
        <v/>
      </c>
      <c r="AQ183" s="3">
        <f>AQ182*Params!$B$8</f>
        <v/>
      </c>
      <c r="AR183" s="3">
        <f>AR182*Params!$B$8</f>
        <v/>
      </c>
      <c r="AS183" s="3">
        <f>AS182*Params!$B$8</f>
        <v/>
      </c>
      <c r="AT183" s="3">
        <f>AT182*Params!$B$8</f>
        <v/>
      </c>
      <c r="AU183" s="3">
        <f>AU182*Params!$B$8</f>
        <v/>
      </c>
      <c r="AV183" s="3">
        <f>AV182*Params!$B$8</f>
        <v/>
      </c>
      <c r="AW183" s="3">
        <f>AW182*Params!$B$8</f>
        <v/>
      </c>
      <c r="AX183" s="3">
        <f>AX182*Params!$B$8</f>
        <v/>
      </c>
      <c r="AY183" s="3">
        <f>AY182*Params!$B$8</f>
        <v/>
      </c>
      <c r="AZ183" s="3">
        <f>AZ182*Params!$B$8</f>
        <v/>
      </c>
      <c r="BA183" s="3">
        <f>BA182*Params!$B$8</f>
        <v/>
      </c>
      <c r="BB183" s="3">
        <f>BB182*Params!$B$8</f>
        <v/>
      </c>
      <c r="BC183" s="3">
        <f>BC182*Params!$B$8</f>
        <v/>
      </c>
      <c r="BD183" s="3">
        <f>BD182*Params!$B$8</f>
        <v/>
      </c>
      <c r="BE183" s="3">
        <f>BE182*Params!$B$8</f>
        <v/>
      </c>
      <c r="BF183" s="3">
        <f>BF182*Params!$B$8</f>
        <v/>
      </c>
      <c r="BG183" s="3">
        <f>BG182*Params!$B$8</f>
        <v/>
      </c>
      <c r="BH183" s="3">
        <f>BH182*Params!$B$8</f>
        <v/>
      </c>
      <c r="BI183" s="3">
        <f>BI182*Params!$B$8</f>
        <v/>
      </c>
      <c r="BJ183" s="3">
        <f>BJ182*Params!$B$8</f>
        <v/>
      </c>
      <c r="BK183" s="3">
        <f>BK182*Params!$B$8</f>
        <v/>
      </c>
      <c r="BL183" s="3">
        <f>BL182*Params!$B$8</f>
        <v/>
      </c>
      <c r="BM183" s="3">
        <f>BM182*Params!$B$8</f>
        <v/>
      </c>
      <c r="BN183" s="3">
        <f>BN182*Params!$B$8</f>
        <v/>
      </c>
      <c r="BO183" s="3">
        <f>BO182*Params!$B$8</f>
        <v/>
      </c>
      <c r="BP183" s="3">
        <f>BP182*Params!$B$8</f>
        <v/>
      </c>
      <c r="BQ183" s="3">
        <f>BQ182*Params!$B$8</f>
        <v/>
      </c>
      <c r="BR183" s="3">
        <f>BR182*Params!$B$8</f>
        <v/>
      </c>
      <c r="BS183" s="3">
        <f>BS182*Params!$B$8</f>
        <v/>
      </c>
      <c r="BT183" s="3">
        <f>BT182*Params!$B$8</f>
        <v/>
      </c>
      <c r="BU183" s="3">
        <f>BU182*Params!$B$8</f>
        <v/>
      </c>
      <c r="BV183" s="3">
        <f>BV182*Params!$B$8</f>
        <v/>
      </c>
    </row>
    <row r="184">
      <c r="A184" t="inlineStr">
        <is>
          <t>trials lost</t>
        </is>
      </c>
      <c r="B184" t="inlineStr">
        <is>
          <t>ROW|NITRO_M</t>
        </is>
      </c>
      <c r="C184" s="3">
        <f>C182-C183</f>
        <v/>
      </c>
      <c r="D184" s="3">
        <f>D182-D183</f>
        <v/>
      </c>
      <c r="E184" s="3">
        <f>E182-E183</f>
        <v/>
      </c>
      <c r="F184" s="3">
        <f>F182-F183</f>
        <v/>
      </c>
      <c r="G184" s="3">
        <f>G182-G183</f>
        <v/>
      </c>
      <c r="H184" s="3">
        <f>H182-H183</f>
        <v/>
      </c>
      <c r="I184" s="3">
        <f>I182-I183</f>
        <v/>
      </c>
      <c r="J184" s="3">
        <f>J182-J183</f>
        <v/>
      </c>
      <c r="K184" s="3">
        <f>K182-K183</f>
        <v/>
      </c>
      <c r="L184" s="3">
        <f>L182-L183</f>
        <v/>
      </c>
      <c r="M184" s="3">
        <f>M182-M183</f>
        <v/>
      </c>
      <c r="N184" s="3">
        <f>N182-N183</f>
        <v/>
      </c>
      <c r="O184" s="3">
        <f>O182-O183</f>
        <v/>
      </c>
      <c r="P184" s="3">
        <f>P182-P183</f>
        <v/>
      </c>
      <c r="Q184" s="3">
        <f>Q182-Q183</f>
        <v/>
      </c>
      <c r="R184" s="3">
        <f>R182-R183</f>
        <v/>
      </c>
      <c r="S184" s="3">
        <f>S182-S183</f>
        <v/>
      </c>
      <c r="T184" s="3">
        <f>T182-T183</f>
        <v/>
      </c>
      <c r="U184" s="3">
        <f>U182-U183</f>
        <v/>
      </c>
      <c r="V184" s="3">
        <f>V182-V183</f>
        <v/>
      </c>
      <c r="W184" s="3">
        <f>W182-W183</f>
        <v/>
      </c>
      <c r="X184" s="3">
        <f>X182-X183</f>
        <v/>
      </c>
      <c r="Y184" s="3">
        <f>Y182-Y183</f>
        <v/>
      </c>
      <c r="Z184" s="3">
        <f>Z182-Z183</f>
        <v/>
      </c>
      <c r="AA184" s="3">
        <f>AA182-AA183</f>
        <v/>
      </c>
      <c r="AB184" s="3">
        <f>AB182-AB183</f>
        <v/>
      </c>
      <c r="AC184" s="3">
        <f>AC182-AC183</f>
        <v/>
      </c>
      <c r="AD184" s="3">
        <f>AD182-AD183</f>
        <v/>
      </c>
      <c r="AE184" s="3">
        <f>AE182-AE183</f>
        <v/>
      </c>
      <c r="AF184" s="3">
        <f>AF182-AF183</f>
        <v/>
      </c>
      <c r="AG184" s="3">
        <f>AG182-AG183</f>
        <v/>
      </c>
      <c r="AH184" s="3">
        <f>AH182-AH183</f>
        <v/>
      </c>
      <c r="AI184" s="3">
        <f>AI182-AI183</f>
        <v/>
      </c>
      <c r="AJ184" s="3">
        <f>AJ182-AJ183</f>
        <v/>
      </c>
      <c r="AK184" s="3">
        <f>AK182-AK183</f>
        <v/>
      </c>
      <c r="AL184" s="3">
        <f>AL182-AL183</f>
        <v/>
      </c>
      <c r="AM184" s="3">
        <f>AM182-AM183</f>
        <v/>
      </c>
      <c r="AN184" s="3">
        <f>AN182-AN183</f>
        <v/>
      </c>
      <c r="AO184" s="3">
        <f>AO182-AO183</f>
        <v/>
      </c>
      <c r="AP184" s="3">
        <f>AP182-AP183</f>
        <v/>
      </c>
      <c r="AQ184" s="3">
        <f>AQ182-AQ183</f>
        <v/>
      </c>
      <c r="AR184" s="3">
        <f>AR182-AR183</f>
        <v/>
      </c>
      <c r="AS184" s="3">
        <f>AS182-AS183</f>
        <v/>
      </c>
      <c r="AT184" s="3">
        <f>AT182-AT183</f>
        <v/>
      </c>
      <c r="AU184" s="3">
        <f>AU182-AU183</f>
        <v/>
      </c>
      <c r="AV184" s="3">
        <f>AV182-AV183</f>
        <v/>
      </c>
      <c r="AW184" s="3">
        <f>AW182-AW183</f>
        <v/>
      </c>
      <c r="AX184" s="3">
        <f>AX182-AX183</f>
        <v/>
      </c>
      <c r="AY184" s="3">
        <f>AY182-AY183</f>
        <v/>
      </c>
      <c r="AZ184" s="3">
        <f>AZ182-AZ183</f>
        <v/>
      </c>
      <c r="BA184" s="3">
        <f>BA182-BA183</f>
        <v/>
      </c>
      <c r="BB184" s="3">
        <f>BB182-BB183</f>
        <v/>
      </c>
      <c r="BC184" s="3">
        <f>BC182-BC183</f>
        <v/>
      </c>
      <c r="BD184" s="3">
        <f>BD182-BD183</f>
        <v/>
      </c>
      <c r="BE184" s="3">
        <f>BE182-BE183</f>
        <v/>
      </c>
      <c r="BF184" s="3">
        <f>BF182-BF183</f>
        <v/>
      </c>
      <c r="BG184" s="3">
        <f>BG182-BG183</f>
        <v/>
      </c>
      <c r="BH184" s="3">
        <f>BH182-BH183</f>
        <v/>
      </c>
      <c r="BI184" s="3">
        <f>BI182-BI183</f>
        <v/>
      </c>
      <c r="BJ184" s="3">
        <f>BJ182-BJ183</f>
        <v/>
      </c>
      <c r="BK184" s="3">
        <f>BK182-BK183</f>
        <v/>
      </c>
      <c r="BL184" s="3">
        <f>BL182-BL183</f>
        <v/>
      </c>
      <c r="BM184" s="3">
        <f>BM182-BM183</f>
        <v/>
      </c>
      <c r="BN184" s="3">
        <f>BN182-BN183</f>
        <v/>
      </c>
      <c r="BO184" s="3">
        <f>BO182-BO183</f>
        <v/>
      </c>
      <c r="BP184" s="3">
        <f>BP182-BP183</f>
        <v/>
      </c>
      <c r="BQ184" s="3">
        <f>BQ182-BQ183</f>
        <v/>
      </c>
      <c r="BR184" s="3">
        <f>BR182-BR183</f>
        <v/>
      </c>
      <c r="BS184" s="3">
        <f>BS182-BS183</f>
        <v/>
      </c>
      <c r="BT184" s="3">
        <f>BT182-BT183</f>
        <v/>
      </c>
      <c r="BU184" s="3">
        <f>BU182-BU183</f>
        <v/>
      </c>
      <c r="BV184" s="3">
        <f>BV182-BV183</f>
        <v/>
      </c>
    </row>
    <row r="185">
      <c r="A185" t="inlineStr">
        <is>
          <t>cum trial starts</t>
        </is>
      </c>
      <c r="B185" t="inlineStr">
        <is>
          <t>ROW|NITRO_M</t>
        </is>
      </c>
      <c r="C185" s="3">
        <f>SUM($C180:C180)</f>
        <v/>
      </c>
      <c r="D185" s="3">
        <f>SUM($C180:D180)</f>
        <v/>
      </c>
      <c r="E185" s="3">
        <f>SUM($C180:E180)</f>
        <v/>
      </c>
      <c r="F185" s="3">
        <f>SUM($C180:F180)</f>
        <v/>
      </c>
      <c r="G185" s="3">
        <f>SUM($C180:G180)</f>
        <v/>
      </c>
      <c r="H185" s="3">
        <f>SUM($C180:H180)</f>
        <v/>
      </c>
      <c r="I185" s="3">
        <f>SUM($C180:I180)</f>
        <v/>
      </c>
      <c r="J185" s="3">
        <f>SUM($C180:J180)</f>
        <v/>
      </c>
      <c r="K185" s="3">
        <f>SUM($C180:K180)</f>
        <v/>
      </c>
      <c r="L185" s="3">
        <f>SUM($C180:L180)</f>
        <v/>
      </c>
      <c r="M185" s="3">
        <f>SUM($C180:M180)</f>
        <v/>
      </c>
      <c r="N185" s="3">
        <f>SUM($C180:N180)</f>
        <v/>
      </c>
      <c r="O185" s="3">
        <f>SUM($C180:O180)</f>
        <v/>
      </c>
      <c r="P185" s="3">
        <f>SUM($C180:P180)</f>
        <v/>
      </c>
      <c r="Q185" s="3">
        <f>SUM($C180:Q180)</f>
        <v/>
      </c>
      <c r="R185" s="3">
        <f>SUM($C180:R180)</f>
        <v/>
      </c>
      <c r="S185" s="3">
        <f>SUM($C180:S180)</f>
        <v/>
      </c>
      <c r="T185" s="3">
        <f>SUM($C180:T180)</f>
        <v/>
      </c>
      <c r="U185" s="3">
        <f>SUM($C180:U180)</f>
        <v/>
      </c>
      <c r="V185" s="3">
        <f>SUM($C180:V180)</f>
        <v/>
      </c>
      <c r="W185" s="3">
        <f>SUM($C180:W180)</f>
        <v/>
      </c>
      <c r="X185" s="3">
        <f>SUM($C180:X180)</f>
        <v/>
      </c>
      <c r="Y185" s="3">
        <f>SUM($C180:Y180)</f>
        <v/>
      </c>
      <c r="Z185" s="3">
        <f>SUM($C180:Z180)</f>
        <v/>
      </c>
      <c r="AA185" s="3">
        <f>SUM($C180:AA180)</f>
        <v/>
      </c>
      <c r="AB185" s="3">
        <f>SUM($C180:AB180)</f>
        <v/>
      </c>
      <c r="AC185" s="3">
        <f>SUM($C180:AC180)</f>
        <v/>
      </c>
      <c r="AD185" s="3">
        <f>SUM($C180:AD180)</f>
        <v/>
      </c>
      <c r="AE185" s="3">
        <f>SUM($C180:AE180)</f>
        <v/>
      </c>
      <c r="AF185" s="3">
        <f>SUM($C180:AF180)</f>
        <v/>
      </c>
      <c r="AG185" s="3">
        <f>SUM($C180:AG180)</f>
        <v/>
      </c>
      <c r="AH185" s="3">
        <f>SUM($C180:AH180)</f>
        <v/>
      </c>
      <c r="AI185" s="3">
        <f>SUM($C180:AI180)</f>
        <v/>
      </c>
      <c r="AJ185" s="3">
        <f>SUM($C180:AJ180)</f>
        <v/>
      </c>
      <c r="AK185" s="3">
        <f>SUM($C180:AK180)</f>
        <v/>
      </c>
      <c r="AL185" s="3">
        <f>SUM($C180:AL180)</f>
        <v/>
      </c>
      <c r="AM185" s="3">
        <f>SUM($C180:AM180)</f>
        <v/>
      </c>
      <c r="AN185" s="3">
        <f>SUM($C180:AN180)</f>
        <v/>
      </c>
      <c r="AO185" s="3">
        <f>SUM($C180:AO180)</f>
        <v/>
      </c>
      <c r="AP185" s="3">
        <f>SUM($C180:AP180)</f>
        <v/>
      </c>
      <c r="AQ185" s="3">
        <f>SUM($C180:AQ180)</f>
        <v/>
      </c>
      <c r="AR185" s="3">
        <f>SUM($C180:AR180)</f>
        <v/>
      </c>
      <c r="AS185" s="3">
        <f>SUM($C180:AS180)</f>
        <v/>
      </c>
      <c r="AT185" s="3">
        <f>SUM($C180:AT180)</f>
        <v/>
      </c>
      <c r="AU185" s="3">
        <f>SUM($C180:AU180)</f>
        <v/>
      </c>
      <c r="AV185" s="3">
        <f>SUM($C180:AV180)</f>
        <v/>
      </c>
      <c r="AW185" s="3">
        <f>SUM($C180:AW180)</f>
        <v/>
      </c>
      <c r="AX185" s="3">
        <f>SUM($C180:AX180)</f>
        <v/>
      </c>
      <c r="AY185" s="3">
        <f>SUM($C180:AY180)</f>
        <v/>
      </c>
      <c r="AZ185" s="3">
        <f>SUM($C180:AZ180)</f>
        <v/>
      </c>
      <c r="BA185" s="3">
        <f>SUM($C180:BA180)</f>
        <v/>
      </c>
      <c r="BB185" s="3">
        <f>SUM($C180:BB180)</f>
        <v/>
      </c>
      <c r="BC185" s="3">
        <f>SUM($C180:BC180)</f>
        <v/>
      </c>
      <c r="BD185" s="3">
        <f>SUM($C180:BD180)</f>
        <v/>
      </c>
      <c r="BE185" s="3">
        <f>SUM($C180:BE180)</f>
        <v/>
      </c>
      <c r="BF185" s="3">
        <f>SUM($C180:BF180)</f>
        <v/>
      </c>
      <c r="BG185" s="3">
        <f>SUM($C180:BG180)</f>
        <v/>
      </c>
      <c r="BH185" s="3">
        <f>SUM($C180:BH180)</f>
        <v/>
      </c>
      <c r="BI185" s="3">
        <f>SUM($C180:BI180)</f>
        <v/>
      </c>
      <c r="BJ185" s="3">
        <f>SUM($C180:BJ180)</f>
        <v/>
      </c>
      <c r="BK185" s="3">
        <f>SUM($C180:BK180)</f>
        <v/>
      </c>
      <c r="BL185" s="3">
        <f>SUM($C180:BL180)</f>
        <v/>
      </c>
      <c r="BM185" s="3">
        <f>SUM($C180:BM180)</f>
        <v/>
      </c>
      <c r="BN185" s="3">
        <f>SUM($C180:BN180)</f>
        <v/>
      </c>
      <c r="BO185" s="3">
        <f>SUM($C180:BO180)</f>
        <v/>
      </c>
      <c r="BP185" s="3">
        <f>SUM($C180:BP180)</f>
        <v/>
      </c>
      <c r="BQ185" s="3">
        <f>SUM($C180:BQ180)</f>
        <v/>
      </c>
      <c r="BR185" s="3">
        <f>SUM($C180:BR180)</f>
        <v/>
      </c>
      <c r="BS185" s="3">
        <f>SUM($C180:BS180)</f>
        <v/>
      </c>
      <c r="BT185" s="3">
        <f>SUM($C180:BT180)</f>
        <v/>
      </c>
      <c r="BU185" s="3">
        <f>SUM($C180:BU180)</f>
        <v/>
      </c>
      <c r="BV185" s="3">
        <f>SUM($C180:BV180)</f>
        <v/>
      </c>
    </row>
    <row r="186">
      <c r="A186" t="inlineStr">
        <is>
          <t>cum trials ending</t>
        </is>
      </c>
      <c r="B186" t="inlineStr">
        <is>
          <t>ROW|NITRO_M</t>
        </is>
      </c>
      <c r="C186" s="3">
        <f>SUM($C182:C182)</f>
        <v/>
      </c>
      <c r="D186" s="3">
        <f>SUM($C182:D182)</f>
        <v/>
      </c>
      <c r="E186" s="3">
        <f>SUM($C182:E182)</f>
        <v/>
      </c>
      <c r="F186" s="3">
        <f>SUM($C182:F182)</f>
        <v/>
      </c>
      <c r="G186" s="3">
        <f>SUM($C182:G182)</f>
        <v/>
      </c>
      <c r="H186" s="3">
        <f>SUM($C182:H182)</f>
        <v/>
      </c>
      <c r="I186" s="3">
        <f>SUM($C182:I182)</f>
        <v/>
      </c>
      <c r="J186" s="3">
        <f>SUM($C182:J182)</f>
        <v/>
      </c>
      <c r="K186" s="3">
        <f>SUM($C182:K182)</f>
        <v/>
      </c>
      <c r="L186" s="3">
        <f>SUM($C182:L182)</f>
        <v/>
      </c>
      <c r="M186" s="3">
        <f>SUM($C182:M182)</f>
        <v/>
      </c>
      <c r="N186" s="3">
        <f>SUM($C182:N182)</f>
        <v/>
      </c>
      <c r="O186" s="3">
        <f>SUM($C182:O182)</f>
        <v/>
      </c>
      <c r="P186" s="3">
        <f>SUM($C182:P182)</f>
        <v/>
      </c>
      <c r="Q186" s="3">
        <f>SUM($C182:Q182)</f>
        <v/>
      </c>
      <c r="R186" s="3">
        <f>SUM($C182:R182)</f>
        <v/>
      </c>
      <c r="S186" s="3">
        <f>SUM($C182:S182)</f>
        <v/>
      </c>
      <c r="T186" s="3">
        <f>SUM($C182:T182)</f>
        <v/>
      </c>
      <c r="U186" s="3">
        <f>SUM($C182:U182)</f>
        <v/>
      </c>
      <c r="V186" s="3">
        <f>SUM($C182:V182)</f>
        <v/>
      </c>
      <c r="W186" s="3">
        <f>SUM($C182:W182)</f>
        <v/>
      </c>
      <c r="X186" s="3">
        <f>SUM($C182:X182)</f>
        <v/>
      </c>
      <c r="Y186" s="3">
        <f>SUM($C182:Y182)</f>
        <v/>
      </c>
      <c r="Z186" s="3">
        <f>SUM($C182:Z182)</f>
        <v/>
      </c>
      <c r="AA186" s="3">
        <f>SUM($C182:AA182)</f>
        <v/>
      </c>
      <c r="AB186" s="3">
        <f>SUM($C182:AB182)</f>
        <v/>
      </c>
      <c r="AC186" s="3">
        <f>SUM($C182:AC182)</f>
        <v/>
      </c>
      <c r="AD186" s="3">
        <f>SUM($C182:AD182)</f>
        <v/>
      </c>
      <c r="AE186" s="3">
        <f>SUM($C182:AE182)</f>
        <v/>
      </c>
      <c r="AF186" s="3">
        <f>SUM($C182:AF182)</f>
        <v/>
      </c>
      <c r="AG186" s="3">
        <f>SUM($C182:AG182)</f>
        <v/>
      </c>
      <c r="AH186" s="3">
        <f>SUM($C182:AH182)</f>
        <v/>
      </c>
      <c r="AI186" s="3">
        <f>SUM($C182:AI182)</f>
        <v/>
      </c>
      <c r="AJ186" s="3">
        <f>SUM($C182:AJ182)</f>
        <v/>
      </c>
      <c r="AK186" s="3">
        <f>SUM($C182:AK182)</f>
        <v/>
      </c>
      <c r="AL186" s="3">
        <f>SUM($C182:AL182)</f>
        <v/>
      </c>
      <c r="AM186" s="3">
        <f>SUM($C182:AM182)</f>
        <v/>
      </c>
      <c r="AN186" s="3">
        <f>SUM($C182:AN182)</f>
        <v/>
      </c>
      <c r="AO186" s="3">
        <f>SUM($C182:AO182)</f>
        <v/>
      </c>
      <c r="AP186" s="3">
        <f>SUM($C182:AP182)</f>
        <v/>
      </c>
      <c r="AQ186" s="3">
        <f>SUM($C182:AQ182)</f>
        <v/>
      </c>
      <c r="AR186" s="3">
        <f>SUM($C182:AR182)</f>
        <v/>
      </c>
      <c r="AS186" s="3">
        <f>SUM($C182:AS182)</f>
        <v/>
      </c>
      <c r="AT186" s="3">
        <f>SUM($C182:AT182)</f>
        <v/>
      </c>
      <c r="AU186" s="3">
        <f>SUM($C182:AU182)</f>
        <v/>
      </c>
      <c r="AV186" s="3">
        <f>SUM($C182:AV182)</f>
        <v/>
      </c>
      <c r="AW186" s="3">
        <f>SUM($C182:AW182)</f>
        <v/>
      </c>
      <c r="AX186" s="3">
        <f>SUM($C182:AX182)</f>
        <v/>
      </c>
      <c r="AY186" s="3">
        <f>SUM($C182:AY182)</f>
        <v/>
      </c>
      <c r="AZ186" s="3">
        <f>SUM($C182:AZ182)</f>
        <v/>
      </c>
      <c r="BA186" s="3">
        <f>SUM($C182:BA182)</f>
        <v/>
      </c>
      <c r="BB186" s="3">
        <f>SUM($C182:BB182)</f>
        <v/>
      </c>
      <c r="BC186" s="3">
        <f>SUM($C182:BC182)</f>
        <v/>
      </c>
      <c r="BD186" s="3">
        <f>SUM($C182:BD182)</f>
        <v/>
      </c>
      <c r="BE186" s="3">
        <f>SUM($C182:BE182)</f>
        <v/>
      </c>
      <c r="BF186" s="3">
        <f>SUM($C182:BF182)</f>
        <v/>
      </c>
      <c r="BG186" s="3">
        <f>SUM($C182:BG182)</f>
        <v/>
      </c>
      <c r="BH186" s="3">
        <f>SUM($C182:BH182)</f>
        <v/>
      </c>
      <c r="BI186" s="3">
        <f>SUM($C182:BI182)</f>
        <v/>
      </c>
      <c r="BJ186" s="3">
        <f>SUM($C182:BJ182)</f>
        <v/>
      </c>
      <c r="BK186" s="3">
        <f>SUM($C182:BK182)</f>
        <v/>
      </c>
      <c r="BL186" s="3">
        <f>SUM($C182:BL182)</f>
        <v/>
      </c>
      <c r="BM186" s="3">
        <f>SUM($C182:BM182)</f>
        <v/>
      </c>
      <c r="BN186" s="3">
        <f>SUM($C182:BN182)</f>
        <v/>
      </c>
      <c r="BO186" s="3">
        <f>SUM($C182:BO182)</f>
        <v/>
      </c>
      <c r="BP186" s="3">
        <f>SUM($C182:BP182)</f>
        <v/>
      </c>
      <c r="BQ186" s="3">
        <f>SUM($C182:BQ182)</f>
        <v/>
      </c>
      <c r="BR186" s="3">
        <f>SUM($C182:BR182)</f>
        <v/>
      </c>
      <c r="BS186" s="3">
        <f>SUM($C182:BS182)</f>
        <v/>
      </c>
      <c r="BT186" s="3">
        <f>SUM($C182:BT182)</f>
        <v/>
      </c>
      <c r="BU186" s="3">
        <f>SUM($C182:BU182)</f>
        <v/>
      </c>
      <c r="BV186" s="3">
        <f>SUM($C182:BV182)</f>
        <v/>
      </c>
    </row>
    <row r="187">
      <c r="A187" t="inlineStr">
        <is>
          <t>trials active</t>
        </is>
      </c>
      <c r="B187" t="inlineStr">
        <is>
          <t>ROW|NITRO_M</t>
        </is>
      </c>
      <c r="C187" s="3">
        <f>C185-C186</f>
        <v/>
      </c>
      <c r="D187" s="3">
        <f>D185-D186</f>
        <v/>
      </c>
      <c r="E187" s="3">
        <f>E185-E186</f>
        <v/>
      </c>
      <c r="F187" s="3">
        <f>F185-F186</f>
        <v/>
      </c>
      <c r="G187" s="3">
        <f>G185-G186</f>
        <v/>
      </c>
      <c r="H187" s="3">
        <f>H185-H186</f>
        <v/>
      </c>
      <c r="I187" s="3">
        <f>I185-I186</f>
        <v/>
      </c>
      <c r="J187" s="3">
        <f>J185-J186</f>
        <v/>
      </c>
      <c r="K187" s="3">
        <f>K185-K186</f>
        <v/>
      </c>
      <c r="L187" s="3">
        <f>L185-L186</f>
        <v/>
      </c>
      <c r="M187" s="3">
        <f>M185-M186</f>
        <v/>
      </c>
      <c r="N187" s="3">
        <f>N185-N186</f>
        <v/>
      </c>
      <c r="O187" s="3">
        <f>O185-O186</f>
        <v/>
      </c>
      <c r="P187" s="3">
        <f>P185-P186</f>
        <v/>
      </c>
      <c r="Q187" s="3">
        <f>Q185-Q186</f>
        <v/>
      </c>
      <c r="R187" s="3">
        <f>R185-R186</f>
        <v/>
      </c>
      <c r="S187" s="3">
        <f>S185-S186</f>
        <v/>
      </c>
      <c r="T187" s="3">
        <f>T185-T186</f>
        <v/>
      </c>
      <c r="U187" s="3">
        <f>U185-U186</f>
        <v/>
      </c>
      <c r="V187" s="3">
        <f>V185-V186</f>
        <v/>
      </c>
      <c r="W187" s="3">
        <f>W185-W186</f>
        <v/>
      </c>
      <c r="X187" s="3">
        <f>X185-X186</f>
        <v/>
      </c>
      <c r="Y187" s="3">
        <f>Y185-Y186</f>
        <v/>
      </c>
      <c r="Z187" s="3">
        <f>Z185-Z186</f>
        <v/>
      </c>
      <c r="AA187" s="3">
        <f>AA185-AA186</f>
        <v/>
      </c>
      <c r="AB187" s="3">
        <f>AB185-AB186</f>
        <v/>
      </c>
      <c r="AC187" s="3">
        <f>AC185-AC186</f>
        <v/>
      </c>
      <c r="AD187" s="3">
        <f>AD185-AD186</f>
        <v/>
      </c>
      <c r="AE187" s="3">
        <f>AE185-AE186</f>
        <v/>
      </c>
      <c r="AF187" s="3">
        <f>AF185-AF186</f>
        <v/>
      </c>
      <c r="AG187" s="3">
        <f>AG185-AG186</f>
        <v/>
      </c>
      <c r="AH187" s="3">
        <f>AH185-AH186</f>
        <v/>
      </c>
      <c r="AI187" s="3">
        <f>AI185-AI186</f>
        <v/>
      </c>
      <c r="AJ187" s="3">
        <f>AJ185-AJ186</f>
        <v/>
      </c>
      <c r="AK187" s="3">
        <f>AK185-AK186</f>
        <v/>
      </c>
      <c r="AL187" s="3">
        <f>AL185-AL186</f>
        <v/>
      </c>
      <c r="AM187" s="3">
        <f>AM185-AM186</f>
        <v/>
      </c>
      <c r="AN187" s="3">
        <f>AN185-AN186</f>
        <v/>
      </c>
      <c r="AO187" s="3">
        <f>AO185-AO186</f>
        <v/>
      </c>
      <c r="AP187" s="3">
        <f>AP185-AP186</f>
        <v/>
      </c>
      <c r="AQ187" s="3">
        <f>AQ185-AQ186</f>
        <v/>
      </c>
      <c r="AR187" s="3">
        <f>AR185-AR186</f>
        <v/>
      </c>
      <c r="AS187" s="3">
        <f>AS185-AS186</f>
        <v/>
      </c>
      <c r="AT187" s="3">
        <f>AT185-AT186</f>
        <v/>
      </c>
      <c r="AU187" s="3">
        <f>AU185-AU186</f>
        <v/>
      </c>
      <c r="AV187" s="3">
        <f>AV185-AV186</f>
        <v/>
      </c>
      <c r="AW187" s="3">
        <f>AW185-AW186</f>
        <v/>
      </c>
      <c r="AX187" s="3">
        <f>AX185-AX186</f>
        <v/>
      </c>
      <c r="AY187" s="3">
        <f>AY185-AY186</f>
        <v/>
      </c>
      <c r="AZ187" s="3">
        <f>AZ185-AZ186</f>
        <v/>
      </c>
      <c r="BA187" s="3">
        <f>BA185-BA186</f>
        <v/>
      </c>
      <c r="BB187" s="3">
        <f>BB185-BB186</f>
        <v/>
      </c>
      <c r="BC187" s="3">
        <f>BC185-BC186</f>
        <v/>
      </c>
      <c r="BD187" s="3">
        <f>BD185-BD186</f>
        <v/>
      </c>
      <c r="BE187" s="3">
        <f>BE185-BE186</f>
        <v/>
      </c>
      <c r="BF187" s="3">
        <f>BF185-BF186</f>
        <v/>
      </c>
      <c r="BG187" s="3">
        <f>BG185-BG186</f>
        <v/>
      </c>
      <c r="BH187" s="3">
        <f>BH185-BH186</f>
        <v/>
      </c>
      <c r="BI187" s="3">
        <f>BI185-BI186</f>
        <v/>
      </c>
      <c r="BJ187" s="3">
        <f>BJ185-BJ186</f>
        <v/>
      </c>
      <c r="BK187" s="3">
        <f>BK185-BK186</f>
        <v/>
      </c>
      <c r="BL187" s="3">
        <f>BL185-BL186</f>
        <v/>
      </c>
      <c r="BM187" s="3">
        <f>BM185-BM186</f>
        <v/>
      </c>
      <c r="BN187" s="3">
        <f>BN185-BN186</f>
        <v/>
      </c>
      <c r="BO187" s="3">
        <f>BO185-BO186</f>
        <v/>
      </c>
      <c r="BP187" s="3">
        <f>BP185-BP186</f>
        <v/>
      </c>
      <c r="BQ187" s="3">
        <f>BQ185-BQ186</f>
        <v/>
      </c>
      <c r="BR187" s="3">
        <f>BR185-BR186</f>
        <v/>
      </c>
      <c r="BS187" s="3">
        <f>BS185-BS186</f>
        <v/>
      </c>
      <c r="BT187" s="3">
        <f>BT185-BT186</f>
        <v/>
      </c>
      <c r="BU187" s="3">
        <f>BU185-BU186</f>
        <v/>
      </c>
      <c r="BV187" s="3">
        <f>BV185-BV186</f>
        <v/>
      </c>
    </row>
    <row r="188">
      <c r="A188" t="inlineStr">
        <is>
          <t>paid starts</t>
        </is>
      </c>
      <c r="B188" t="inlineStr">
        <is>
          <t>ROW|NITRO_M</t>
        </is>
      </c>
      <c r="C188" s="3">
        <f>C181+C183</f>
        <v/>
      </c>
      <c r="D188" s="3">
        <f>D181+D183</f>
        <v/>
      </c>
      <c r="E188" s="3">
        <f>E181+E183</f>
        <v/>
      </c>
      <c r="F188" s="3">
        <f>F181+F183</f>
        <v/>
      </c>
      <c r="G188" s="3">
        <f>G181+G183</f>
        <v/>
      </c>
      <c r="H188" s="3">
        <f>H181+H183</f>
        <v/>
      </c>
      <c r="I188" s="3">
        <f>I181+I183</f>
        <v/>
      </c>
      <c r="J188" s="3">
        <f>J181+J183</f>
        <v/>
      </c>
      <c r="K188" s="3">
        <f>K181+K183</f>
        <v/>
      </c>
      <c r="L188" s="3">
        <f>L181+L183</f>
        <v/>
      </c>
      <c r="M188" s="3">
        <f>M181+M183</f>
        <v/>
      </c>
      <c r="N188" s="3">
        <f>N181+N183</f>
        <v/>
      </c>
      <c r="O188" s="3">
        <f>O181+O183</f>
        <v/>
      </c>
      <c r="P188" s="3">
        <f>P181+P183</f>
        <v/>
      </c>
      <c r="Q188" s="3">
        <f>Q181+Q183</f>
        <v/>
      </c>
      <c r="R188" s="3">
        <f>R181+R183</f>
        <v/>
      </c>
      <c r="S188" s="3">
        <f>S181+S183</f>
        <v/>
      </c>
      <c r="T188" s="3">
        <f>T181+T183</f>
        <v/>
      </c>
      <c r="U188" s="3">
        <f>U181+U183</f>
        <v/>
      </c>
      <c r="V188" s="3">
        <f>V181+V183</f>
        <v/>
      </c>
      <c r="W188" s="3">
        <f>W181+W183</f>
        <v/>
      </c>
      <c r="X188" s="3">
        <f>X181+X183</f>
        <v/>
      </c>
      <c r="Y188" s="3">
        <f>Y181+Y183</f>
        <v/>
      </c>
      <c r="Z188" s="3">
        <f>Z181+Z183</f>
        <v/>
      </c>
      <c r="AA188" s="3">
        <f>AA181+AA183</f>
        <v/>
      </c>
      <c r="AB188" s="3">
        <f>AB181+AB183</f>
        <v/>
      </c>
      <c r="AC188" s="3">
        <f>AC181+AC183</f>
        <v/>
      </c>
      <c r="AD188" s="3">
        <f>AD181+AD183</f>
        <v/>
      </c>
      <c r="AE188" s="3">
        <f>AE181+AE183</f>
        <v/>
      </c>
      <c r="AF188" s="3">
        <f>AF181+AF183</f>
        <v/>
      </c>
      <c r="AG188" s="3">
        <f>AG181+AG183</f>
        <v/>
      </c>
      <c r="AH188" s="3">
        <f>AH181+AH183</f>
        <v/>
      </c>
      <c r="AI188" s="3">
        <f>AI181+AI183</f>
        <v/>
      </c>
      <c r="AJ188" s="3">
        <f>AJ181+AJ183</f>
        <v/>
      </c>
      <c r="AK188" s="3">
        <f>AK181+AK183</f>
        <v/>
      </c>
      <c r="AL188" s="3">
        <f>AL181+AL183</f>
        <v/>
      </c>
      <c r="AM188" s="3">
        <f>AM181+AM183</f>
        <v/>
      </c>
      <c r="AN188" s="3">
        <f>AN181+AN183</f>
        <v/>
      </c>
      <c r="AO188" s="3">
        <f>AO181+AO183</f>
        <v/>
      </c>
      <c r="AP188" s="3">
        <f>AP181+AP183</f>
        <v/>
      </c>
      <c r="AQ188" s="3">
        <f>AQ181+AQ183</f>
        <v/>
      </c>
      <c r="AR188" s="3">
        <f>AR181+AR183</f>
        <v/>
      </c>
      <c r="AS188" s="3">
        <f>AS181+AS183</f>
        <v/>
      </c>
      <c r="AT188" s="3">
        <f>AT181+AT183</f>
        <v/>
      </c>
      <c r="AU188" s="3">
        <f>AU181+AU183</f>
        <v/>
      </c>
      <c r="AV188" s="3">
        <f>AV181+AV183</f>
        <v/>
      </c>
      <c r="AW188" s="3">
        <f>AW181+AW183</f>
        <v/>
      </c>
      <c r="AX188" s="3">
        <f>AX181+AX183</f>
        <v/>
      </c>
      <c r="AY188" s="3">
        <f>AY181+AY183</f>
        <v/>
      </c>
      <c r="AZ188" s="3">
        <f>AZ181+AZ183</f>
        <v/>
      </c>
      <c r="BA188" s="3">
        <f>BA181+BA183</f>
        <v/>
      </c>
      <c r="BB188" s="3">
        <f>BB181+BB183</f>
        <v/>
      </c>
      <c r="BC188" s="3">
        <f>BC181+BC183</f>
        <v/>
      </c>
      <c r="BD188" s="3">
        <f>BD181+BD183</f>
        <v/>
      </c>
      <c r="BE188" s="3">
        <f>BE181+BE183</f>
        <v/>
      </c>
      <c r="BF188" s="3">
        <f>BF181+BF183</f>
        <v/>
      </c>
      <c r="BG188" s="3">
        <f>BG181+BG183</f>
        <v/>
      </c>
      <c r="BH188" s="3">
        <f>BH181+BH183</f>
        <v/>
      </c>
      <c r="BI188" s="3">
        <f>BI181+BI183</f>
        <v/>
      </c>
      <c r="BJ188" s="3">
        <f>BJ181+BJ183</f>
        <v/>
      </c>
      <c r="BK188" s="3">
        <f>BK181+BK183</f>
        <v/>
      </c>
      <c r="BL188" s="3">
        <f>BL181+BL183</f>
        <v/>
      </c>
      <c r="BM188" s="3">
        <f>BM181+BM183</f>
        <v/>
      </c>
      <c r="BN188" s="3">
        <f>BN181+BN183</f>
        <v/>
      </c>
      <c r="BO188" s="3">
        <f>BO181+BO183</f>
        <v/>
      </c>
      <c r="BP188" s="3">
        <f>BP181+BP183</f>
        <v/>
      </c>
      <c r="BQ188" s="3">
        <f>BQ181+BQ183</f>
        <v/>
      </c>
      <c r="BR188" s="3">
        <f>BR181+BR183</f>
        <v/>
      </c>
      <c r="BS188" s="3">
        <f>BS181+BS183</f>
        <v/>
      </c>
      <c r="BT188" s="3">
        <f>BT181+BT183</f>
        <v/>
      </c>
      <c r="BU188" s="3">
        <f>BU181+BU183</f>
        <v/>
      </c>
      <c r="BV188" s="3">
        <f>BV181+BV183</f>
        <v/>
      </c>
    </row>
    <row r="190">
      <c r="A190" t="inlineStr">
        <is>
          <t>gross adds</t>
        </is>
      </c>
      <c r="B190" t="inlineStr">
        <is>
          <t>ROW|NITRO_A</t>
        </is>
      </c>
      <c r="C190" s="3">
        <f>MAU!C8*Params!$B$40*Params!$B$5*Params!$B$87*Params!$B$72</f>
        <v/>
      </c>
      <c r="D190" s="3">
        <f>MAU!D8*Params!$B$40*Params!$B$5*Params!$B$87*Params!$B$72</f>
        <v/>
      </c>
      <c r="E190" s="3">
        <f>MAU!E8*Params!$B$40*Params!$B$5*Params!$B$87*Params!$B$72</f>
        <v/>
      </c>
      <c r="F190" s="3">
        <f>MAU!F8*Params!$B$40*Params!$B$5*Params!$B$87*Params!$B$72</f>
        <v/>
      </c>
      <c r="G190" s="3">
        <f>MAU!G8*Params!$B$40*Params!$B$5*Params!$B$87*Params!$B$72</f>
        <v/>
      </c>
      <c r="H190" s="3">
        <f>MAU!H8*Params!$B$40*Params!$B$5*Params!$B$87*Params!$B$72</f>
        <v/>
      </c>
      <c r="I190" s="3">
        <f>MAU!I8*Params!$B$40*Params!$B$5*Params!$B$87*Params!$B$72</f>
        <v/>
      </c>
      <c r="J190" s="3">
        <f>MAU!J8*Params!$B$40*Params!$B$5*Params!$B$87*Params!$B$72</f>
        <v/>
      </c>
      <c r="K190" s="3">
        <f>MAU!K8*Params!$B$40*Params!$B$5*Params!$B$87*Params!$B$72</f>
        <v/>
      </c>
      <c r="L190" s="3">
        <f>MAU!L8*Params!$B$40*Params!$B$5*Params!$B$87*Params!$B$72</f>
        <v/>
      </c>
      <c r="M190" s="3">
        <f>MAU!M8*Params!$B$40*Params!$B$5*Params!$B$87*Params!$B$72</f>
        <v/>
      </c>
      <c r="N190" s="3">
        <f>MAU!N8*Params!$B$40*Params!$B$5*Params!$B$87*Params!$B$72</f>
        <v/>
      </c>
      <c r="O190" s="3">
        <f>MAU!O8*Params!$B$40*Params!$B$5*Params!$B$87*Params!$B$72</f>
        <v/>
      </c>
      <c r="P190" s="3">
        <f>MAU!P8*Params!$B$40*Params!$B$5*Params!$B$87*Params!$B$72</f>
        <v/>
      </c>
      <c r="Q190" s="3">
        <f>MAU!Q8*Params!$B$40*Params!$B$5*Params!$B$87*Params!$B$72</f>
        <v/>
      </c>
      <c r="R190" s="3">
        <f>MAU!R8*Params!$B$40*Params!$B$5*Params!$B$87*Params!$B$72</f>
        <v/>
      </c>
      <c r="S190" s="3">
        <f>MAU!S8*Params!$B$40*Params!$B$5*Params!$B$87*Params!$B$72</f>
        <v/>
      </c>
      <c r="T190" s="3">
        <f>MAU!T8*Params!$B$40*Params!$B$5*Params!$B$87*Params!$B$72</f>
        <v/>
      </c>
      <c r="U190" s="3">
        <f>MAU!U8*Params!$B$40*Params!$B$5*Params!$B$87*Params!$B$72</f>
        <v/>
      </c>
      <c r="V190" s="3">
        <f>MAU!V8*Params!$B$40*Params!$B$5*Params!$B$87*Params!$B$72</f>
        <v/>
      </c>
      <c r="W190" s="3">
        <f>MAU!W8*Params!$B$40*Params!$B$5*Params!$B$87*Params!$B$72</f>
        <v/>
      </c>
      <c r="X190" s="3">
        <f>MAU!X8*Params!$B$40*Params!$B$5*Params!$B$87*Params!$B$72</f>
        <v/>
      </c>
      <c r="Y190" s="3">
        <f>MAU!Y8*Params!$B$40*Params!$B$5*Params!$B$87*Params!$B$72</f>
        <v/>
      </c>
      <c r="Z190" s="3">
        <f>MAU!Z8*Params!$B$40*Params!$B$5*Params!$B$87*Params!$B$72</f>
        <v/>
      </c>
      <c r="AA190" s="3">
        <f>MAU!AA8*Params!$B$40*Params!$B$5*Params!$B$87*Params!$B$72</f>
        <v/>
      </c>
      <c r="AB190" s="3">
        <f>MAU!AB8*Params!$B$40*Params!$B$5*Params!$B$87*Params!$B$72</f>
        <v/>
      </c>
      <c r="AC190" s="3">
        <f>MAU!AC8*Params!$B$40*Params!$B$5*Params!$B$87*Params!$B$72</f>
        <v/>
      </c>
      <c r="AD190" s="3">
        <f>MAU!AD8*Params!$B$40*Params!$B$5*Params!$B$87*Params!$B$72</f>
        <v/>
      </c>
      <c r="AE190" s="3">
        <f>MAU!AE8*Params!$B$40*Params!$B$5*Params!$B$87*Params!$B$72</f>
        <v/>
      </c>
      <c r="AF190" s="3">
        <f>MAU!AF8*Params!$B$40*Params!$B$5*Params!$B$87*Params!$B$72</f>
        <v/>
      </c>
      <c r="AG190" s="3">
        <f>MAU!AG8*Params!$B$40*Params!$B$5*Params!$B$87*Params!$B$72</f>
        <v/>
      </c>
      <c r="AH190" s="3">
        <f>MAU!AH8*Params!$B$40*Params!$B$5*Params!$B$87*Params!$B$72</f>
        <v/>
      </c>
      <c r="AI190" s="3">
        <f>MAU!AI8*Params!$B$40*Params!$B$5*Params!$B$87*Params!$B$72</f>
        <v/>
      </c>
      <c r="AJ190" s="3">
        <f>MAU!AJ8*Params!$B$40*Params!$B$5*Params!$B$87*Params!$B$72</f>
        <v/>
      </c>
      <c r="AK190" s="3">
        <f>MAU!AK8*Params!$B$40*Params!$B$5*Params!$B$87*Params!$B$72</f>
        <v/>
      </c>
      <c r="AL190" s="3">
        <f>MAU!AL8*Params!$B$40*Params!$B$5*Params!$B$87*Params!$B$72</f>
        <v/>
      </c>
      <c r="AM190" s="3">
        <f>MAU!AM8*Params!$B$40*Params!$B$5*Params!$B$87*Params!$B$72</f>
        <v/>
      </c>
      <c r="AN190" s="3">
        <f>MAU!AN8*Params!$B$40*Params!$B$5*Params!$B$87*Params!$B$72</f>
        <v/>
      </c>
      <c r="AO190" s="3">
        <f>MAU!AO8*Params!$B$40*Params!$B$5*Params!$B$87*Params!$B$72</f>
        <v/>
      </c>
      <c r="AP190" s="3">
        <f>MAU!AP8*Params!$B$40*Params!$B$5*Params!$B$87*Params!$B$72</f>
        <v/>
      </c>
      <c r="AQ190" s="3">
        <f>MAU!AQ8*Params!$B$40*Params!$B$5*Params!$B$87*Params!$B$72</f>
        <v/>
      </c>
      <c r="AR190" s="3">
        <f>MAU!AR8*Params!$B$40*Params!$B$5*Params!$B$87*Params!$B$72</f>
        <v/>
      </c>
      <c r="AS190" s="3">
        <f>MAU!AS8*Params!$B$40*Params!$B$5*Params!$B$87*Params!$B$72</f>
        <v/>
      </c>
      <c r="AT190" s="3">
        <f>MAU!AT8*Params!$B$40*Params!$B$5*Params!$B$87*Params!$B$72</f>
        <v/>
      </c>
      <c r="AU190" s="3">
        <f>MAU!AU8*Params!$B$40*Params!$B$5*Params!$B$87*Params!$B$72</f>
        <v/>
      </c>
      <c r="AV190" s="3">
        <f>MAU!AV8*Params!$B$40*Params!$B$5*Params!$B$87*Params!$B$72</f>
        <v/>
      </c>
      <c r="AW190" s="3">
        <f>MAU!AW8*Params!$B$40*Params!$B$5*Params!$B$87*Params!$B$72</f>
        <v/>
      </c>
      <c r="AX190" s="3">
        <f>MAU!AX8*Params!$B$40*Params!$B$5*Params!$B$87*Params!$B$72</f>
        <v/>
      </c>
      <c r="AY190" s="3">
        <f>MAU!AY8*Params!$B$40*Params!$B$5*Params!$B$87*Params!$B$72</f>
        <v/>
      </c>
      <c r="AZ190" s="3">
        <f>MAU!AZ8*Params!$B$40*Params!$B$5*Params!$B$87*Params!$B$72</f>
        <v/>
      </c>
      <c r="BA190" s="3">
        <f>MAU!BA8*Params!$B$40*Params!$B$5*Params!$B$87*Params!$B$72</f>
        <v/>
      </c>
      <c r="BB190" s="3">
        <f>MAU!BB8*Params!$B$40*Params!$B$5*Params!$B$87*Params!$B$72</f>
        <v/>
      </c>
      <c r="BC190" s="3">
        <f>MAU!BC8*Params!$B$40*Params!$B$5*Params!$B$87*Params!$B$72</f>
        <v/>
      </c>
      <c r="BD190" s="3">
        <f>MAU!BD8*Params!$B$40*Params!$B$5*Params!$B$87*Params!$B$72</f>
        <v/>
      </c>
      <c r="BE190" s="3">
        <f>MAU!BE8*Params!$B$40*Params!$B$5*Params!$B$87*Params!$B$72</f>
        <v/>
      </c>
      <c r="BF190" s="3">
        <f>MAU!BF8*Params!$B$40*Params!$B$5*Params!$B$87*Params!$B$72</f>
        <v/>
      </c>
      <c r="BG190" s="3">
        <f>MAU!BG8*Params!$B$40*Params!$B$5*Params!$B$87*Params!$B$72</f>
        <v/>
      </c>
      <c r="BH190" s="3">
        <f>MAU!BH8*Params!$B$40*Params!$B$5*Params!$B$87*Params!$B$72</f>
        <v/>
      </c>
      <c r="BI190" s="3">
        <f>MAU!BI8*Params!$B$40*Params!$B$5*Params!$B$87*Params!$B$72</f>
        <v/>
      </c>
      <c r="BJ190" s="3">
        <f>MAU!BJ8*Params!$B$40*Params!$B$5*Params!$B$87*Params!$B$72</f>
        <v/>
      </c>
      <c r="BK190" s="3">
        <f>MAU!BK8*Params!$B$40*Params!$B$5*Params!$B$87*Params!$B$72</f>
        <v/>
      </c>
      <c r="BL190" s="3">
        <f>MAU!BL8*Params!$B$40*Params!$B$5*Params!$B$87*Params!$B$72</f>
        <v/>
      </c>
      <c r="BM190" s="3">
        <f>MAU!BM8*Params!$B$40*Params!$B$5*Params!$B$87*Params!$B$72</f>
        <v/>
      </c>
      <c r="BN190" s="3">
        <f>MAU!BN8*Params!$B$40*Params!$B$5*Params!$B$87*Params!$B$72</f>
        <v/>
      </c>
      <c r="BO190" s="3">
        <f>MAU!BO8*Params!$B$40*Params!$B$5*Params!$B$87*Params!$B$72</f>
        <v/>
      </c>
      <c r="BP190" s="3">
        <f>MAU!BP8*Params!$B$40*Params!$B$5*Params!$B$87*Params!$B$72</f>
        <v/>
      </c>
      <c r="BQ190" s="3">
        <f>MAU!BQ8*Params!$B$40*Params!$B$5*Params!$B$87*Params!$B$72</f>
        <v/>
      </c>
      <c r="BR190" s="3">
        <f>MAU!BR8*Params!$B$40*Params!$B$5*Params!$B$87*Params!$B$72</f>
        <v/>
      </c>
      <c r="BS190" s="3">
        <f>MAU!BS8*Params!$B$40*Params!$B$5*Params!$B$87*Params!$B$72</f>
        <v/>
      </c>
      <c r="BT190" s="3">
        <f>MAU!BT8*Params!$B$40*Params!$B$5*Params!$B$87*Params!$B$72</f>
        <v/>
      </c>
      <c r="BU190" s="3">
        <f>MAU!BU8*Params!$B$40*Params!$B$5*Params!$B$87*Params!$B$72</f>
        <v/>
      </c>
      <c r="BV190" s="3">
        <f>MAU!BV8*Params!$B$40*Params!$B$5*Params!$B$87*Params!$B$72</f>
        <v/>
      </c>
    </row>
    <row r="191">
      <c r="A191" t="inlineStr">
        <is>
          <t>trial starts</t>
        </is>
      </c>
      <c r="B191" t="inlineStr">
        <is>
          <t>ROW|NITRO_A</t>
        </is>
      </c>
      <c r="C191" s="3">
        <f>C190*Params!$B$6</f>
        <v/>
      </c>
      <c r="D191" s="3">
        <f>D190*Params!$B$6</f>
        <v/>
      </c>
      <c r="E191" s="3">
        <f>E190*Params!$B$6</f>
        <v/>
      </c>
      <c r="F191" s="3">
        <f>F190*Params!$B$6</f>
        <v/>
      </c>
      <c r="G191" s="3">
        <f>G190*Params!$B$6</f>
        <v/>
      </c>
      <c r="H191" s="3">
        <f>H190*Params!$B$6</f>
        <v/>
      </c>
      <c r="I191" s="3">
        <f>I190*Params!$B$6</f>
        <v/>
      </c>
      <c r="J191" s="3">
        <f>J190*Params!$B$6</f>
        <v/>
      </c>
      <c r="K191" s="3">
        <f>K190*Params!$B$6</f>
        <v/>
      </c>
      <c r="L191" s="3">
        <f>L190*Params!$B$6</f>
        <v/>
      </c>
      <c r="M191" s="3">
        <f>M190*Params!$B$6</f>
        <v/>
      </c>
      <c r="N191" s="3">
        <f>N190*Params!$B$6</f>
        <v/>
      </c>
      <c r="O191" s="3">
        <f>O190*Params!$B$6</f>
        <v/>
      </c>
      <c r="P191" s="3">
        <f>P190*Params!$B$6</f>
        <v/>
      </c>
      <c r="Q191" s="3">
        <f>Q190*Params!$B$6</f>
        <v/>
      </c>
      <c r="R191" s="3">
        <f>R190*Params!$B$6</f>
        <v/>
      </c>
      <c r="S191" s="3">
        <f>S190*Params!$B$6</f>
        <v/>
      </c>
      <c r="T191" s="3">
        <f>T190*Params!$B$6</f>
        <v/>
      </c>
      <c r="U191" s="3">
        <f>U190*Params!$B$6</f>
        <v/>
      </c>
      <c r="V191" s="3">
        <f>V190*Params!$B$6</f>
        <v/>
      </c>
      <c r="W191" s="3">
        <f>W190*Params!$B$6</f>
        <v/>
      </c>
      <c r="X191" s="3">
        <f>X190*Params!$B$6</f>
        <v/>
      </c>
      <c r="Y191" s="3">
        <f>Y190*Params!$B$6</f>
        <v/>
      </c>
      <c r="Z191" s="3">
        <f>Z190*Params!$B$6</f>
        <v/>
      </c>
      <c r="AA191" s="3">
        <f>AA190*Params!$B$6</f>
        <v/>
      </c>
      <c r="AB191" s="3">
        <f>AB190*Params!$B$6</f>
        <v/>
      </c>
      <c r="AC191" s="3">
        <f>AC190*Params!$B$6</f>
        <v/>
      </c>
      <c r="AD191" s="3">
        <f>AD190*Params!$B$6</f>
        <v/>
      </c>
      <c r="AE191" s="3">
        <f>AE190*Params!$B$6</f>
        <v/>
      </c>
      <c r="AF191" s="3">
        <f>AF190*Params!$B$6</f>
        <v/>
      </c>
      <c r="AG191" s="3">
        <f>AG190*Params!$B$6</f>
        <v/>
      </c>
      <c r="AH191" s="3">
        <f>AH190*Params!$B$6</f>
        <v/>
      </c>
      <c r="AI191" s="3">
        <f>AI190*Params!$B$6</f>
        <v/>
      </c>
      <c r="AJ191" s="3">
        <f>AJ190*Params!$B$6</f>
        <v/>
      </c>
      <c r="AK191" s="3">
        <f>AK190*Params!$B$6</f>
        <v/>
      </c>
      <c r="AL191" s="3">
        <f>AL190*Params!$B$6</f>
        <v/>
      </c>
      <c r="AM191" s="3">
        <f>AM190*Params!$B$6</f>
        <v/>
      </c>
      <c r="AN191" s="3">
        <f>AN190*Params!$B$6</f>
        <v/>
      </c>
      <c r="AO191" s="3">
        <f>AO190*Params!$B$6</f>
        <v/>
      </c>
      <c r="AP191" s="3">
        <f>AP190*Params!$B$6</f>
        <v/>
      </c>
      <c r="AQ191" s="3">
        <f>AQ190*Params!$B$6</f>
        <v/>
      </c>
      <c r="AR191" s="3">
        <f>AR190*Params!$B$6</f>
        <v/>
      </c>
      <c r="AS191" s="3">
        <f>AS190*Params!$B$6</f>
        <v/>
      </c>
      <c r="AT191" s="3">
        <f>AT190*Params!$B$6</f>
        <v/>
      </c>
      <c r="AU191" s="3">
        <f>AU190*Params!$B$6</f>
        <v/>
      </c>
      <c r="AV191" s="3">
        <f>AV190*Params!$B$6</f>
        <v/>
      </c>
      <c r="AW191" s="3">
        <f>AW190*Params!$B$6</f>
        <v/>
      </c>
      <c r="AX191" s="3">
        <f>AX190*Params!$B$6</f>
        <v/>
      </c>
      <c r="AY191" s="3">
        <f>AY190*Params!$B$6</f>
        <v/>
      </c>
      <c r="AZ191" s="3">
        <f>AZ190*Params!$B$6</f>
        <v/>
      </c>
      <c r="BA191" s="3">
        <f>BA190*Params!$B$6</f>
        <v/>
      </c>
      <c r="BB191" s="3">
        <f>BB190*Params!$B$6</f>
        <v/>
      </c>
      <c r="BC191" s="3">
        <f>BC190*Params!$B$6</f>
        <v/>
      </c>
      <c r="BD191" s="3">
        <f>BD190*Params!$B$6</f>
        <v/>
      </c>
      <c r="BE191" s="3">
        <f>BE190*Params!$B$6</f>
        <v/>
      </c>
      <c r="BF191" s="3">
        <f>BF190*Params!$B$6</f>
        <v/>
      </c>
      <c r="BG191" s="3">
        <f>BG190*Params!$B$6</f>
        <v/>
      </c>
      <c r="BH191" s="3">
        <f>BH190*Params!$B$6</f>
        <v/>
      </c>
      <c r="BI191" s="3">
        <f>BI190*Params!$B$6</f>
        <v/>
      </c>
      <c r="BJ191" s="3">
        <f>BJ190*Params!$B$6</f>
        <v/>
      </c>
      <c r="BK191" s="3">
        <f>BK190*Params!$B$6</f>
        <v/>
      </c>
      <c r="BL191" s="3">
        <f>BL190*Params!$B$6</f>
        <v/>
      </c>
      <c r="BM191" s="3">
        <f>BM190*Params!$B$6</f>
        <v/>
      </c>
      <c r="BN191" s="3">
        <f>BN190*Params!$B$6</f>
        <v/>
      </c>
      <c r="BO191" s="3">
        <f>BO190*Params!$B$6</f>
        <v/>
      </c>
      <c r="BP191" s="3">
        <f>BP190*Params!$B$6</f>
        <v/>
      </c>
      <c r="BQ191" s="3">
        <f>BQ190*Params!$B$6</f>
        <v/>
      </c>
      <c r="BR191" s="3">
        <f>BR190*Params!$B$6</f>
        <v/>
      </c>
      <c r="BS191" s="3">
        <f>BS190*Params!$B$6</f>
        <v/>
      </c>
      <c r="BT191" s="3">
        <f>BT190*Params!$B$6</f>
        <v/>
      </c>
      <c r="BU191" s="3">
        <f>BU190*Params!$B$6</f>
        <v/>
      </c>
      <c r="BV191" s="3">
        <f>BV190*Params!$B$6</f>
        <v/>
      </c>
    </row>
    <row r="192">
      <c r="A192" t="inlineStr">
        <is>
          <t>direct paid starts</t>
        </is>
      </c>
      <c r="B192" t="inlineStr">
        <is>
          <t>ROW|NITRO_A</t>
        </is>
      </c>
      <c r="C192" s="3">
        <f>C190-C191</f>
        <v/>
      </c>
      <c r="D192" s="3">
        <f>D190-D191</f>
        <v/>
      </c>
      <c r="E192" s="3">
        <f>E190-E191</f>
        <v/>
      </c>
      <c r="F192" s="3">
        <f>F190-F191</f>
        <v/>
      </c>
      <c r="G192" s="3">
        <f>G190-G191</f>
        <v/>
      </c>
      <c r="H192" s="3">
        <f>H190-H191</f>
        <v/>
      </c>
      <c r="I192" s="3">
        <f>I190-I191</f>
        <v/>
      </c>
      <c r="J192" s="3">
        <f>J190-J191</f>
        <v/>
      </c>
      <c r="K192" s="3">
        <f>K190-K191</f>
        <v/>
      </c>
      <c r="L192" s="3">
        <f>L190-L191</f>
        <v/>
      </c>
      <c r="M192" s="3">
        <f>M190-M191</f>
        <v/>
      </c>
      <c r="N192" s="3">
        <f>N190-N191</f>
        <v/>
      </c>
      <c r="O192" s="3">
        <f>O190-O191</f>
        <v/>
      </c>
      <c r="P192" s="3">
        <f>P190-P191</f>
        <v/>
      </c>
      <c r="Q192" s="3">
        <f>Q190-Q191</f>
        <v/>
      </c>
      <c r="R192" s="3">
        <f>R190-R191</f>
        <v/>
      </c>
      <c r="S192" s="3">
        <f>S190-S191</f>
        <v/>
      </c>
      <c r="T192" s="3">
        <f>T190-T191</f>
        <v/>
      </c>
      <c r="U192" s="3">
        <f>U190-U191</f>
        <v/>
      </c>
      <c r="V192" s="3">
        <f>V190-V191</f>
        <v/>
      </c>
      <c r="W192" s="3">
        <f>W190-W191</f>
        <v/>
      </c>
      <c r="X192" s="3">
        <f>X190-X191</f>
        <v/>
      </c>
      <c r="Y192" s="3">
        <f>Y190-Y191</f>
        <v/>
      </c>
      <c r="Z192" s="3">
        <f>Z190-Z191</f>
        <v/>
      </c>
      <c r="AA192" s="3">
        <f>AA190-AA191</f>
        <v/>
      </c>
      <c r="AB192" s="3">
        <f>AB190-AB191</f>
        <v/>
      </c>
      <c r="AC192" s="3">
        <f>AC190-AC191</f>
        <v/>
      </c>
      <c r="AD192" s="3">
        <f>AD190-AD191</f>
        <v/>
      </c>
      <c r="AE192" s="3">
        <f>AE190-AE191</f>
        <v/>
      </c>
      <c r="AF192" s="3">
        <f>AF190-AF191</f>
        <v/>
      </c>
      <c r="AG192" s="3">
        <f>AG190-AG191</f>
        <v/>
      </c>
      <c r="AH192" s="3">
        <f>AH190-AH191</f>
        <v/>
      </c>
      <c r="AI192" s="3">
        <f>AI190-AI191</f>
        <v/>
      </c>
      <c r="AJ192" s="3">
        <f>AJ190-AJ191</f>
        <v/>
      </c>
      <c r="AK192" s="3">
        <f>AK190-AK191</f>
        <v/>
      </c>
      <c r="AL192" s="3">
        <f>AL190-AL191</f>
        <v/>
      </c>
      <c r="AM192" s="3">
        <f>AM190-AM191</f>
        <v/>
      </c>
      <c r="AN192" s="3">
        <f>AN190-AN191</f>
        <v/>
      </c>
      <c r="AO192" s="3">
        <f>AO190-AO191</f>
        <v/>
      </c>
      <c r="AP192" s="3">
        <f>AP190-AP191</f>
        <v/>
      </c>
      <c r="AQ192" s="3">
        <f>AQ190-AQ191</f>
        <v/>
      </c>
      <c r="AR192" s="3">
        <f>AR190-AR191</f>
        <v/>
      </c>
      <c r="AS192" s="3">
        <f>AS190-AS191</f>
        <v/>
      </c>
      <c r="AT192" s="3">
        <f>AT190-AT191</f>
        <v/>
      </c>
      <c r="AU192" s="3">
        <f>AU190-AU191</f>
        <v/>
      </c>
      <c r="AV192" s="3">
        <f>AV190-AV191</f>
        <v/>
      </c>
      <c r="AW192" s="3">
        <f>AW190-AW191</f>
        <v/>
      </c>
      <c r="AX192" s="3">
        <f>AX190-AX191</f>
        <v/>
      </c>
      <c r="AY192" s="3">
        <f>AY190-AY191</f>
        <v/>
      </c>
      <c r="AZ192" s="3">
        <f>AZ190-AZ191</f>
        <v/>
      </c>
      <c r="BA192" s="3">
        <f>BA190-BA191</f>
        <v/>
      </c>
      <c r="BB192" s="3">
        <f>BB190-BB191</f>
        <v/>
      </c>
      <c r="BC192" s="3">
        <f>BC190-BC191</f>
        <v/>
      </c>
      <c r="BD192" s="3">
        <f>BD190-BD191</f>
        <v/>
      </c>
      <c r="BE192" s="3">
        <f>BE190-BE191</f>
        <v/>
      </c>
      <c r="BF192" s="3">
        <f>BF190-BF191</f>
        <v/>
      </c>
      <c r="BG192" s="3">
        <f>BG190-BG191</f>
        <v/>
      </c>
      <c r="BH192" s="3">
        <f>BH190-BH191</f>
        <v/>
      </c>
      <c r="BI192" s="3">
        <f>BI190-BI191</f>
        <v/>
      </c>
      <c r="BJ192" s="3">
        <f>BJ190-BJ191</f>
        <v/>
      </c>
      <c r="BK192" s="3">
        <f>BK190-BK191</f>
        <v/>
      </c>
      <c r="BL192" s="3">
        <f>BL190-BL191</f>
        <v/>
      </c>
      <c r="BM192" s="3">
        <f>BM190-BM191</f>
        <v/>
      </c>
      <c r="BN192" s="3">
        <f>BN190-BN191</f>
        <v/>
      </c>
      <c r="BO192" s="3">
        <f>BO190-BO191</f>
        <v/>
      </c>
      <c r="BP192" s="3">
        <f>BP190-BP191</f>
        <v/>
      </c>
      <c r="BQ192" s="3">
        <f>BQ190-BQ191</f>
        <v/>
      </c>
      <c r="BR192" s="3">
        <f>BR190-BR191</f>
        <v/>
      </c>
      <c r="BS192" s="3">
        <f>BS190-BS191</f>
        <v/>
      </c>
      <c r="BT192" s="3">
        <f>BT190-BT191</f>
        <v/>
      </c>
      <c r="BU192" s="3">
        <f>BU190-BU191</f>
        <v/>
      </c>
      <c r="BV192" s="3">
        <f>BV190-BV191</f>
        <v/>
      </c>
    </row>
    <row r="193">
      <c r="A193" t="inlineStr">
        <is>
          <t>trials ending</t>
        </is>
      </c>
      <c r="B193" t="inlineStr">
        <is>
          <t>ROW|NITRO_A</t>
        </is>
      </c>
      <c r="C193" s="3">
        <f>IF(C$2&gt;=Params!$B$7,INDEX($C$191:$BV$191,C$2-Params!$B$7+1),0)</f>
        <v/>
      </c>
      <c r="D193" s="3">
        <f>IF(D$2&gt;=Params!$B$7,INDEX($C$191:$BV$191,D$2-Params!$B$7+1),0)</f>
        <v/>
      </c>
      <c r="E193" s="3">
        <f>IF(E$2&gt;=Params!$B$7,INDEX($C$191:$BV$191,E$2-Params!$B$7+1),0)</f>
        <v/>
      </c>
      <c r="F193" s="3">
        <f>IF(F$2&gt;=Params!$B$7,INDEX($C$191:$BV$191,F$2-Params!$B$7+1),0)</f>
        <v/>
      </c>
      <c r="G193" s="3">
        <f>IF(G$2&gt;=Params!$B$7,INDEX($C$191:$BV$191,G$2-Params!$B$7+1),0)</f>
        <v/>
      </c>
      <c r="H193" s="3">
        <f>IF(H$2&gt;=Params!$B$7,INDEX($C$191:$BV$191,H$2-Params!$B$7+1),0)</f>
        <v/>
      </c>
      <c r="I193" s="3">
        <f>IF(I$2&gt;=Params!$B$7,INDEX($C$191:$BV$191,I$2-Params!$B$7+1),0)</f>
        <v/>
      </c>
      <c r="J193" s="3">
        <f>IF(J$2&gt;=Params!$B$7,INDEX($C$191:$BV$191,J$2-Params!$B$7+1),0)</f>
        <v/>
      </c>
      <c r="K193" s="3">
        <f>IF(K$2&gt;=Params!$B$7,INDEX($C$191:$BV$191,K$2-Params!$B$7+1),0)</f>
        <v/>
      </c>
      <c r="L193" s="3">
        <f>IF(L$2&gt;=Params!$B$7,INDEX($C$191:$BV$191,L$2-Params!$B$7+1),0)</f>
        <v/>
      </c>
      <c r="M193" s="3">
        <f>IF(M$2&gt;=Params!$B$7,INDEX($C$191:$BV$191,M$2-Params!$B$7+1),0)</f>
        <v/>
      </c>
      <c r="N193" s="3">
        <f>IF(N$2&gt;=Params!$B$7,INDEX($C$191:$BV$191,N$2-Params!$B$7+1),0)</f>
        <v/>
      </c>
      <c r="O193" s="3">
        <f>IF(O$2&gt;=Params!$B$7,INDEX($C$191:$BV$191,O$2-Params!$B$7+1),0)</f>
        <v/>
      </c>
      <c r="P193" s="3">
        <f>IF(P$2&gt;=Params!$B$7,INDEX($C$191:$BV$191,P$2-Params!$B$7+1),0)</f>
        <v/>
      </c>
      <c r="Q193" s="3">
        <f>IF(Q$2&gt;=Params!$B$7,INDEX($C$191:$BV$191,Q$2-Params!$B$7+1),0)</f>
        <v/>
      </c>
      <c r="R193" s="3">
        <f>IF(R$2&gt;=Params!$B$7,INDEX($C$191:$BV$191,R$2-Params!$B$7+1),0)</f>
        <v/>
      </c>
      <c r="S193" s="3">
        <f>IF(S$2&gt;=Params!$B$7,INDEX($C$191:$BV$191,S$2-Params!$B$7+1),0)</f>
        <v/>
      </c>
      <c r="T193" s="3">
        <f>IF(T$2&gt;=Params!$B$7,INDEX($C$191:$BV$191,T$2-Params!$B$7+1),0)</f>
        <v/>
      </c>
      <c r="U193" s="3">
        <f>IF(U$2&gt;=Params!$B$7,INDEX($C$191:$BV$191,U$2-Params!$B$7+1),0)</f>
        <v/>
      </c>
      <c r="V193" s="3">
        <f>IF(V$2&gt;=Params!$B$7,INDEX($C$191:$BV$191,V$2-Params!$B$7+1),0)</f>
        <v/>
      </c>
      <c r="W193" s="3">
        <f>IF(W$2&gt;=Params!$B$7,INDEX($C$191:$BV$191,W$2-Params!$B$7+1),0)</f>
        <v/>
      </c>
      <c r="X193" s="3">
        <f>IF(X$2&gt;=Params!$B$7,INDEX($C$191:$BV$191,X$2-Params!$B$7+1),0)</f>
        <v/>
      </c>
      <c r="Y193" s="3">
        <f>IF(Y$2&gt;=Params!$B$7,INDEX($C$191:$BV$191,Y$2-Params!$B$7+1),0)</f>
        <v/>
      </c>
      <c r="Z193" s="3">
        <f>IF(Z$2&gt;=Params!$B$7,INDEX($C$191:$BV$191,Z$2-Params!$B$7+1),0)</f>
        <v/>
      </c>
      <c r="AA193" s="3">
        <f>IF(AA$2&gt;=Params!$B$7,INDEX($C$191:$BV$191,AA$2-Params!$B$7+1),0)</f>
        <v/>
      </c>
      <c r="AB193" s="3">
        <f>IF(AB$2&gt;=Params!$B$7,INDEX($C$191:$BV$191,AB$2-Params!$B$7+1),0)</f>
        <v/>
      </c>
      <c r="AC193" s="3">
        <f>IF(AC$2&gt;=Params!$B$7,INDEX($C$191:$BV$191,AC$2-Params!$B$7+1),0)</f>
        <v/>
      </c>
      <c r="AD193" s="3">
        <f>IF(AD$2&gt;=Params!$B$7,INDEX($C$191:$BV$191,AD$2-Params!$B$7+1),0)</f>
        <v/>
      </c>
      <c r="AE193" s="3">
        <f>IF(AE$2&gt;=Params!$B$7,INDEX($C$191:$BV$191,AE$2-Params!$B$7+1),0)</f>
        <v/>
      </c>
      <c r="AF193" s="3">
        <f>IF(AF$2&gt;=Params!$B$7,INDEX($C$191:$BV$191,AF$2-Params!$B$7+1),0)</f>
        <v/>
      </c>
      <c r="AG193" s="3">
        <f>IF(AG$2&gt;=Params!$B$7,INDEX($C$191:$BV$191,AG$2-Params!$B$7+1),0)</f>
        <v/>
      </c>
      <c r="AH193" s="3">
        <f>IF(AH$2&gt;=Params!$B$7,INDEX($C$191:$BV$191,AH$2-Params!$B$7+1),0)</f>
        <v/>
      </c>
      <c r="AI193" s="3">
        <f>IF(AI$2&gt;=Params!$B$7,INDEX($C$191:$BV$191,AI$2-Params!$B$7+1),0)</f>
        <v/>
      </c>
      <c r="AJ193" s="3">
        <f>IF(AJ$2&gt;=Params!$B$7,INDEX($C$191:$BV$191,AJ$2-Params!$B$7+1),0)</f>
        <v/>
      </c>
      <c r="AK193" s="3">
        <f>IF(AK$2&gt;=Params!$B$7,INDEX($C$191:$BV$191,AK$2-Params!$B$7+1),0)</f>
        <v/>
      </c>
      <c r="AL193" s="3">
        <f>IF(AL$2&gt;=Params!$B$7,INDEX($C$191:$BV$191,AL$2-Params!$B$7+1),0)</f>
        <v/>
      </c>
      <c r="AM193" s="3">
        <f>IF(AM$2&gt;=Params!$B$7,INDEX($C$191:$BV$191,AM$2-Params!$B$7+1),0)</f>
        <v/>
      </c>
      <c r="AN193" s="3">
        <f>IF(AN$2&gt;=Params!$B$7,INDEX($C$191:$BV$191,AN$2-Params!$B$7+1),0)</f>
        <v/>
      </c>
      <c r="AO193" s="3">
        <f>IF(AO$2&gt;=Params!$B$7,INDEX($C$191:$BV$191,AO$2-Params!$B$7+1),0)</f>
        <v/>
      </c>
      <c r="AP193" s="3">
        <f>IF(AP$2&gt;=Params!$B$7,INDEX($C$191:$BV$191,AP$2-Params!$B$7+1),0)</f>
        <v/>
      </c>
      <c r="AQ193" s="3">
        <f>IF(AQ$2&gt;=Params!$B$7,INDEX($C$191:$BV$191,AQ$2-Params!$B$7+1),0)</f>
        <v/>
      </c>
      <c r="AR193" s="3">
        <f>IF(AR$2&gt;=Params!$B$7,INDEX($C$191:$BV$191,AR$2-Params!$B$7+1),0)</f>
        <v/>
      </c>
      <c r="AS193" s="3">
        <f>IF(AS$2&gt;=Params!$B$7,INDEX($C$191:$BV$191,AS$2-Params!$B$7+1),0)</f>
        <v/>
      </c>
      <c r="AT193" s="3">
        <f>IF(AT$2&gt;=Params!$B$7,INDEX($C$191:$BV$191,AT$2-Params!$B$7+1),0)</f>
        <v/>
      </c>
      <c r="AU193" s="3">
        <f>IF(AU$2&gt;=Params!$B$7,INDEX($C$191:$BV$191,AU$2-Params!$B$7+1),0)</f>
        <v/>
      </c>
      <c r="AV193" s="3">
        <f>IF(AV$2&gt;=Params!$B$7,INDEX($C$191:$BV$191,AV$2-Params!$B$7+1),0)</f>
        <v/>
      </c>
      <c r="AW193" s="3">
        <f>IF(AW$2&gt;=Params!$B$7,INDEX($C$191:$BV$191,AW$2-Params!$B$7+1),0)</f>
        <v/>
      </c>
      <c r="AX193" s="3">
        <f>IF(AX$2&gt;=Params!$B$7,INDEX($C$191:$BV$191,AX$2-Params!$B$7+1),0)</f>
        <v/>
      </c>
      <c r="AY193" s="3">
        <f>IF(AY$2&gt;=Params!$B$7,INDEX($C$191:$BV$191,AY$2-Params!$B$7+1),0)</f>
        <v/>
      </c>
      <c r="AZ193" s="3">
        <f>IF(AZ$2&gt;=Params!$B$7,INDEX($C$191:$BV$191,AZ$2-Params!$B$7+1),0)</f>
        <v/>
      </c>
      <c r="BA193" s="3">
        <f>IF(BA$2&gt;=Params!$B$7,INDEX($C$191:$BV$191,BA$2-Params!$B$7+1),0)</f>
        <v/>
      </c>
      <c r="BB193" s="3">
        <f>IF(BB$2&gt;=Params!$B$7,INDEX($C$191:$BV$191,BB$2-Params!$B$7+1),0)</f>
        <v/>
      </c>
      <c r="BC193" s="3">
        <f>IF(BC$2&gt;=Params!$B$7,INDEX($C$191:$BV$191,BC$2-Params!$B$7+1),0)</f>
        <v/>
      </c>
      <c r="BD193" s="3">
        <f>IF(BD$2&gt;=Params!$B$7,INDEX($C$191:$BV$191,BD$2-Params!$B$7+1),0)</f>
        <v/>
      </c>
      <c r="BE193" s="3">
        <f>IF(BE$2&gt;=Params!$B$7,INDEX($C$191:$BV$191,BE$2-Params!$B$7+1),0)</f>
        <v/>
      </c>
      <c r="BF193" s="3">
        <f>IF(BF$2&gt;=Params!$B$7,INDEX($C$191:$BV$191,BF$2-Params!$B$7+1),0)</f>
        <v/>
      </c>
      <c r="BG193" s="3">
        <f>IF(BG$2&gt;=Params!$B$7,INDEX($C$191:$BV$191,BG$2-Params!$B$7+1),0)</f>
        <v/>
      </c>
      <c r="BH193" s="3">
        <f>IF(BH$2&gt;=Params!$B$7,INDEX($C$191:$BV$191,BH$2-Params!$B$7+1),0)</f>
        <v/>
      </c>
      <c r="BI193" s="3">
        <f>IF(BI$2&gt;=Params!$B$7,INDEX($C$191:$BV$191,BI$2-Params!$B$7+1),0)</f>
        <v/>
      </c>
      <c r="BJ193" s="3">
        <f>IF(BJ$2&gt;=Params!$B$7,INDEX($C$191:$BV$191,BJ$2-Params!$B$7+1),0)</f>
        <v/>
      </c>
      <c r="BK193" s="3">
        <f>IF(BK$2&gt;=Params!$B$7,INDEX($C$191:$BV$191,BK$2-Params!$B$7+1),0)</f>
        <v/>
      </c>
      <c r="BL193" s="3">
        <f>IF(BL$2&gt;=Params!$B$7,INDEX($C$191:$BV$191,BL$2-Params!$B$7+1),0)</f>
        <v/>
      </c>
      <c r="BM193" s="3">
        <f>IF(BM$2&gt;=Params!$B$7,INDEX($C$191:$BV$191,BM$2-Params!$B$7+1),0)</f>
        <v/>
      </c>
      <c r="BN193" s="3">
        <f>IF(BN$2&gt;=Params!$B$7,INDEX($C$191:$BV$191,BN$2-Params!$B$7+1),0)</f>
        <v/>
      </c>
      <c r="BO193" s="3">
        <f>IF(BO$2&gt;=Params!$B$7,INDEX($C$191:$BV$191,BO$2-Params!$B$7+1),0)</f>
        <v/>
      </c>
      <c r="BP193" s="3">
        <f>IF(BP$2&gt;=Params!$B$7,INDEX($C$191:$BV$191,BP$2-Params!$B$7+1),0)</f>
        <v/>
      </c>
      <c r="BQ193" s="3">
        <f>IF(BQ$2&gt;=Params!$B$7,INDEX($C$191:$BV$191,BQ$2-Params!$B$7+1),0)</f>
        <v/>
      </c>
      <c r="BR193" s="3">
        <f>IF(BR$2&gt;=Params!$B$7,INDEX($C$191:$BV$191,BR$2-Params!$B$7+1),0)</f>
        <v/>
      </c>
      <c r="BS193" s="3">
        <f>IF(BS$2&gt;=Params!$B$7,INDEX($C$191:$BV$191,BS$2-Params!$B$7+1),0)</f>
        <v/>
      </c>
      <c r="BT193" s="3">
        <f>IF(BT$2&gt;=Params!$B$7,INDEX($C$191:$BV$191,BT$2-Params!$B$7+1),0)</f>
        <v/>
      </c>
      <c r="BU193" s="3">
        <f>IF(BU$2&gt;=Params!$B$7,INDEX($C$191:$BV$191,BU$2-Params!$B$7+1),0)</f>
        <v/>
      </c>
      <c r="BV193" s="3">
        <f>IF(BV$2&gt;=Params!$B$7,INDEX($C$191:$BV$191,BV$2-Params!$B$7+1),0)</f>
        <v/>
      </c>
    </row>
    <row r="194">
      <c r="A194" t="inlineStr">
        <is>
          <t>trials converted</t>
        </is>
      </c>
      <c r="B194" t="inlineStr">
        <is>
          <t>ROW|NITRO_A</t>
        </is>
      </c>
      <c r="C194" s="3">
        <f>C193*Params!$B$8</f>
        <v/>
      </c>
      <c r="D194" s="3">
        <f>D193*Params!$B$8</f>
        <v/>
      </c>
      <c r="E194" s="3">
        <f>E193*Params!$B$8</f>
        <v/>
      </c>
      <c r="F194" s="3">
        <f>F193*Params!$B$8</f>
        <v/>
      </c>
      <c r="G194" s="3">
        <f>G193*Params!$B$8</f>
        <v/>
      </c>
      <c r="H194" s="3">
        <f>H193*Params!$B$8</f>
        <v/>
      </c>
      <c r="I194" s="3">
        <f>I193*Params!$B$8</f>
        <v/>
      </c>
      <c r="J194" s="3">
        <f>J193*Params!$B$8</f>
        <v/>
      </c>
      <c r="K194" s="3">
        <f>K193*Params!$B$8</f>
        <v/>
      </c>
      <c r="L194" s="3">
        <f>L193*Params!$B$8</f>
        <v/>
      </c>
      <c r="M194" s="3">
        <f>M193*Params!$B$8</f>
        <v/>
      </c>
      <c r="N194" s="3">
        <f>N193*Params!$B$8</f>
        <v/>
      </c>
      <c r="O194" s="3">
        <f>O193*Params!$B$8</f>
        <v/>
      </c>
      <c r="P194" s="3">
        <f>P193*Params!$B$8</f>
        <v/>
      </c>
      <c r="Q194" s="3">
        <f>Q193*Params!$B$8</f>
        <v/>
      </c>
      <c r="R194" s="3">
        <f>R193*Params!$B$8</f>
        <v/>
      </c>
      <c r="S194" s="3">
        <f>S193*Params!$B$8</f>
        <v/>
      </c>
      <c r="T194" s="3">
        <f>T193*Params!$B$8</f>
        <v/>
      </c>
      <c r="U194" s="3">
        <f>U193*Params!$B$8</f>
        <v/>
      </c>
      <c r="V194" s="3">
        <f>V193*Params!$B$8</f>
        <v/>
      </c>
      <c r="W194" s="3">
        <f>W193*Params!$B$8</f>
        <v/>
      </c>
      <c r="X194" s="3">
        <f>X193*Params!$B$8</f>
        <v/>
      </c>
      <c r="Y194" s="3">
        <f>Y193*Params!$B$8</f>
        <v/>
      </c>
      <c r="Z194" s="3">
        <f>Z193*Params!$B$8</f>
        <v/>
      </c>
      <c r="AA194" s="3">
        <f>AA193*Params!$B$8</f>
        <v/>
      </c>
      <c r="AB194" s="3">
        <f>AB193*Params!$B$8</f>
        <v/>
      </c>
      <c r="AC194" s="3">
        <f>AC193*Params!$B$8</f>
        <v/>
      </c>
      <c r="AD194" s="3">
        <f>AD193*Params!$B$8</f>
        <v/>
      </c>
      <c r="AE194" s="3">
        <f>AE193*Params!$B$8</f>
        <v/>
      </c>
      <c r="AF194" s="3">
        <f>AF193*Params!$B$8</f>
        <v/>
      </c>
      <c r="AG194" s="3">
        <f>AG193*Params!$B$8</f>
        <v/>
      </c>
      <c r="AH194" s="3">
        <f>AH193*Params!$B$8</f>
        <v/>
      </c>
      <c r="AI194" s="3">
        <f>AI193*Params!$B$8</f>
        <v/>
      </c>
      <c r="AJ194" s="3">
        <f>AJ193*Params!$B$8</f>
        <v/>
      </c>
      <c r="AK194" s="3">
        <f>AK193*Params!$B$8</f>
        <v/>
      </c>
      <c r="AL194" s="3">
        <f>AL193*Params!$B$8</f>
        <v/>
      </c>
      <c r="AM194" s="3">
        <f>AM193*Params!$B$8</f>
        <v/>
      </c>
      <c r="AN194" s="3">
        <f>AN193*Params!$B$8</f>
        <v/>
      </c>
      <c r="AO194" s="3">
        <f>AO193*Params!$B$8</f>
        <v/>
      </c>
      <c r="AP194" s="3">
        <f>AP193*Params!$B$8</f>
        <v/>
      </c>
      <c r="AQ194" s="3">
        <f>AQ193*Params!$B$8</f>
        <v/>
      </c>
      <c r="AR194" s="3">
        <f>AR193*Params!$B$8</f>
        <v/>
      </c>
      <c r="AS194" s="3">
        <f>AS193*Params!$B$8</f>
        <v/>
      </c>
      <c r="AT194" s="3">
        <f>AT193*Params!$B$8</f>
        <v/>
      </c>
      <c r="AU194" s="3">
        <f>AU193*Params!$B$8</f>
        <v/>
      </c>
      <c r="AV194" s="3">
        <f>AV193*Params!$B$8</f>
        <v/>
      </c>
      <c r="AW194" s="3">
        <f>AW193*Params!$B$8</f>
        <v/>
      </c>
      <c r="AX194" s="3">
        <f>AX193*Params!$B$8</f>
        <v/>
      </c>
      <c r="AY194" s="3">
        <f>AY193*Params!$B$8</f>
        <v/>
      </c>
      <c r="AZ194" s="3">
        <f>AZ193*Params!$B$8</f>
        <v/>
      </c>
      <c r="BA194" s="3">
        <f>BA193*Params!$B$8</f>
        <v/>
      </c>
      <c r="BB194" s="3">
        <f>BB193*Params!$B$8</f>
        <v/>
      </c>
      <c r="BC194" s="3">
        <f>BC193*Params!$B$8</f>
        <v/>
      </c>
      <c r="BD194" s="3">
        <f>BD193*Params!$B$8</f>
        <v/>
      </c>
      <c r="BE194" s="3">
        <f>BE193*Params!$B$8</f>
        <v/>
      </c>
      <c r="BF194" s="3">
        <f>BF193*Params!$B$8</f>
        <v/>
      </c>
      <c r="BG194" s="3">
        <f>BG193*Params!$B$8</f>
        <v/>
      </c>
      <c r="BH194" s="3">
        <f>BH193*Params!$B$8</f>
        <v/>
      </c>
      <c r="BI194" s="3">
        <f>BI193*Params!$B$8</f>
        <v/>
      </c>
      <c r="BJ194" s="3">
        <f>BJ193*Params!$B$8</f>
        <v/>
      </c>
      <c r="BK194" s="3">
        <f>BK193*Params!$B$8</f>
        <v/>
      </c>
      <c r="BL194" s="3">
        <f>BL193*Params!$B$8</f>
        <v/>
      </c>
      <c r="BM194" s="3">
        <f>BM193*Params!$B$8</f>
        <v/>
      </c>
      <c r="BN194" s="3">
        <f>BN193*Params!$B$8</f>
        <v/>
      </c>
      <c r="BO194" s="3">
        <f>BO193*Params!$B$8</f>
        <v/>
      </c>
      <c r="BP194" s="3">
        <f>BP193*Params!$B$8</f>
        <v/>
      </c>
      <c r="BQ194" s="3">
        <f>BQ193*Params!$B$8</f>
        <v/>
      </c>
      <c r="BR194" s="3">
        <f>BR193*Params!$B$8</f>
        <v/>
      </c>
      <c r="BS194" s="3">
        <f>BS193*Params!$B$8</f>
        <v/>
      </c>
      <c r="BT194" s="3">
        <f>BT193*Params!$B$8</f>
        <v/>
      </c>
      <c r="BU194" s="3">
        <f>BU193*Params!$B$8</f>
        <v/>
      </c>
      <c r="BV194" s="3">
        <f>BV193*Params!$B$8</f>
        <v/>
      </c>
    </row>
    <row r="195">
      <c r="A195" t="inlineStr">
        <is>
          <t>trials lost</t>
        </is>
      </c>
      <c r="B195" t="inlineStr">
        <is>
          <t>ROW|NITRO_A</t>
        </is>
      </c>
      <c r="C195" s="3">
        <f>C193-C194</f>
        <v/>
      </c>
      <c r="D195" s="3">
        <f>D193-D194</f>
        <v/>
      </c>
      <c r="E195" s="3">
        <f>E193-E194</f>
        <v/>
      </c>
      <c r="F195" s="3">
        <f>F193-F194</f>
        <v/>
      </c>
      <c r="G195" s="3">
        <f>G193-G194</f>
        <v/>
      </c>
      <c r="H195" s="3">
        <f>H193-H194</f>
        <v/>
      </c>
      <c r="I195" s="3">
        <f>I193-I194</f>
        <v/>
      </c>
      <c r="J195" s="3">
        <f>J193-J194</f>
        <v/>
      </c>
      <c r="K195" s="3">
        <f>K193-K194</f>
        <v/>
      </c>
      <c r="L195" s="3">
        <f>L193-L194</f>
        <v/>
      </c>
      <c r="M195" s="3">
        <f>M193-M194</f>
        <v/>
      </c>
      <c r="N195" s="3">
        <f>N193-N194</f>
        <v/>
      </c>
      <c r="O195" s="3">
        <f>O193-O194</f>
        <v/>
      </c>
      <c r="P195" s="3">
        <f>P193-P194</f>
        <v/>
      </c>
      <c r="Q195" s="3">
        <f>Q193-Q194</f>
        <v/>
      </c>
      <c r="R195" s="3">
        <f>R193-R194</f>
        <v/>
      </c>
      <c r="S195" s="3">
        <f>S193-S194</f>
        <v/>
      </c>
      <c r="T195" s="3">
        <f>T193-T194</f>
        <v/>
      </c>
      <c r="U195" s="3">
        <f>U193-U194</f>
        <v/>
      </c>
      <c r="V195" s="3">
        <f>V193-V194</f>
        <v/>
      </c>
      <c r="W195" s="3">
        <f>W193-W194</f>
        <v/>
      </c>
      <c r="X195" s="3">
        <f>X193-X194</f>
        <v/>
      </c>
      <c r="Y195" s="3">
        <f>Y193-Y194</f>
        <v/>
      </c>
      <c r="Z195" s="3">
        <f>Z193-Z194</f>
        <v/>
      </c>
      <c r="AA195" s="3">
        <f>AA193-AA194</f>
        <v/>
      </c>
      <c r="AB195" s="3">
        <f>AB193-AB194</f>
        <v/>
      </c>
      <c r="AC195" s="3">
        <f>AC193-AC194</f>
        <v/>
      </c>
      <c r="AD195" s="3">
        <f>AD193-AD194</f>
        <v/>
      </c>
      <c r="AE195" s="3">
        <f>AE193-AE194</f>
        <v/>
      </c>
      <c r="AF195" s="3">
        <f>AF193-AF194</f>
        <v/>
      </c>
      <c r="AG195" s="3">
        <f>AG193-AG194</f>
        <v/>
      </c>
      <c r="AH195" s="3">
        <f>AH193-AH194</f>
        <v/>
      </c>
      <c r="AI195" s="3">
        <f>AI193-AI194</f>
        <v/>
      </c>
      <c r="AJ195" s="3">
        <f>AJ193-AJ194</f>
        <v/>
      </c>
      <c r="AK195" s="3">
        <f>AK193-AK194</f>
        <v/>
      </c>
      <c r="AL195" s="3">
        <f>AL193-AL194</f>
        <v/>
      </c>
      <c r="AM195" s="3">
        <f>AM193-AM194</f>
        <v/>
      </c>
      <c r="AN195" s="3">
        <f>AN193-AN194</f>
        <v/>
      </c>
      <c r="AO195" s="3">
        <f>AO193-AO194</f>
        <v/>
      </c>
      <c r="AP195" s="3">
        <f>AP193-AP194</f>
        <v/>
      </c>
      <c r="AQ195" s="3">
        <f>AQ193-AQ194</f>
        <v/>
      </c>
      <c r="AR195" s="3">
        <f>AR193-AR194</f>
        <v/>
      </c>
      <c r="AS195" s="3">
        <f>AS193-AS194</f>
        <v/>
      </c>
      <c r="AT195" s="3">
        <f>AT193-AT194</f>
        <v/>
      </c>
      <c r="AU195" s="3">
        <f>AU193-AU194</f>
        <v/>
      </c>
      <c r="AV195" s="3">
        <f>AV193-AV194</f>
        <v/>
      </c>
      <c r="AW195" s="3">
        <f>AW193-AW194</f>
        <v/>
      </c>
      <c r="AX195" s="3">
        <f>AX193-AX194</f>
        <v/>
      </c>
      <c r="AY195" s="3">
        <f>AY193-AY194</f>
        <v/>
      </c>
      <c r="AZ195" s="3">
        <f>AZ193-AZ194</f>
        <v/>
      </c>
      <c r="BA195" s="3">
        <f>BA193-BA194</f>
        <v/>
      </c>
      <c r="BB195" s="3">
        <f>BB193-BB194</f>
        <v/>
      </c>
      <c r="BC195" s="3">
        <f>BC193-BC194</f>
        <v/>
      </c>
      <c r="BD195" s="3">
        <f>BD193-BD194</f>
        <v/>
      </c>
      <c r="BE195" s="3">
        <f>BE193-BE194</f>
        <v/>
      </c>
      <c r="BF195" s="3">
        <f>BF193-BF194</f>
        <v/>
      </c>
      <c r="BG195" s="3">
        <f>BG193-BG194</f>
        <v/>
      </c>
      <c r="BH195" s="3">
        <f>BH193-BH194</f>
        <v/>
      </c>
      <c r="BI195" s="3">
        <f>BI193-BI194</f>
        <v/>
      </c>
      <c r="BJ195" s="3">
        <f>BJ193-BJ194</f>
        <v/>
      </c>
      <c r="BK195" s="3">
        <f>BK193-BK194</f>
        <v/>
      </c>
      <c r="BL195" s="3">
        <f>BL193-BL194</f>
        <v/>
      </c>
      <c r="BM195" s="3">
        <f>BM193-BM194</f>
        <v/>
      </c>
      <c r="BN195" s="3">
        <f>BN193-BN194</f>
        <v/>
      </c>
      <c r="BO195" s="3">
        <f>BO193-BO194</f>
        <v/>
      </c>
      <c r="BP195" s="3">
        <f>BP193-BP194</f>
        <v/>
      </c>
      <c r="BQ195" s="3">
        <f>BQ193-BQ194</f>
        <v/>
      </c>
      <c r="BR195" s="3">
        <f>BR193-BR194</f>
        <v/>
      </c>
      <c r="BS195" s="3">
        <f>BS193-BS194</f>
        <v/>
      </c>
      <c r="BT195" s="3">
        <f>BT193-BT194</f>
        <v/>
      </c>
      <c r="BU195" s="3">
        <f>BU193-BU194</f>
        <v/>
      </c>
      <c r="BV195" s="3">
        <f>BV193-BV194</f>
        <v/>
      </c>
    </row>
    <row r="196">
      <c r="A196" t="inlineStr">
        <is>
          <t>cum trial starts</t>
        </is>
      </c>
      <c r="B196" t="inlineStr">
        <is>
          <t>ROW|NITRO_A</t>
        </is>
      </c>
      <c r="C196" s="3">
        <f>SUM($C191:C191)</f>
        <v/>
      </c>
      <c r="D196" s="3">
        <f>SUM($C191:D191)</f>
        <v/>
      </c>
      <c r="E196" s="3">
        <f>SUM($C191:E191)</f>
        <v/>
      </c>
      <c r="F196" s="3">
        <f>SUM($C191:F191)</f>
        <v/>
      </c>
      <c r="G196" s="3">
        <f>SUM($C191:G191)</f>
        <v/>
      </c>
      <c r="H196" s="3">
        <f>SUM($C191:H191)</f>
        <v/>
      </c>
      <c r="I196" s="3">
        <f>SUM($C191:I191)</f>
        <v/>
      </c>
      <c r="J196" s="3">
        <f>SUM($C191:J191)</f>
        <v/>
      </c>
      <c r="K196" s="3">
        <f>SUM($C191:K191)</f>
        <v/>
      </c>
      <c r="L196" s="3">
        <f>SUM($C191:L191)</f>
        <v/>
      </c>
      <c r="M196" s="3">
        <f>SUM($C191:M191)</f>
        <v/>
      </c>
      <c r="N196" s="3">
        <f>SUM($C191:N191)</f>
        <v/>
      </c>
      <c r="O196" s="3">
        <f>SUM($C191:O191)</f>
        <v/>
      </c>
      <c r="P196" s="3">
        <f>SUM($C191:P191)</f>
        <v/>
      </c>
      <c r="Q196" s="3">
        <f>SUM($C191:Q191)</f>
        <v/>
      </c>
      <c r="R196" s="3">
        <f>SUM($C191:R191)</f>
        <v/>
      </c>
      <c r="S196" s="3">
        <f>SUM($C191:S191)</f>
        <v/>
      </c>
      <c r="T196" s="3">
        <f>SUM($C191:T191)</f>
        <v/>
      </c>
      <c r="U196" s="3">
        <f>SUM($C191:U191)</f>
        <v/>
      </c>
      <c r="V196" s="3">
        <f>SUM($C191:V191)</f>
        <v/>
      </c>
      <c r="W196" s="3">
        <f>SUM($C191:W191)</f>
        <v/>
      </c>
      <c r="X196" s="3">
        <f>SUM($C191:X191)</f>
        <v/>
      </c>
      <c r="Y196" s="3">
        <f>SUM($C191:Y191)</f>
        <v/>
      </c>
      <c r="Z196" s="3">
        <f>SUM($C191:Z191)</f>
        <v/>
      </c>
      <c r="AA196" s="3">
        <f>SUM($C191:AA191)</f>
        <v/>
      </c>
      <c r="AB196" s="3">
        <f>SUM($C191:AB191)</f>
        <v/>
      </c>
      <c r="AC196" s="3">
        <f>SUM($C191:AC191)</f>
        <v/>
      </c>
      <c r="AD196" s="3">
        <f>SUM($C191:AD191)</f>
        <v/>
      </c>
      <c r="AE196" s="3">
        <f>SUM($C191:AE191)</f>
        <v/>
      </c>
      <c r="AF196" s="3">
        <f>SUM($C191:AF191)</f>
        <v/>
      </c>
      <c r="AG196" s="3">
        <f>SUM($C191:AG191)</f>
        <v/>
      </c>
      <c r="AH196" s="3">
        <f>SUM($C191:AH191)</f>
        <v/>
      </c>
      <c r="AI196" s="3">
        <f>SUM($C191:AI191)</f>
        <v/>
      </c>
      <c r="AJ196" s="3">
        <f>SUM($C191:AJ191)</f>
        <v/>
      </c>
      <c r="AK196" s="3">
        <f>SUM($C191:AK191)</f>
        <v/>
      </c>
      <c r="AL196" s="3">
        <f>SUM($C191:AL191)</f>
        <v/>
      </c>
      <c r="AM196" s="3">
        <f>SUM($C191:AM191)</f>
        <v/>
      </c>
      <c r="AN196" s="3">
        <f>SUM($C191:AN191)</f>
        <v/>
      </c>
      <c r="AO196" s="3">
        <f>SUM($C191:AO191)</f>
        <v/>
      </c>
      <c r="AP196" s="3">
        <f>SUM($C191:AP191)</f>
        <v/>
      </c>
      <c r="AQ196" s="3">
        <f>SUM($C191:AQ191)</f>
        <v/>
      </c>
      <c r="AR196" s="3">
        <f>SUM($C191:AR191)</f>
        <v/>
      </c>
      <c r="AS196" s="3">
        <f>SUM($C191:AS191)</f>
        <v/>
      </c>
      <c r="AT196" s="3">
        <f>SUM($C191:AT191)</f>
        <v/>
      </c>
      <c r="AU196" s="3">
        <f>SUM($C191:AU191)</f>
        <v/>
      </c>
      <c r="AV196" s="3">
        <f>SUM($C191:AV191)</f>
        <v/>
      </c>
      <c r="AW196" s="3">
        <f>SUM($C191:AW191)</f>
        <v/>
      </c>
      <c r="AX196" s="3">
        <f>SUM($C191:AX191)</f>
        <v/>
      </c>
      <c r="AY196" s="3">
        <f>SUM($C191:AY191)</f>
        <v/>
      </c>
      <c r="AZ196" s="3">
        <f>SUM($C191:AZ191)</f>
        <v/>
      </c>
      <c r="BA196" s="3">
        <f>SUM($C191:BA191)</f>
        <v/>
      </c>
      <c r="BB196" s="3">
        <f>SUM($C191:BB191)</f>
        <v/>
      </c>
      <c r="BC196" s="3">
        <f>SUM($C191:BC191)</f>
        <v/>
      </c>
      <c r="BD196" s="3">
        <f>SUM($C191:BD191)</f>
        <v/>
      </c>
      <c r="BE196" s="3">
        <f>SUM($C191:BE191)</f>
        <v/>
      </c>
      <c r="BF196" s="3">
        <f>SUM($C191:BF191)</f>
        <v/>
      </c>
      <c r="BG196" s="3">
        <f>SUM($C191:BG191)</f>
        <v/>
      </c>
      <c r="BH196" s="3">
        <f>SUM($C191:BH191)</f>
        <v/>
      </c>
      <c r="BI196" s="3">
        <f>SUM($C191:BI191)</f>
        <v/>
      </c>
      <c r="BJ196" s="3">
        <f>SUM($C191:BJ191)</f>
        <v/>
      </c>
      <c r="BK196" s="3">
        <f>SUM($C191:BK191)</f>
        <v/>
      </c>
      <c r="BL196" s="3">
        <f>SUM($C191:BL191)</f>
        <v/>
      </c>
      <c r="BM196" s="3">
        <f>SUM($C191:BM191)</f>
        <v/>
      </c>
      <c r="BN196" s="3">
        <f>SUM($C191:BN191)</f>
        <v/>
      </c>
      <c r="BO196" s="3">
        <f>SUM($C191:BO191)</f>
        <v/>
      </c>
      <c r="BP196" s="3">
        <f>SUM($C191:BP191)</f>
        <v/>
      </c>
      <c r="BQ196" s="3">
        <f>SUM($C191:BQ191)</f>
        <v/>
      </c>
      <c r="BR196" s="3">
        <f>SUM($C191:BR191)</f>
        <v/>
      </c>
      <c r="BS196" s="3">
        <f>SUM($C191:BS191)</f>
        <v/>
      </c>
      <c r="BT196" s="3">
        <f>SUM($C191:BT191)</f>
        <v/>
      </c>
      <c r="BU196" s="3">
        <f>SUM($C191:BU191)</f>
        <v/>
      </c>
      <c r="BV196" s="3">
        <f>SUM($C191:BV191)</f>
        <v/>
      </c>
    </row>
    <row r="197">
      <c r="A197" t="inlineStr">
        <is>
          <t>cum trials ending</t>
        </is>
      </c>
      <c r="B197" t="inlineStr">
        <is>
          <t>ROW|NITRO_A</t>
        </is>
      </c>
      <c r="C197" s="3">
        <f>SUM($C193:C193)</f>
        <v/>
      </c>
      <c r="D197" s="3">
        <f>SUM($C193:D193)</f>
        <v/>
      </c>
      <c r="E197" s="3">
        <f>SUM($C193:E193)</f>
        <v/>
      </c>
      <c r="F197" s="3">
        <f>SUM($C193:F193)</f>
        <v/>
      </c>
      <c r="G197" s="3">
        <f>SUM($C193:G193)</f>
        <v/>
      </c>
      <c r="H197" s="3">
        <f>SUM($C193:H193)</f>
        <v/>
      </c>
      <c r="I197" s="3">
        <f>SUM($C193:I193)</f>
        <v/>
      </c>
      <c r="J197" s="3">
        <f>SUM($C193:J193)</f>
        <v/>
      </c>
      <c r="K197" s="3">
        <f>SUM($C193:K193)</f>
        <v/>
      </c>
      <c r="L197" s="3">
        <f>SUM($C193:L193)</f>
        <v/>
      </c>
      <c r="M197" s="3">
        <f>SUM($C193:M193)</f>
        <v/>
      </c>
      <c r="N197" s="3">
        <f>SUM($C193:N193)</f>
        <v/>
      </c>
      <c r="O197" s="3">
        <f>SUM($C193:O193)</f>
        <v/>
      </c>
      <c r="P197" s="3">
        <f>SUM($C193:P193)</f>
        <v/>
      </c>
      <c r="Q197" s="3">
        <f>SUM($C193:Q193)</f>
        <v/>
      </c>
      <c r="R197" s="3">
        <f>SUM($C193:R193)</f>
        <v/>
      </c>
      <c r="S197" s="3">
        <f>SUM($C193:S193)</f>
        <v/>
      </c>
      <c r="T197" s="3">
        <f>SUM($C193:T193)</f>
        <v/>
      </c>
      <c r="U197" s="3">
        <f>SUM($C193:U193)</f>
        <v/>
      </c>
      <c r="V197" s="3">
        <f>SUM($C193:V193)</f>
        <v/>
      </c>
      <c r="W197" s="3">
        <f>SUM($C193:W193)</f>
        <v/>
      </c>
      <c r="X197" s="3">
        <f>SUM($C193:X193)</f>
        <v/>
      </c>
      <c r="Y197" s="3">
        <f>SUM($C193:Y193)</f>
        <v/>
      </c>
      <c r="Z197" s="3">
        <f>SUM($C193:Z193)</f>
        <v/>
      </c>
      <c r="AA197" s="3">
        <f>SUM($C193:AA193)</f>
        <v/>
      </c>
      <c r="AB197" s="3">
        <f>SUM($C193:AB193)</f>
        <v/>
      </c>
      <c r="AC197" s="3">
        <f>SUM($C193:AC193)</f>
        <v/>
      </c>
      <c r="AD197" s="3">
        <f>SUM($C193:AD193)</f>
        <v/>
      </c>
      <c r="AE197" s="3">
        <f>SUM($C193:AE193)</f>
        <v/>
      </c>
      <c r="AF197" s="3">
        <f>SUM($C193:AF193)</f>
        <v/>
      </c>
      <c r="AG197" s="3">
        <f>SUM($C193:AG193)</f>
        <v/>
      </c>
      <c r="AH197" s="3">
        <f>SUM($C193:AH193)</f>
        <v/>
      </c>
      <c r="AI197" s="3">
        <f>SUM($C193:AI193)</f>
        <v/>
      </c>
      <c r="AJ197" s="3">
        <f>SUM($C193:AJ193)</f>
        <v/>
      </c>
      <c r="AK197" s="3">
        <f>SUM($C193:AK193)</f>
        <v/>
      </c>
      <c r="AL197" s="3">
        <f>SUM($C193:AL193)</f>
        <v/>
      </c>
      <c r="AM197" s="3">
        <f>SUM($C193:AM193)</f>
        <v/>
      </c>
      <c r="AN197" s="3">
        <f>SUM($C193:AN193)</f>
        <v/>
      </c>
      <c r="AO197" s="3">
        <f>SUM($C193:AO193)</f>
        <v/>
      </c>
      <c r="AP197" s="3">
        <f>SUM($C193:AP193)</f>
        <v/>
      </c>
      <c r="AQ197" s="3">
        <f>SUM($C193:AQ193)</f>
        <v/>
      </c>
      <c r="AR197" s="3">
        <f>SUM($C193:AR193)</f>
        <v/>
      </c>
      <c r="AS197" s="3">
        <f>SUM($C193:AS193)</f>
        <v/>
      </c>
      <c r="AT197" s="3">
        <f>SUM($C193:AT193)</f>
        <v/>
      </c>
      <c r="AU197" s="3">
        <f>SUM($C193:AU193)</f>
        <v/>
      </c>
      <c r="AV197" s="3">
        <f>SUM($C193:AV193)</f>
        <v/>
      </c>
      <c r="AW197" s="3">
        <f>SUM($C193:AW193)</f>
        <v/>
      </c>
      <c r="AX197" s="3">
        <f>SUM($C193:AX193)</f>
        <v/>
      </c>
      <c r="AY197" s="3">
        <f>SUM($C193:AY193)</f>
        <v/>
      </c>
      <c r="AZ197" s="3">
        <f>SUM($C193:AZ193)</f>
        <v/>
      </c>
      <c r="BA197" s="3">
        <f>SUM($C193:BA193)</f>
        <v/>
      </c>
      <c r="BB197" s="3">
        <f>SUM($C193:BB193)</f>
        <v/>
      </c>
      <c r="BC197" s="3">
        <f>SUM($C193:BC193)</f>
        <v/>
      </c>
      <c r="BD197" s="3">
        <f>SUM($C193:BD193)</f>
        <v/>
      </c>
      <c r="BE197" s="3">
        <f>SUM($C193:BE193)</f>
        <v/>
      </c>
      <c r="BF197" s="3">
        <f>SUM($C193:BF193)</f>
        <v/>
      </c>
      <c r="BG197" s="3">
        <f>SUM($C193:BG193)</f>
        <v/>
      </c>
      <c r="BH197" s="3">
        <f>SUM($C193:BH193)</f>
        <v/>
      </c>
      <c r="BI197" s="3">
        <f>SUM($C193:BI193)</f>
        <v/>
      </c>
      <c r="BJ197" s="3">
        <f>SUM($C193:BJ193)</f>
        <v/>
      </c>
      <c r="BK197" s="3">
        <f>SUM($C193:BK193)</f>
        <v/>
      </c>
      <c r="BL197" s="3">
        <f>SUM($C193:BL193)</f>
        <v/>
      </c>
      <c r="BM197" s="3">
        <f>SUM($C193:BM193)</f>
        <v/>
      </c>
      <c r="BN197" s="3">
        <f>SUM($C193:BN193)</f>
        <v/>
      </c>
      <c r="BO197" s="3">
        <f>SUM($C193:BO193)</f>
        <v/>
      </c>
      <c r="BP197" s="3">
        <f>SUM($C193:BP193)</f>
        <v/>
      </c>
      <c r="BQ197" s="3">
        <f>SUM($C193:BQ193)</f>
        <v/>
      </c>
      <c r="BR197" s="3">
        <f>SUM($C193:BR193)</f>
        <v/>
      </c>
      <c r="BS197" s="3">
        <f>SUM($C193:BS193)</f>
        <v/>
      </c>
      <c r="BT197" s="3">
        <f>SUM($C193:BT193)</f>
        <v/>
      </c>
      <c r="BU197" s="3">
        <f>SUM($C193:BU193)</f>
        <v/>
      </c>
      <c r="BV197" s="3">
        <f>SUM($C193:BV193)</f>
        <v/>
      </c>
    </row>
    <row r="198">
      <c r="A198" t="inlineStr">
        <is>
          <t>trials active</t>
        </is>
      </c>
      <c r="B198" t="inlineStr">
        <is>
          <t>ROW|NITRO_A</t>
        </is>
      </c>
      <c r="C198" s="3">
        <f>C196-C197</f>
        <v/>
      </c>
      <c r="D198" s="3">
        <f>D196-D197</f>
        <v/>
      </c>
      <c r="E198" s="3">
        <f>E196-E197</f>
        <v/>
      </c>
      <c r="F198" s="3">
        <f>F196-F197</f>
        <v/>
      </c>
      <c r="G198" s="3">
        <f>G196-G197</f>
        <v/>
      </c>
      <c r="H198" s="3">
        <f>H196-H197</f>
        <v/>
      </c>
      <c r="I198" s="3">
        <f>I196-I197</f>
        <v/>
      </c>
      <c r="J198" s="3">
        <f>J196-J197</f>
        <v/>
      </c>
      <c r="K198" s="3">
        <f>K196-K197</f>
        <v/>
      </c>
      <c r="L198" s="3">
        <f>L196-L197</f>
        <v/>
      </c>
      <c r="M198" s="3">
        <f>M196-M197</f>
        <v/>
      </c>
      <c r="N198" s="3">
        <f>N196-N197</f>
        <v/>
      </c>
      <c r="O198" s="3">
        <f>O196-O197</f>
        <v/>
      </c>
      <c r="P198" s="3">
        <f>P196-P197</f>
        <v/>
      </c>
      <c r="Q198" s="3">
        <f>Q196-Q197</f>
        <v/>
      </c>
      <c r="R198" s="3">
        <f>R196-R197</f>
        <v/>
      </c>
      <c r="S198" s="3">
        <f>S196-S197</f>
        <v/>
      </c>
      <c r="T198" s="3">
        <f>T196-T197</f>
        <v/>
      </c>
      <c r="U198" s="3">
        <f>U196-U197</f>
        <v/>
      </c>
      <c r="V198" s="3">
        <f>V196-V197</f>
        <v/>
      </c>
      <c r="W198" s="3">
        <f>W196-W197</f>
        <v/>
      </c>
      <c r="X198" s="3">
        <f>X196-X197</f>
        <v/>
      </c>
      <c r="Y198" s="3">
        <f>Y196-Y197</f>
        <v/>
      </c>
      <c r="Z198" s="3">
        <f>Z196-Z197</f>
        <v/>
      </c>
      <c r="AA198" s="3">
        <f>AA196-AA197</f>
        <v/>
      </c>
      <c r="AB198" s="3">
        <f>AB196-AB197</f>
        <v/>
      </c>
      <c r="AC198" s="3">
        <f>AC196-AC197</f>
        <v/>
      </c>
      <c r="AD198" s="3">
        <f>AD196-AD197</f>
        <v/>
      </c>
      <c r="AE198" s="3">
        <f>AE196-AE197</f>
        <v/>
      </c>
      <c r="AF198" s="3">
        <f>AF196-AF197</f>
        <v/>
      </c>
      <c r="AG198" s="3">
        <f>AG196-AG197</f>
        <v/>
      </c>
      <c r="AH198" s="3">
        <f>AH196-AH197</f>
        <v/>
      </c>
      <c r="AI198" s="3">
        <f>AI196-AI197</f>
        <v/>
      </c>
      <c r="AJ198" s="3">
        <f>AJ196-AJ197</f>
        <v/>
      </c>
      <c r="AK198" s="3">
        <f>AK196-AK197</f>
        <v/>
      </c>
      <c r="AL198" s="3">
        <f>AL196-AL197</f>
        <v/>
      </c>
      <c r="AM198" s="3">
        <f>AM196-AM197</f>
        <v/>
      </c>
      <c r="AN198" s="3">
        <f>AN196-AN197</f>
        <v/>
      </c>
      <c r="AO198" s="3">
        <f>AO196-AO197</f>
        <v/>
      </c>
      <c r="AP198" s="3">
        <f>AP196-AP197</f>
        <v/>
      </c>
      <c r="AQ198" s="3">
        <f>AQ196-AQ197</f>
        <v/>
      </c>
      <c r="AR198" s="3">
        <f>AR196-AR197</f>
        <v/>
      </c>
      <c r="AS198" s="3">
        <f>AS196-AS197</f>
        <v/>
      </c>
      <c r="AT198" s="3">
        <f>AT196-AT197</f>
        <v/>
      </c>
      <c r="AU198" s="3">
        <f>AU196-AU197</f>
        <v/>
      </c>
      <c r="AV198" s="3">
        <f>AV196-AV197</f>
        <v/>
      </c>
      <c r="AW198" s="3">
        <f>AW196-AW197</f>
        <v/>
      </c>
      <c r="AX198" s="3">
        <f>AX196-AX197</f>
        <v/>
      </c>
      <c r="AY198" s="3">
        <f>AY196-AY197</f>
        <v/>
      </c>
      <c r="AZ198" s="3">
        <f>AZ196-AZ197</f>
        <v/>
      </c>
      <c r="BA198" s="3">
        <f>BA196-BA197</f>
        <v/>
      </c>
      <c r="BB198" s="3">
        <f>BB196-BB197</f>
        <v/>
      </c>
      <c r="BC198" s="3">
        <f>BC196-BC197</f>
        <v/>
      </c>
      <c r="BD198" s="3">
        <f>BD196-BD197</f>
        <v/>
      </c>
      <c r="BE198" s="3">
        <f>BE196-BE197</f>
        <v/>
      </c>
      <c r="BF198" s="3">
        <f>BF196-BF197</f>
        <v/>
      </c>
      <c r="BG198" s="3">
        <f>BG196-BG197</f>
        <v/>
      </c>
      <c r="BH198" s="3">
        <f>BH196-BH197</f>
        <v/>
      </c>
      <c r="BI198" s="3">
        <f>BI196-BI197</f>
        <v/>
      </c>
      <c r="BJ198" s="3">
        <f>BJ196-BJ197</f>
        <v/>
      </c>
      <c r="BK198" s="3">
        <f>BK196-BK197</f>
        <v/>
      </c>
      <c r="BL198" s="3">
        <f>BL196-BL197</f>
        <v/>
      </c>
      <c r="BM198" s="3">
        <f>BM196-BM197</f>
        <v/>
      </c>
      <c r="BN198" s="3">
        <f>BN196-BN197</f>
        <v/>
      </c>
      <c r="BO198" s="3">
        <f>BO196-BO197</f>
        <v/>
      </c>
      <c r="BP198" s="3">
        <f>BP196-BP197</f>
        <v/>
      </c>
      <c r="BQ198" s="3">
        <f>BQ196-BQ197</f>
        <v/>
      </c>
      <c r="BR198" s="3">
        <f>BR196-BR197</f>
        <v/>
      </c>
      <c r="BS198" s="3">
        <f>BS196-BS197</f>
        <v/>
      </c>
      <c r="BT198" s="3">
        <f>BT196-BT197</f>
        <v/>
      </c>
      <c r="BU198" s="3">
        <f>BU196-BU197</f>
        <v/>
      </c>
      <c r="BV198" s="3">
        <f>BV196-BV197</f>
        <v/>
      </c>
    </row>
    <row r="199">
      <c r="A199" t="inlineStr">
        <is>
          <t>paid starts</t>
        </is>
      </c>
      <c r="B199" t="inlineStr">
        <is>
          <t>ROW|NITRO_A</t>
        </is>
      </c>
      <c r="C199" s="3">
        <f>C192+C194</f>
        <v/>
      </c>
      <c r="D199" s="3">
        <f>D192+D194</f>
        <v/>
      </c>
      <c r="E199" s="3">
        <f>E192+E194</f>
        <v/>
      </c>
      <c r="F199" s="3">
        <f>F192+F194</f>
        <v/>
      </c>
      <c r="G199" s="3">
        <f>G192+G194</f>
        <v/>
      </c>
      <c r="H199" s="3">
        <f>H192+H194</f>
        <v/>
      </c>
      <c r="I199" s="3">
        <f>I192+I194</f>
        <v/>
      </c>
      <c r="J199" s="3">
        <f>J192+J194</f>
        <v/>
      </c>
      <c r="K199" s="3">
        <f>K192+K194</f>
        <v/>
      </c>
      <c r="L199" s="3">
        <f>L192+L194</f>
        <v/>
      </c>
      <c r="M199" s="3">
        <f>M192+M194</f>
        <v/>
      </c>
      <c r="N199" s="3">
        <f>N192+N194</f>
        <v/>
      </c>
      <c r="O199" s="3">
        <f>O192+O194</f>
        <v/>
      </c>
      <c r="P199" s="3">
        <f>P192+P194</f>
        <v/>
      </c>
      <c r="Q199" s="3">
        <f>Q192+Q194</f>
        <v/>
      </c>
      <c r="R199" s="3">
        <f>R192+R194</f>
        <v/>
      </c>
      <c r="S199" s="3">
        <f>S192+S194</f>
        <v/>
      </c>
      <c r="T199" s="3">
        <f>T192+T194</f>
        <v/>
      </c>
      <c r="U199" s="3">
        <f>U192+U194</f>
        <v/>
      </c>
      <c r="V199" s="3">
        <f>V192+V194</f>
        <v/>
      </c>
      <c r="W199" s="3">
        <f>W192+W194</f>
        <v/>
      </c>
      <c r="X199" s="3">
        <f>X192+X194</f>
        <v/>
      </c>
      <c r="Y199" s="3">
        <f>Y192+Y194</f>
        <v/>
      </c>
      <c r="Z199" s="3">
        <f>Z192+Z194</f>
        <v/>
      </c>
      <c r="AA199" s="3">
        <f>AA192+AA194</f>
        <v/>
      </c>
      <c r="AB199" s="3">
        <f>AB192+AB194</f>
        <v/>
      </c>
      <c r="AC199" s="3">
        <f>AC192+AC194</f>
        <v/>
      </c>
      <c r="AD199" s="3">
        <f>AD192+AD194</f>
        <v/>
      </c>
      <c r="AE199" s="3">
        <f>AE192+AE194</f>
        <v/>
      </c>
      <c r="AF199" s="3">
        <f>AF192+AF194</f>
        <v/>
      </c>
      <c r="AG199" s="3">
        <f>AG192+AG194</f>
        <v/>
      </c>
      <c r="AH199" s="3">
        <f>AH192+AH194</f>
        <v/>
      </c>
      <c r="AI199" s="3">
        <f>AI192+AI194</f>
        <v/>
      </c>
      <c r="AJ199" s="3">
        <f>AJ192+AJ194</f>
        <v/>
      </c>
      <c r="AK199" s="3">
        <f>AK192+AK194</f>
        <v/>
      </c>
      <c r="AL199" s="3">
        <f>AL192+AL194</f>
        <v/>
      </c>
      <c r="AM199" s="3">
        <f>AM192+AM194</f>
        <v/>
      </c>
      <c r="AN199" s="3">
        <f>AN192+AN194</f>
        <v/>
      </c>
      <c r="AO199" s="3">
        <f>AO192+AO194</f>
        <v/>
      </c>
      <c r="AP199" s="3">
        <f>AP192+AP194</f>
        <v/>
      </c>
      <c r="AQ199" s="3">
        <f>AQ192+AQ194</f>
        <v/>
      </c>
      <c r="AR199" s="3">
        <f>AR192+AR194</f>
        <v/>
      </c>
      <c r="AS199" s="3">
        <f>AS192+AS194</f>
        <v/>
      </c>
      <c r="AT199" s="3">
        <f>AT192+AT194</f>
        <v/>
      </c>
      <c r="AU199" s="3">
        <f>AU192+AU194</f>
        <v/>
      </c>
      <c r="AV199" s="3">
        <f>AV192+AV194</f>
        <v/>
      </c>
      <c r="AW199" s="3">
        <f>AW192+AW194</f>
        <v/>
      </c>
      <c r="AX199" s="3">
        <f>AX192+AX194</f>
        <v/>
      </c>
      <c r="AY199" s="3">
        <f>AY192+AY194</f>
        <v/>
      </c>
      <c r="AZ199" s="3">
        <f>AZ192+AZ194</f>
        <v/>
      </c>
      <c r="BA199" s="3">
        <f>BA192+BA194</f>
        <v/>
      </c>
      <c r="BB199" s="3">
        <f>BB192+BB194</f>
        <v/>
      </c>
      <c r="BC199" s="3">
        <f>BC192+BC194</f>
        <v/>
      </c>
      <c r="BD199" s="3">
        <f>BD192+BD194</f>
        <v/>
      </c>
      <c r="BE199" s="3">
        <f>BE192+BE194</f>
        <v/>
      </c>
      <c r="BF199" s="3">
        <f>BF192+BF194</f>
        <v/>
      </c>
      <c r="BG199" s="3">
        <f>BG192+BG194</f>
        <v/>
      </c>
      <c r="BH199" s="3">
        <f>BH192+BH194</f>
        <v/>
      </c>
      <c r="BI199" s="3">
        <f>BI192+BI194</f>
        <v/>
      </c>
      <c r="BJ199" s="3">
        <f>BJ192+BJ194</f>
        <v/>
      </c>
      <c r="BK199" s="3">
        <f>BK192+BK194</f>
        <v/>
      </c>
      <c r="BL199" s="3">
        <f>BL192+BL194</f>
        <v/>
      </c>
      <c r="BM199" s="3">
        <f>BM192+BM194</f>
        <v/>
      </c>
      <c r="BN199" s="3">
        <f>BN192+BN194</f>
        <v/>
      </c>
      <c r="BO199" s="3">
        <f>BO192+BO194</f>
        <v/>
      </c>
      <c r="BP199" s="3">
        <f>BP192+BP194</f>
        <v/>
      </c>
      <c r="BQ199" s="3">
        <f>BQ192+BQ194</f>
        <v/>
      </c>
      <c r="BR199" s="3">
        <f>BR192+BR194</f>
        <v/>
      </c>
      <c r="BS199" s="3">
        <f>BS192+BS194</f>
        <v/>
      </c>
      <c r="BT199" s="3">
        <f>BT192+BT194</f>
        <v/>
      </c>
      <c r="BU199" s="3">
        <f>BU192+BU194</f>
        <v/>
      </c>
      <c r="BV199" s="3">
        <f>BV192+BV194</f>
        <v/>
      </c>
    </row>
    <row r="201">
      <c r="A201" t="inlineStr">
        <is>
          <t>gross adds</t>
        </is>
      </c>
      <c r="B201" t="inlineStr">
        <is>
          <t>ROW|BASIC_M</t>
        </is>
      </c>
      <c r="C201" s="3">
        <f>MAU!C8*Params!$B$40*Params!$B$5*Params!$B$87*Params!$B$73</f>
        <v/>
      </c>
      <c r="D201" s="3">
        <f>MAU!D8*Params!$B$40*Params!$B$5*Params!$B$87*Params!$B$73</f>
        <v/>
      </c>
      <c r="E201" s="3">
        <f>MAU!E8*Params!$B$40*Params!$B$5*Params!$B$87*Params!$B$73</f>
        <v/>
      </c>
      <c r="F201" s="3">
        <f>MAU!F8*Params!$B$40*Params!$B$5*Params!$B$87*Params!$B$73</f>
        <v/>
      </c>
      <c r="G201" s="3">
        <f>MAU!G8*Params!$B$40*Params!$B$5*Params!$B$87*Params!$B$73</f>
        <v/>
      </c>
      <c r="H201" s="3">
        <f>MAU!H8*Params!$B$40*Params!$B$5*Params!$B$87*Params!$B$73</f>
        <v/>
      </c>
      <c r="I201" s="3">
        <f>MAU!I8*Params!$B$40*Params!$B$5*Params!$B$87*Params!$B$73</f>
        <v/>
      </c>
      <c r="J201" s="3">
        <f>MAU!J8*Params!$B$40*Params!$B$5*Params!$B$87*Params!$B$73</f>
        <v/>
      </c>
      <c r="K201" s="3">
        <f>MAU!K8*Params!$B$40*Params!$B$5*Params!$B$87*Params!$B$73</f>
        <v/>
      </c>
      <c r="L201" s="3">
        <f>MAU!L8*Params!$B$40*Params!$B$5*Params!$B$87*Params!$B$73</f>
        <v/>
      </c>
      <c r="M201" s="3">
        <f>MAU!M8*Params!$B$40*Params!$B$5*Params!$B$87*Params!$B$73</f>
        <v/>
      </c>
      <c r="N201" s="3">
        <f>MAU!N8*Params!$B$40*Params!$B$5*Params!$B$87*Params!$B$73</f>
        <v/>
      </c>
      <c r="O201" s="3">
        <f>MAU!O8*Params!$B$40*Params!$B$5*Params!$B$87*Params!$B$73</f>
        <v/>
      </c>
      <c r="P201" s="3">
        <f>MAU!P8*Params!$B$40*Params!$B$5*Params!$B$87*Params!$B$73</f>
        <v/>
      </c>
      <c r="Q201" s="3">
        <f>MAU!Q8*Params!$B$40*Params!$B$5*Params!$B$87*Params!$B$73</f>
        <v/>
      </c>
      <c r="R201" s="3">
        <f>MAU!R8*Params!$B$40*Params!$B$5*Params!$B$87*Params!$B$73</f>
        <v/>
      </c>
      <c r="S201" s="3">
        <f>MAU!S8*Params!$B$40*Params!$B$5*Params!$B$87*Params!$B$73</f>
        <v/>
      </c>
      <c r="T201" s="3">
        <f>MAU!T8*Params!$B$40*Params!$B$5*Params!$B$87*Params!$B$73</f>
        <v/>
      </c>
      <c r="U201" s="3">
        <f>MAU!U8*Params!$B$40*Params!$B$5*Params!$B$87*Params!$B$73</f>
        <v/>
      </c>
      <c r="V201" s="3">
        <f>MAU!V8*Params!$B$40*Params!$B$5*Params!$B$87*Params!$B$73</f>
        <v/>
      </c>
      <c r="W201" s="3">
        <f>MAU!W8*Params!$B$40*Params!$B$5*Params!$B$87*Params!$B$73</f>
        <v/>
      </c>
      <c r="X201" s="3">
        <f>MAU!X8*Params!$B$40*Params!$B$5*Params!$B$87*Params!$B$73</f>
        <v/>
      </c>
      <c r="Y201" s="3">
        <f>MAU!Y8*Params!$B$40*Params!$B$5*Params!$B$87*Params!$B$73</f>
        <v/>
      </c>
      <c r="Z201" s="3">
        <f>MAU!Z8*Params!$B$40*Params!$B$5*Params!$B$87*Params!$B$73</f>
        <v/>
      </c>
      <c r="AA201" s="3">
        <f>MAU!AA8*Params!$B$40*Params!$B$5*Params!$B$87*Params!$B$73</f>
        <v/>
      </c>
      <c r="AB201" s="3">
        <f>MAU!AB8*Params!$B$40*Params!$B$5*Params!$B$87*Params!$B$73</f>
        <v/>
      </c>
      <c r="AC201" s="3">
        <f>MAU!AC8*Params!$B$40*Params!$B$5*Params!$B$87*Params!$B$73</f>
        <v/>
      </c>
      <c r="AD201" s="3">
        <f>MAU!AD8*Params!$B$40*Params!$B$5*Params!$B$87*Params!$B$73</f>
        <v/>
      </c>
      <c r="AE201" s="3">
        <f>MAU!AE8*Params!$B$40*Params!$B$5*Params!$B$87*Params!$B$73</f>
        <v/>
      </c>
      <c r="AF201" s="3">
        <f>MAU!AF8*Params!$B$40*Params!$B$5*Params!$B$87*Params!$B$73</f>
        <v/>
      </c>
      <c r="AG201" s="3">
        <f>MAU!AG8*Params!$B$40*Params!$B$5*Params!$B$87*Params!$B$73</f>
        <v/>
      </c>
      <c r="AH201" s="3">
        <f>MAU!AH8*Params!$B$40*Params!$B$5*Params!$B$87*Params!$B$73</f>
        <v/>
      </c>
      <c r="AI201" s="3">
        <f>MAU!AI8*Params!$B$40*Params!$B$5*Params!$B$87*Params!$B$73</f>
        <v/>
      </c>
      <c r="AJ201" s="3">
        <f>MAU!AJ8*Params!$B$40*Params!$B$5*Params!$B$87*Params!$B$73</f>
        <v/>
      </c>
      <c r="AK201" s="3">
        <f>MAU!AK8*Params!$B$40*Params!$B$5*Params!$B$87*Params!$B$73</f>
        <v/>
      </c>
      <c r="AL201" s="3">
        <f>MAU!AL8*Params!$B$40*Params!$B$5*Params!$B$87*Params!$B$73</f>
        <v/>
      </c>
      <c r="AM201" s="3">
        <f>MAU!AM8*Params!$B$40*Params!$B$5*Params!$B$87*Params!$B$73</f>
        <v/>
      </c>
      <c r="AN201" s="3">
        <f>MAU!AN8*Params!$B$40*Params!$B$5*Params!$B$87*Params!$B$73</f>
        <v/>
      </c>
      <c r="AO201" s="3">
        <f>MAU!AO8*Params!$B$40*Params!$B$5*Params!$B$87*Params!$B$73</f>
        <v/>
      </c>
      <c r="AP201" s="3">
        <f>MAU!AP8*Params!$B$40*Params!$B$5*Params!$B$87*Params!$B$73</f>
        <v/>
      </c>
      <c r="AQ201" s="3">
        <f>MAU!AQ8*Params!$B$40*Params!$B$5*Params!$B$87*Params!$B$73</f>
        <v/>
      </c>
      <c r="AR201" s="3">
        <f>MAU!AR8*Params!$B$40*Params!$B$5*Params!$B$87*Params!$B$73</f>
        <v/>
      </c>
      <c r="AS201" s="3">
        <f>MAU!AS8*Params!$B$40*Params!$B$5*Params!$B$87*Params!$B$73</f>
        <v/>
      </c>
      <c r="AT201" s="3">
        <f>MAU!AT8*Params!$B$40*Params!$B$5*Params!$B$87*Params!$B$73</f>
        <v/>
      </c>
      <c r="AU201" s="3">
        <f>MAU!AU8*Params!$B$40*Params!$B$5*Params!$B$87*Params!$B$73</f>
        <v/>
      </c>
      <c r="AV201" s="3">
        <f>MAU!AV8*Params!$B$40*Params!$B$5*Params!$B$87*Params!$B$73</f>
        <v/>
      </c>
      <c r="AW201" s="3">
        <f>MAU!AW8*Params!$B$40*Params!$B$5*Params!$B$87*Params!$B$73</f>
        <v/>
      </c>
      <c r="AX201" s="3">
        <f>MAU!AX8*Params!$B$40*Params!$B$5*Params!$B$87*Params!$B$73</f>
        <v/>
      </c>
      <c r="AY201" s="3">
        <f>MAU!AY8*Params!$B$40*Params!$B$5*Params!$B$87*Params!$B$73</f>
        <v/>
      </c>
      <c r="AZ201" s="3">
        <f>MAU!AZ8*Params!$B$40*Params!$B$5*Params!$B$87*Params!$B$73</f>
        <v/>
      </c>
      <c r="BA201" s="3">
        <f>MAU!BA8*Params!$B$40*Params!$B$5*Params!$B$87*Params!$B$73</f>
        <v/>
      </c>
      <c r="BB201" s="3">
        <f>MAU!BB8*Params!$B$40*Params!$B$5*Params!$B$87*Params!$B$73</f>
        <v/>
      </c>
      <c r="BC201" s="3">
        <f>MAU!BC8*Params!$B$40*Params!$B$5*Params!$B$87*Params!$B$73</f>
        <v/>
      </c>
      <c r="BD201" s="3">
        <f>MAU!BD8*Params!$B$40*Params!$B$5*Params!$B$87*Params!$B$73</f>
        <v/>
      </c>
      <c r="BE201" s="3">
        <f>MAU!BE8*Params!$B$40*Params!$B$5*Params!$B$87*Params!$B$73</f>
        <v/>
      </c>
      <c r="BF201" s="3">
        <f>MAU!BF8*Params!$B$40*Params!$B$5*Params!$B$87*Params!$B$73</f>
        <v/>
      </c>
      <c r="BG201" s="3">
        <f>MAU!BG8*Params!$B$40*Params!$B$5*Params!$B$87*Params!$B$73</f>
        <v/>
      </c>
      <c r="BH201" s="3">
        <f>MAU!BH8*Params!$B$40*Params!$B$5*Params!$B$87*Params!$B$73</f>
        <v/>
      </c>
      <c r="BI201" s="3">
        <f>MAU!BI8*Params!$B$40*Params!$B$5*Params!$B$87*Params!$B$73</f>
        <v/>
      </c>
      <c r="BJ201" s="3">
        <f>MAU!BJ8*Params!$B$40*Params!$B$5*Params!$B$87*Params!$B$73</f>
        <v/>
      </c>
      <c r="BK201" s="3">
        <f>MAU!BK8*Params!$B$40*Params!$B$5*Params!$B$87*Params!$B$73</f>
        <v/>
      </c>
      <c r="BL201" s="3">
        <f>MAU!BL8*Params!$B$40*Params!$B$5*Params!$B$87*Params!$B$73</f>
        <v/>
      </c>
      <c r="BM201" s="3">
        <f>MAU!BM8*Params!$B$40*Params!$B$5*Params!$B$87*Params!$B$73</f>
        <v/>
      </c>
      <c r="BN201" s="3">
        <f>MAU!BN8*Params!$B$40*Params!$B$5*Params!$B$87*Params!$B$73</f>
        <v/>
      </c>
      <c r="BO201" s="3">
        <f>MAU!BO8*Params!$B$40*Params!$B$5*Params!$B$87*Params!$B$73</f>
        <v/>
      </c>
      <c r="BP201" s="3">
        <f>MAU!BP8*Params!$B$40*Params!$B$5*Params!$B$87*Params!$B$73</f>
        <v/>
      </c>
      <c r="BQ201" s="3">
        <f>MAU!BQ8*Params!$B$40*Params!$B$5*Params!$B$87*Params!$B$73</f>
        <v/>
      </c>
      <c r="BR201" s="3">
        <f>MAU!BR8*Params!$B$40*Params!$B$5*Params!$B$87*Params!$B$73</f>
        <v/>
      </c>
      <c r="BS201" s="3">
        <f>MAU!BS8*Params!$B$40*Params!$B$5*Params!$B$87*Params!$B$73</f>
        <v/>
      </c>
      <c r="BT201" s="3">
        <f>MAU!BT8*Params!$B$40*Params!$B$5*Params!$B$87*Params!$B$73</f>
        <v/>
      </c>
      <c r="BU201" s="3">
        <f>MAU!BU8*Params!$B$40*Params!$B$5*Params!$B$87*Params!$B$73</f>
        <v/>
      </c>
      <c r="BV201" s="3">
        <f>MAU!BV8*Params!$B$40*Params!$B$5*Params!$B$87*Params!$B$73</f>
        <v/>
      </c>
    </row>
    <row r="202">
      <c r="A202" t="inlineStr">
        <is>
          <t>trial starts</t>
        </is>
      </c>
      <c r="B202" t="inlineStr">
        <is>
          <t>ROW|BASIC_M</t>
        </is>
      </c>
      <c r="C202" s="3">
        <f>C201*Params!$B$6</f>
        <v/>
      </c>
      <c r="D202" s="3">
        <f>D201*Params!$B$6</f>
        <v/>
      </c>
      <c r="E202" s="3">
        <f>E201*Params!$B$6</f>
        <v/>
      </c>
      <c r="F202" s="3">
        <f>F201*Params!$B$6</f>
        <v/>
      </c>
      <c r="G202" s="3">
        <f>G201*Params!$B$6</f>
        <v/>
      </c>
      <c r="H202" s="3">
        <f>H201*Params!$B$6</f>
        <v/>
      </c>
      <c r="I202" s="3">
        <f>I201*Params!$B$6</f>
        <v/>
      </c>
      <c r="J202" s="3">
        <f>J201*Params!$B$6</f>
        <v/>
      </c>
      <c r="K202" s="3">
        <f>K201*Params!$B$6</f>
        <v/>
      </c>
      <c r="L202" s="3">
        <f>L201*Params!$B$6</f>
        <v/>
      </c>
      <c r="M202" s="3">
        <f>M201*Params!$B$6</f>
        <v/>
      </c>
      <c r="N202" s="3">
        <f>N201*Params!$B$6</f>
        <v/>
      </c>
      <c r="O202" s="3">
        <f>O201*Params!$B$6</f>
        <v/>
      </c>
      <c r="P202" s="3">
        <f>P201*Params!$B$6</f>
        <v/>
      </c>
      <c r="Q202" s="3">
        <f>Q201*Params!$B$6</f>
        <v/>
      </c>
      <c r="R202" s="3">
        <f>R201*Params!$B$6</f>
        <v/>
      </c>
      <c r="S202" s="3">
        <f>S201*Params!$B$6</f>
        <v/>
      </c>
      <c r="T202" s="3">
        <f>T201*Params!$B$6</f>
        <v/>
      </c>
      <c r="U202" s="3">
        <f>U201*Params!$B$6</f>
        <v/>
      </c>
      <c r="V202" s="3">
        <f>V201*Params!$B$6</f>
        <v/>
      </c>
      <c r="W202" s="3">
        <f>W201*Params!$B$6</f>
        <v/>
      </c>
      <c r="X202" s="3">
        <f>X201*Params!$B$6</f>
        <v/>
      </c>
      <c r="Y202" s="3">
        <f>Y201*Params!$B$6</f>
        <v/>
      </c>
      <c r="Z202" s="3">
        <f>Z201*Params!$B$6</f>
        <v/>
      </c>
      <c r="AA202" s="3">
        <f>AA201*Params!$B$6</f>
        <v/>
      </c>
      <c r="AB202" s="3">
        <f>AB201*Params!$B$6</f>
        <v/>
      </c>
      <c r="AC202" s="3">
        <f>AC201*Params!$B$6</f>
        <v/>
      </c>
      <c r="AD202" s="3">
        <f>AD201*Params!$B$6</f>
        <v/>
      </c>
      <c r="AE202" s="3">
        <f>AE201*Params!$B$6</f>
        <v/>
      </c>
      <c r="AF202" s="3">
        <f>AF201*Params!$B$6</f>
        <v/>
      </c>
      <c r="AG202" s="3">
        <f>AG201*Params!$B$6</f>
        <v/>
      </c>
      <c r="AH202" s="3">
        <f>AH201*Params!$B$6</f>
        <v/>
      </c>
      <c r="AI202" s="3">
        <f>AI201*Params!$B$6</f>
        <v/>
      </c>
      <c r="AJ202" s="3">
        <f>AJ201*Params!$B$6</f>
        <v/>
      </c>
      <c r="AK202" s="3">
        <f>AK201*Params!$B$6</f>
        <v/>
      </c>
      <c r="AL202" s="3">
        <f>AL201*Params!$B$6</f>
        <v/>
      </c>
      <c r="AM202" s="3">
        <f>AM201*Params!$B$6</f>
        <v/>
      </c>
      <c r="AN202" s="3">
        <f>AN201*Params!$B$6</f>
        <v/>
      </c>
      <c r="AO202" s="3">
        <f>AO201*Params!$B$6</f>
        <v/>
      </c>
      <c r="AP202" s="3">
        <f>AP201*Params!$B$6</f>
        <v/>
      </c>
      <c r="AQ202" s="3">
        <f>AQ201*Params!$B$6</f>
        <v/>
      </c>
      <c r="AR202" s="3">
        <f>AR201*Params!$B$6</f>
        <v/>
      </c>
      <c r="AS202" s="3">
        <f>AS201*Params!$B$6</f>
        <v/>
      </c>
      <c r="AT202" s="3">
        <f>AT201*Params!$B$6</f>
        <v/>
      </c>
      <c r="AU202" s="3">
        <f>AU201*Params!$B$6</f>
        <v/>
      </c>
      <c r="AV202" s="3">
        <f>AV201*Params!$B$6</f>
        <v/>
      </c>
      <c r="AW202" s="3">
        <f>AW201*Params!$B$6</f>
        <v/>
      </c>
      <c r="AX202" s="3">
        <f>AX201*Params!$B$6</f>
        <v/>
      </c>
      <c r="AY202" s="3">
        <f>AY201*Params!$B$6</f>
        <v/>
      </c>
      <c r="AZ202" s="3">
        <f>AZ201*Params!$B$6</f>
        <v/>
      </c>
      <c r="BA202" s="3">
        <f>BA201*Params!$B$6</f>
        <v/>
      </c>
      <c r="BB202" s="3">
        <f>BB201*Params!$B$6</f>
        <v/>
      </c>
      <c r="BC202" s="3">
        <f>BC201*Params!$B$6</f>
        <v/>
      </c>
      <c r="BD202" s="3">
        <f>BD201*Params!$B$6</f>
        <v/>
      </c>
      <c r="BE202" s="3">
        <f>BE201*Params!$B$6</f>
        <v/>
      </c>
      <c r="BF202" s="3">
        <f>BF201*Params!$B$6</f>
        <v/>
      </c>
      <c r="BG202" s="3">
        <f>BG201*Params!$B$6</f>
        <v/>
      </c>
      <c r="BH202" s="3">
        <f>BH201*Params!$B$6</f>
        <v/>
      </c>
      <c r="BI202" s="3">
        <f>BI201*Params!$B$6</f>
        <v/>
      </c>
      <c r="BJ202" s="3">
        <f>BJ201*Params!$B$6</f>
        <v/>
      </c>
      <c r="BK202" s="3">
        <f>BK201*Params!$B$6</f>
        <v/>
      </c>
      <c r="BL202" s="3">
        <f>BL201*Params!$B$6</f>
        <v/>
      </c>
      <c r="BM202" s="3">
        <f>BM201*Params!$B$6</f>
        <v/>
      </c>
      <c r="BN202" s="3">
        <f>BN201*Params!$B$6</f>
        <v/>
      </c>
      <c r="BO202" s="3">
        <f>BO201*Params!$B$6</f>
        <v/>
      </c>
      <c r="BP202" s="3">
        <f>BP201*Params!$B$6</f>
        <v/>
      </c>
      <c r="BQ202" s="3">
        <f>BQ201*Params!$B$6</f>
        <v/>
      </c>
      <c r="BR202" s="3">
        <f>BR201*Params!$B$6</f>
        <v/>
      </c>
      <c r="BS202" s="3">
        <f>BS201*Params!$B$6</f>
        <v/>
      </c>
      <c r="BT202" s="3">
        <f>BT201*Params!$B$6</f>
        <v/>
      </c>
      <c r="BU202" s="3">
        <f>BU201*Params!$B$6</f>
        <v/>
      </c>
      <c r="BV202" s="3">
        <f>BV201*Params!$B$6</f>
        <v/>
      </c>
    </row>
    <row r="203">
      <c r="A203" t="inlineStr">
        <is>
          <t>direct paid starts</t>
        </is>
      </c>
      <c r="B203" t="inlineStr">
        <is>
          <t>ROW|BASIC_M</t>
        </is>
      </c>
      <c r="C203" s="3">
        <f>C201-C202</f>
        <v/>
      </c>
      <c r="D203" s="3">
        <f>D201-D202</f>
        <v/>
      </c>
      <c r="E203" s="3">
        <f>E201-E202</f>
        <v/>
      </c>
      <c r="F203" s="3">
        <f>F201-F202</f>
        <v/>
      </c>
      <c r="G203" s="3">
        <f>G201-G202</f>
        <v/>
      </c>
      <c r="H203" s="3">
        <f>H201-H202</f>
        <v/>
      </c>
      <c r="I203" s="3">
        <f>I201-I202</f>
        <v/>
      </c>
      <c r="J203" s="3">
        <f>J201-J202</f>
        <v/>
      </c>
      <c r="K203" s="3">
        <f>K201-K202</f>
        <v/>
      </c>
      <c r="L203" s="3">
        <f>L201-L202</f>
        <v/>
      </c>
      <c r="M203" s="3">
        <f>M201-M202</f>
        <v/>
      </c>
      <c r="N203" s="3">
        <f>N201-N202</f>
        <v/>
      </c>
      <c r="O203" s="3">
        <f>O201-O202</f>
        <v/>
      </c>
      <c r="P203" s="3">
        <f>P201-P202</f>
        <v/>
      </c>
      <c r="Q203" s="3">
        <f>Q201-Q202</f>
        <v/>
      </c>
      <c r="R203" s="3">
        <f>R201-R202</f>
        <v/>
      </c>
      <c r="S203" s="3">
        <f>S201-S202</f>
        <v/>
      </c>
      <c r="T203" s="3">
        <f>T201-T202</f>
        <v/>
      </c>
      <c r="U203" s="3">
        <f>U201-U202</f>
        <v/>
      </c>
      <c r="V203" s="3">
        <f>V201-V202</f>
        <v/>
      </c>
      <c r="W203" s="3">
        <f>W201-W202</f>
        <v/>
      </c>
      <c r="X203" s="3">
        <f>X201-X202</f>
        <v/>
      </c>
      <c r="Y203" s="3">
        <f>Y201-Y202</f>
        <v/>
      </c>
      <c r="Z203" s="3">
        <f>Z201-Z202</f>
        <v/>
      </c>
      <c r="AA203" s="3">
        <f>AA201-AA202</f>
        <v/>
      </c>
      <c r="AB203" s="3">
        <f>AB201-AB202</f>
        <v/>
      </c>
      <c r="AC203" s="3">
        <f>AC201-AC202</f>
        <v/>
      </c>
      <c r="AD203" s="3">
        <f>AD201-AD202</f>
        <v/>
      </c>
      <c r="AE203" s="3">
        <f>AE201-AE202</f>
        <v/>
      </c>
      <c r="AF203" s="3">
        <f>AF201-AF202</f>
        <v/>
      </c>
      <c r="AG203" s="3">
        <f>AG201-AG202</f>
        <v/>
      </c>
      <c r="AH203" s="3">
        <f>AH201-AH202</f>
        <v/>
      </c>
      <c r="AI203" s="3">
        <f>AI201-AI202</f>
        <v/>
      </c>
      <c r="AJ203" s="3">
        <f>AJ201-AJ202</f>
        <v/>
      </c>
      <c r="AK203" s="3">
        <f>AK201-AK202</f>
        <v/>
      </c>
      <c r="AL203" s="3">
        <f>AL201-AL202</f>
        <v/>
      </c>
      <c r="AM203" s="3">
        <f>AM201-AM202</f>
        <v/>
      </c>
      <c r="AN203" s="3">
        <f>AN201-AN202</f>
        <v/>
      </c>
      <c r="AO203" s="3">
        <f>AO201-AO202</f>
        <v/>
      </c>
      <c r="AP203" s="3">
        <f>AP201-AP202</f>
        <v/>
      </c>
      <c r="AQ203" s="3">
        <f>AQ201-AQ202</f>
        <v/>
      </c>
      <c r="AR203" s="3">
        <f>AR201-AR202</f>
        <v/>
      </c>
      <c r="AS203" s="3">
        <f>AS201-AS202</f>
        <v/>
      </c>
      <c r="AT203" s="3">
        <f>AT201-AT202</f>
        <v/>
      </c>
      <c r="AU203" s="3">
        <f>AU201-AU202</f>
        <v/>
      </c>
      <c r="AV203" s="3">
        <f>AV201-AV202</f>
        <v/>
      </c>
      <c r="AW203" s="3">
        <f>AW201-AW202</f>
        <v/>
      </c>
      <c r="AX203" s="3">
        <f>AX201-AX202</f>
        <v/>
      </c>
      <c r="AY203" s="3">
        <f>AY201-AY202</f>
        <v/>
      </c>
      <c r="AZ203" s="3">
        <f>AZ201-AZ202</f>
        <v/>
      </c>
      <c r="BA203" s="3">
        <f>BA201-BA202</f>
        <v/>
      </c>
      <c r="BB203" s="3">
        <f>BB201-BB202</f>
        <v/>
      </c>
      <c r="BC203" s="3">
        <f>BC201-BC202</f>
        <v/>
      </c>
      <c r="BD203" s="3">
        <f>BD201-BD202</f>
        <v/>
      </c>
      <c r="BE203" s="3">
        <f>BE201-BE202</f>
        <v/>
      </c>
      <c r="BF203" s="3">
        <f>BF201-BF202</f>
        <v/>
      </c>
      <c r="BG203" s="3">
        <f>BG201-BG202</f>
        <v/>
      </c>
      <c r="BH203" s="3">
        <f>BH201-BH202</f>
        <v/>
      </c>
      <c r="BI203" s="3">
        <f>BI201-BI202</f>
        <v/>
      </c>
      <c r="BJ203" s="3">
        <f>BJ201-BJ202</f>
        <v/>
      </c>
      <c r="BK203" s="3">
        <f>BK201-BK202</f>
        <v/>
      </c>
      <c r="BL203" s="3">
        <f>BL201-BL202</f>
        <v/>
      </c>
      <c r="BM203" s="3">
        <f>BM201-BM202</f>
        <v/>
      </c>
      <c r="BN203" s="3">
        <f>BN201-BN202</f>
        <v/>
      </c>
      <c r="BO203" s="3">
        <f>BO201-BO202</f>
        <v/>
      </c>
      <c r="BP203" s="3">
        <f>BP201-BP202</f>
        <v/>
      </c>
      <c r="BQ203" s="3">
        <f>BQ201-BQ202</f>
        <v/>
      </c>
      <c r="BR203" s="3">
        <f>BR201-BR202</f>
        <v/>
      </c>
      <c r="BS203" s="3">
        <f>BS201-BS202</f>
        <v/>
      </c>
      <c r="BT203" s="3">
        <f>BT201-BT202</f>
        <v/>
      </c>
      <c r="BU203" s="3">
        <f>BU201-BU202</f>
        <v/>
      </c>
      <c r="BV203" s="3">
        <f>BV201-BV202</f>
        <v/>
      </c>
    </row>
    <row r="204">
      <c r="A204" t="inlineStr">
        <is>
          <t>trials ending</t>
        </is>
      </c>
      <c r="B204" t="inlineStr">
        <is>
          <t>ROW|BASIC_M</t>
        </is>
      </c>
      <c r="C204" s="3">
        <f>IF(C$2&gt;=Params!$B$7,INDEX($C$202:$BV$202,C$2-Params!$B$7+1),0)</f>
        <v/>
      </c>
      <c r="D204" s="3">
        <f>IF(D$2&gt;=Params!$B$7,INDEX($C$202:$BV$202,D$2-Params!$B$7+1),0)</f>
        <v/>
      </c>
      <c r="E204" s="3">
        <f>IF(E$2&gt;=Params!$B$7,INDEX($C$202:$BV$202,E$2-Params!$B$7+1),0)</f>
        <v/>
      </c>
      <c r="F204" s="3">
        <f>IF(F$2&gt;=Params!$B$7,INDEX($C$202:$BV$202,F$2-Params!$B$7+1),0)</f>
        <v/>
      </c>
      <c r="G204" s="3">
        <f>IF(G$2&gt;=Params!$B$7,INDEX($C$202:$BV$202,G$2-Params!$B$7+1),0)</f>
        <v/>
      </c>
      <c r="H204" s="3">
        <f>IF(H$2&gt;=Params!$B$7,INDEX($C$202:$BV$202,H$2-Params!$B$7+1),0)</f>
        <v/>
      </c>
      <c r="I204" s="3">
        <f>IF(I$2&gt;=Params!$B$7,INDEX($C$202:$BV$202,I$2-Params!$B$7+1),0)</f>
        <v/>
      </c>
      <c r="J204" s="3">
        <f>IF(J$2&gt;=Params!$B$7,INDEX($C$202:$BV$202,J$2-Params!$B$7+1),0)</f>
        <v/>
      </c>
      <c r="K204" s="3">
        <f>IF(K$2&gt;=Params!$B$7,INDEX($C$202:$BV$202,K$2-Params!$B$7+1),0)</f>
        <v/>
      </c>
      <c r="L204" s="3">
        <f>IF(L$2&gt;=Params!$B$7,INDEX($C$202:$BV$202,L$2-Params!$B$7+1),0)</f>
        <v/>
      </c>
      <c r="M204" s="3">
        <f>IF(M$2&gt;=Params!$B$7,INDEX($C$202:$BV$202,M$2-Params!$B$7+1),0)</f>
        <v/>
      </c>
      <c r="N204" s="3">
        <f>IF(N$2&gt;=Params!$B$7,INDEX($C$202:$BV$202,N$2-Params!$B$7+1),0)</f>
        <v/>
      </c>
      <c r="O204" s="3">
        <f>IF(O$2&gt;=Params!$B$7,INDEX($C$202:$BV$202,O$2-Params!$B$7+1),0)</f>
        <v/>
      </c>
      <c r="P204" s="3">
        <f>IF(P$2&gt;=Params!$B$7,INDEX($C$202:$BV$202,P$2-Params!$B$7+1),0)</f>
        <v/>
      </c>
      <c r="Q204" s="3">
        <f>IF(Q$2&gt;=Params!$B$7,INDEX($C$202:$BV$202,Q$2-Params!$B$7+1),0)</f>
        <v/>
      </c>
      <c r="R204" s="3">
        <f>IF(R$2&gt;=Params!$B$7,INDEX($C$202:$BV$202,R$2-Params!$B$7+1),0)</f>
        <v/>
      </c>
      <c r="S204" s="3">
        <f>IF(S$2&gt;=Params!$B$7,INDEX($C$202:$BV$202,S$2-Params!$B$7+1),0)</f>
        <v/>
      </c>
      <c r="T204" s="3">
        <f>IF(T$2&gt;=Params!$B$7,INDEX($C$202:$BV$202,T$2-Params!$B$7+1),0)</f>
        <v/>
      </c>
      <c r="U204" s="3">
        <f>IF(U$2&gt;=Params!$B$7,INDEX($C$202:$BV$202,U$2-Params!$B$7+1),0)</f>
        <v/>
      </c>
      <c r="V204" s="3">
        <f>IF(V$2&gt;=Params!$B$7,INDEX($C$202:$BV$202,V$2-Params!$B$7+1),0)</f>
        <v/>
      </c>
      <c r="W204" s="3">
        <f>IF(W$2&gt;=Params!$B$7,INDEX($C$202:$BV$202,W$2-Params!$B$7+1),0)</f>
        <v/>
      </c>
      <c r="X204" s="3">
        <f>IF(X$2&gt;=Params!$B$7,INDEX($C$202:$BV$202,X$2-Params!$B$7+1),0)</f>
        <v/>
      </c>
      <c r="Y204" s="3">
        <f>IF(Y$2&gt;=Params!$B$7,INDEX($C$202:$BV$202,Y$2-Params!$B$7+1),0)</f>
        <v/>
      </c>
      <c r="Z204" s="3">
        <f>IF(Z$2&gt;=Params!$B$7,INDEX($C$202:$BV$202,Z$2-Params!$B$7+1),0)</f>
        <v/>
      </c>
      <c r="AA204" s="3">
        <f>IF(AA$2&gt;=Params!$B$7,INDEX($C$202:$BV$202,AA$2-Params!$B$7+1),0)</f>
        <v/>
      </c>
      <c r="AB204" s="3">
        <f>IF(AB$2&gt;=Params!$B$7,INDEX($C$202:$BV$202,AB$2-Params!$B$7+1),0)</f>
        <v/>
      </c>
      <c r="AC204" s="3">
        <f>IF(AC$2&gt;=Params!$B$7,INDEX($C$202:$BV$202,AC$2-Params!$B$7+1),0)</f>
        <v/>
      </c>
      <c r="AD204" s="3">
        <f>IF(AD$2&gt;=Params!$B$7,INDEX($C$202:$BV$202,AD$2-Params!$B$7+1),0)</f>
        <v/>
      </c>
      <c r="AE204" s="3">
        <f>IF(AE$2&gt;=Params!$B$7,INDEX($C$202:$BV$202,AE$2-Params!$B$7+1),0)</f>
        <v/>
      </c>
      <c r="AF204" s="3">
        <f>IF(AF$2&gt;=Params!$B$7,INDEX($C$202:$BV$202,AF$2-Params!$B$7+1),0)</f>
        <v/>
      </c>
      <c r="AG204" s="3">
        <f>IF(AG$2&gt;=Params!$B$7,INDEX($C$202:$BV$202,AG$2-Params!$B$7+1),0)</f>
        <v/>
      </c>
      <c r="AH204" s="3">
        <f>IF(AH$2&gt;=Params!$B$7,INDEX($C$202:$BV$202,AH$2-Params!$B$7+1),0)</f>
        <v/>
      </c>
      <c r="AI204" s="3">
        <f>IF(AI$2&gt;=Params!$B$7,INDEX($C$202:$BV$202,AI$2-Params!$B$7+1),0)</f>
        <v/>
      </c>
      <c r="AJ204" s="3">
        <f>IF(AJ$2&gt;=Params!$B$7,INDEX($C$202:$BV$202,AJ$2-Params!$B$7+1),0)</f>
        <v/>
      </c>
      <c r="AK204" s="3">
        <f>IF(AK$2&gt;=Params!$B$7,INDEX($C$202:$BV$202,AK$2-Params!$B$7+1),0)</f>
        <v/>
      </c>
      <c r="AL204" s="3">
        <f>IF(AL$2&gt;=Params!$B$7,INDEX($C$202:$BV$202,AL$2-Params!$B$7+1),0)</f>
        <v/>
      </c>
      <c r="AM204" s="3">
        <f>IF(AM$2&gt;=Params!$B$7,INDEX($C$202:$BV$202,AM$2-Params!$B$7+1),0)</f>
        <v/>
      </c>
      <c r="AN204" s="3">
        <f>IF(AN$2&gt;=Params!$B$7,INDEX($C$202:$BV$202,AN$2-Params!$B$7+1),0)</f>
        <v/>
      </c>
      <c r="AO204" s="3">
        <f>IF(AO$2&gt;=Params!$B$7,INDEX($C$202:$BV$202,AO$2-Params!$B$7+1),0)</f>
        <v/>
      </c>
      <c r="AP204" s="3">
        <f>IF(AP$2&gt;=Params!$B$7,INDEX($C$202:$BV$202,AP$2-Params!$B$7+1),0)</f>
        <v/>
      </c>
      <c r="AQ204" s="3">
        <f>IF(AQ$2&gt;=Params!$B$7,INDEX($C$202:$BV$202,AQ$2-Params!$B$7+1),0)</f>
        <v/>
      </c>
      <c r="AR204" s="3">
        <f>IF(AR$2&gt;=Params!$B$7,INDEX($C$202:$BV$202,AR$2-Params!$B$7+1),0)</f>
        <v/>
      </c>
      <c r="AS204" s="3">
        <f>IF(AS$2&gt;=Params!$B$7,INDEX($C$202:$BV$202,AS$2-Params!$B$7+1),0)</f>
        <v/>
      </c>
      <c r="AT204" s="3">
        <f>IF(AT$2&gt;=Params!$B$7,INDEX($C$202:$BV$202,AT$2-Params!$B$7+1),0)</f>
        <v/>
      </c>
      <c r="AU204" s="3">
        <f>IF(AU$2&gt;=Params!$B$7,INDEX($C$202:$BV$202,AU$2-Params!$B$7+1),0)</f>
        <v/>
      </c>
      <c r="AV204" s="3">
        <f>IF(AV$2&gt;=Params!$B$7,INDEX($C$202:$BV$202,AV$2-Params!$B$7+1),0)</f>
        <v/>
      </c>
      <c r="AW204" s="3">
        <f>IF(AW$2&gt;=Params!$B$7,INDEX($C$202:$BV$202,AW$2-Params!$B$7+1),0)</f>
        <v/>
      </c>
      <c r="AX204" s="3">
        <f>IF(AX$2&gt;=Params!$B$7,INDEX($C$202:$BV$202,AX$2-Params!$B$7+1),0)</f>
        <v/>
      </c>
      <c r="AY204" s="3">
        <f>IF(AY$2&gt;=Params!$B$7,INDEX($C$202:$BV$202,AY$2-Params!$B$7+1),0)</f>
        <v/>
      </c>
      <c r="AZ204" s="3">
        <f>IF(AZ$2&gt;=Params!$B$7,INDEX($C$202:$BV$202,AZ$2-Params!$B$7+1),0)</f>
        <v/>
      </c>
      <c r="BA204" s="3">
        <f>IF(BA$2&gt;=Params!$B$7,INDEX($C$202:$BV$202,BA$2-Params!$B$7+1),0)</f>
        <v/>
      </c>
      <c r="BB204" s="3">
        <f>IF(BB$2&gt;=Params!$B$7,INDEX($C$202:$BV$202,BB$2-Params!$B$7+1),0)</f>
        <v/>
      </c>
      <c r="BC204" s="3">
        <f>IF(BC$2&gt;=Params!$B$7,INDEX($C$202:$BV$202,BC$2-Params!$B$7+1),0)</f>
        <v/>
      </c>
      <c r="BD204" s="3">
        <f>IF(BD$2&gt;=Params!$B$7,INDEX($C$202:$BV$202,BD$2-Params!$B$7+1),0)</f>
        <v/>
      </c>
      <c r="BE204" s="3">
        <f>IF(BE$2&gt;=Params!$B$7,INDEX($C$202:$BV$202,BE$2-Params!$B$7+1),0)</f>
        <v/>
      </c>
      <c r="BF204" s="3">
        <f>IF(BF$2&gt;=Params!$B$7,INDEX($C$202:$BV$202,BF$2-Params!$B$7+1),0)</f>
        <v/>
      </c>
      <c r="BG204" s="3">
        <f>IF(BG$2&gt;=Params!$B$7,INDEX($C$202:$BV$202,BG$2-Params!$B$7+1),0)</f>
        <v/>
      </c>
      <c r="BH204" s="3">
        <f>IF(BH$2&gt;=Params!$B$7,INDEX($C$202:$BV$202,BH$2-Params!$B$7+1),0)</f>
        <v/>
      </c>
      <c r="BI204" s="3">
        <f>IF(BI$2&gt;=Params!$B$7,INDEX($C$202:$BV$202,BI$2-Params!$B$7+1),0)</f>
        <v/>
      </c>
      <c r="BJ204" s="3">
        <f>IF(BJ$2&gt;=Params!$B$7,INDEX($C$202:$BV$202,BJ$2-Params!$B$7+1),0)</f>
        <v/>
      </c>
      <c r="BK204" s="3">
        <f>IF(BK$2&gt;=Params!$B$7,INDEX($C$202:$BV$202,BK$2-Params!$B$7+1),0)</f>
        <v/>
      </c>
      <c r="BL204" s="3">
        <f>IF(BL$2&gt;=Params!$B$7,INDEX($C$202:$BV$202,BL$2-Params!$B$7+1),0)</f>
        <v/>
      </c>
      <c r="BM204" s="3">
        <f>IF(BM$2&gt;=Params!$B$7,INDEX($C$202:$BV$202,BM$2-Params!$B$7+1),0)</f>
        <v/>
      </c>
      <c r="BN204" s="3">
        <f>IF(BN$2&gt;=Params!$B$7,INDEX($C$202:$BV$202,BN$2-Params!$B$7+1),0)</f>
        <v/>
      </c>
      <c r="BO204" s="3">
        <f>IF(BO$2&gt;=Params!$B$7,INDEX($C$202:$BV$202,BO$2-Params!$B$7+1),0)</f>
        <v/>
      </c>
      <c r="BP204" s="3">
        <f>IF(BP$2&gt;=Params!$B$7,INDEX($C$202:$BV$202,BP$2-Params!$B$7+1),0)</f>
        <v/>
      </c>
      <c r="BQ204" s="3">
        <f>IF(BQ$2&gt;=Params!$B$7,INDEX($C$202:$BV$202,BQ$2-Params!$B$7+1),0)</f>
        <v/>
      </c>
      <c r="BR204" s="3">
        <f>IF(BR$2&gt;=Params!$B$7,INDEX($C$202:$BV$202,BR$2-Params!$B$7+1),0)</f>
        <v/>
      </c>
      <c r="BS204" s="3">
        <f>IF(BS$2&gt;=Params!$B$7,INDEX($C$202:$BV$202,BS$2-Params!$B$7+1),0)</f>
        <v/>
      </c>
      <c r="BT204" s="3">
        <f>IF(BT$2&gt;=Params!$B$7,INDEX($C$202:$BV$202,BT$2-Params!$B$7+1),0)</f>
        <v/>
      </c>
      <c r="BU204" s="3">
        <f>IF(BU$2&gt;=Params!$B$7,INDEX($C$202:$BV$202,BU$2-Params!$B$7+1),0)</f>
        <v/>
      </c>
      <c r="BV204" s="3">
        <f>IF(BV$2&gt;=Params!$B$7,INDEX($C$202:$BV$202,BV$2-Params!$B$7+1),0)</f>
        <v/>
      </c>
    </row>
    <row r="205">
      <c r="A205" t="inlineStr">
        <is>
          <t>trials converted</t>
        </is>
      </c>
      <c r="B205" t="inlineStr">
        <is>
          <t>ROW|BASIC_M</t>
        </is>
      </c>
      <c r="C205" s="3">
        <f>C204*Params!$B$8</f>
        <v/>
      </c>
      <c r="D205" s="3">
        <f>D204*Params!$B$8</f>
        <v/>
      </c>
      <c r="E205" s="3">
        <f>E204*Params!$B$8</f>
        <v/>
      </c>
      <c r="F205" s="3">
        <f>F204*Params!$B$8</f>
        <v/>
      </c>
      <c r="G205" s="3">
        <f>G204*Params!$B$8</f>
        <v/>
      </c>
      <c r="H205" s="3">
        <f>H204*Params!$B$8</f>
        <v/>
      </c>
      <c r="I205" s="3">
        <f>I204*Params!$B$8</f>
        <v/>
      </c>
      <c r="J205" s="3">
        <f>J204*Params!$B$8</f>
        <v/>
      </c>
      <c r="K205" s="3">
        <f>K204*Params!$B$8</f>
        <v/>
      </c>
      <c r="L205" s="3">
        <f>L204*Params!$B$8</f>
        <v/>
      </c>
      <c r="M205" s="3">
        <f>M204*Params!$B$8</f>
        <v/>
      </c>
      <c r="N205" s="3">
        <f>N204*Params!$B$8</f>
        <v/>
      </c>
      <c r="O205" s="3">
        <f>O204*Params!$B$8</f>
        <v/>
      </c>
      <c r="P205" s="3">
        <f>P204*Params!$B$8</f>
        <v/>
      </c>
      <c r="Q205" s="3">
        <f>Q204*Params!$B$8</f>
        <v/>
      </c>
      <c r="R205" s="3">
        <f>R204*Params!$B$8</f>
        <v/>
      </c>
      <c r="S205" s="3">
        <f>S204*Params!$B$8</f>
        <v/>
      </c>
      <c r="T205" s="3">
        <f>T204*Params!$B$8</f>
        <v/>
      </c>
      <c r="U205" s="3">
        <f>U204*Params!$B$8</f>
        <v/>
      </c>
      <c r="V205" s="3">
        <f>V204*Params!$B$8</f>
        <v/>
      </c>
      <c r="W205" s="3">
        <f>W204*Params!$B$8</f>
        <v/>
      </c>
      <c r="X205" s="3">
        <f>X204*Params!$B$8</f>
        <v/>
      </c>
      <c r="Y205" s="3">
        <f>Y204*Params!$B$8</f>
        <v/>
      </c>
      <c r="Z205" s="3">
        <f>Z204*Params!$B$8</f>
        <v/>
      </c>
      <c r="AA205" s="3">
        <f>AA204*Params!$B$8</f>
        <v/>
      </c>
      <c r="AB205" s="3">
        <f>AB204*Params!$B$8</f>
        <v/>
      </c>
      <c r="AC205" s="3">
        <f>AC204*Params!$B$8</f>
        <v/>
      </c>
      <c r="AD205" s="3">
        <f>AD204*Params!$B$8</f>
        <v/>
      </c>
      <c r="AE205" s="3">
        <f>AE204*Params!$B$8</f>
        <v/>
      </c>
      <c r="AF205" s="3">
        <f>AF204*Params!$B$8</f>
        <v/>
      </c>
      <c r="AG205" s="3">
        <f>AG204*Params!$B$8</f>
        <v/>
      </c>
      <c r="AH205" s="3">
        <f>AH204*Params!$B$8</f>
        <v/>
      </c>
      <c r="AI205" s="3">
        <f>AI204*Params!$B$8</f>
        <v/>
      </c>
      <c r="AJ205" s="3">
        <f>AJ204*Params!$B$8</f>
        <v/>
      </c>
      <c r="AK205" s="3">
        <f>AK204*Params!$B$8</f>
        <v/>
      </c>
      <c r="AL205" s="3">
        <f>AL204*Params!$B$8</f>
        <v/>
      </c>
      <c r="AM205" s="3">
        <f>AM204*Params!$B$8</f>
        <v/>
      </c>
      <c r="AN205" s="3">
        <f>AN204*Params!$B$8</f>
        <v/>
      </c>
      <c r="AO205" s="3">
        <f>AO204*Params!$B$8</f>
        <v/>
      </c>
      <c r="AP205" s="3">
        <f>AP204*Params!$B$8</f>
        <v/>
      </c>
      <c r="AQ205" s="3">
        <f>AQ204*Params!$B$8</f>
        <v/>
      </c>
      <c r="AR205" s="3">
        <f>AR204*Params!$B$8</f>
        <v/>
      </c>
      <c r="AS205" s="3">
        <f>AS204*Params!$B$8</f>
        <v/>
      </c>
      <c r="AT205" s="3">
        <f>AT204*Params!$B$8</f>
        <v/>
      </c>
      <c r="AU205" s="3">
        <f>AU204*Params!$B$8</f>
        <v/>
      </c>
      <c r="AV205" s="3">
        <f>AV204*Params!$B$8</f>
        <v/>
      </c>
      <c r="AW205" s="3">
        <f>AW204*Params!$B$8</f>
        <v/>
      </c>
      <c r="AX205" s="3">
        <f>AX204*Params!$B$8</f>
        <v/>
      </c>
      <c r="AY205" s="3">
        <f>AY204*Params!$B$8</f>
        <v/>
      </c>
      <c r="AZ205" s="3">
        <f>AZ204*Params!$B$8</f>
        <v/>
      </c>
      <c r="BA205" s="3">
        <f>BA204*Params!$B$8</f>
        <v/>
      </c>
      <c r="BB205" s="3">
        <f>BB204*Params!$B$8</f>
        <v/>
      </c>
      <c r="BC205" s="3">
        <f>BC204*Params!$B$8</f>
        <v/>
      </c>
      <c r="BD205" s="3">
        <f>BD204*Params!$B$8</f>
        <v/>
      </c>
      <c r="BE205" s="3">
        <f>BE204*Params!$B$8</f>
        <v/>
      </c>
      <c r="BF205" s="3">
        <f>BF204*Params!$B$8</f>
        <v/>
      </c>
      <c r="BG205" s="3">
        <f>BG204*Params!$B$8</f>
        <v/>
      </c>
      <c r="BH205" s="3">
        <f>BH204*Params!$B$8</f>
        <v/>
      </c>
      <c r="BI205" s="3">
        <f>BI204*Params!$B$8</f>
        <v/>
      </c>
      <c r="BJ205" s="3">
        <f>BJ204*Params!$B$8</f>
        <v/>
      </c>
      <c r="BK205" s="3">
        <f>BK204*Params!$B$8</f>
        <v/>
      </c>
      <c r="BL205" s="3">
        <f>BL204*Params!$B$8</f>
        <v/>
      </c>
      <c r="BM205" s="3">
        <f>BM204*Params!$B$8</f>
        <v/>
      </c>
      <c r="BN205" s="3">
        <f>BN204*Params!$B$8</f>
        <v/>
      </c>
      <c r="BO205" s="3">
        <f>BO204*Params!$B$8</f>
        <v/>
      </c>
      <c r="BP205" s="3">
        <f>BP204*Params!$B$8</f>
        <v/>
      </c>
      <c r="BQ205" s="3">
        <f>BQ204*Params!$B$8</f>
        <v/>
      </c>
      <c r="BR205" s="3">
        <f>BR204*Params!$B$8</f>
        <v/>
      </c>
      <c r="BS205" s="3">
        <f>BS204*Params!$B$8</f>
        <v/>
      </c>
      <c r="BT205" s="3">
        <f>BT204*Params!$B$8</f>
        <v/>
      </c>
      <c r="BU205" s="3">
        <f>BU204*Params!$B$8</f>
        <v/>
      </c>
      <c r="BV205" s="3">
        <f>BV204*Params!$B$8</f>
        <v/>
      </c>
    </row>
    <row r="206">
      <c r="A206" t="inlineStr">
        <is>
          <t>trials lost</t>
        </is>
      </c>
      <c r="B206" t="inlineStr">
        <is>
          <t>ROW|BASIC_M</t>
        </is>
      </c>
      <c r="C206" s="3">
        <f>C204-C205</f>
        <v/>
      </c>
      <c r="D206" s="3">
        <f>D204-D205</f>
        <v/>
      </c>
      <c r="E206" s="3">
        <f>E204-E205</f>
        <v/>
      </c>
      <c r="F206" s="3">
        <f>F204-F205</f>
        <v/>
      </c>
      <c r="G206" s="3">
        <f>G204-G205</f>
        <v/>
      </c>
      <c r="H206" s="3">
        <f>H204-H205</f>
        <v/>
      </c>
      <c r="I206" s="3">
        <f>I204-I205</f>
        <v/>
      </c>
      <c r="J206" s="3">
        <f>J204-J205</f>
        <v/>
      </c>
      <c r="K206" s="3">
        <f>K204-K205</f>
        <v/>
      </c>
      <c r="L206" s="3">
        <f>L204-L205</f>
        <v/>
      </c>
      <c r="M206" s="3">
        <f>M204-M205</f>
        <v/>
      </c>
      <c r="N206" s="3">
        <f>N204-N205</f>
        <v/>
      </c>
      <c r="O206" s="3">
        <f>O204-O205</f>
        <v/>
      </c>
      <c r="P206" s="3">
        <f>P204-P205</f>
        <v/>
      </c>
      <c r="Q206" s="3">
        <f>Q204-Q205</f>
        <v/>
      </c>
      <c r="R206" s="3">
        <f>R204-R205</f>
        <v/>
      </c>
      <c r="S206" s="3">
        <f>S204-S205</f>
        <v/>
      </c>
      <c r="T206" s="3">
        <f>T204-T205</f>
        <v/>
      </c>
      <c r="U206" s="3">
        <f>U204-U205</f>
        <v/>
      </c>
      <c r="V206" s="3">
        <f>V204-V205</f>
        <v/>
      </c>
      <c r="W206" s="3">
        <f>W204-W205</f>
        <v/>
      </c>
      <c r="X206" s="3">
        <f>X204-X205</f>
        <v/>
      </c>
      <c r="Y206" s="3">
        <f>Y204-Y205</f>
        <v/>
      </c>
      <c r="Z206" s="3">
        <f>Z204-Z205</f>
        <v/>
      </c>
      <c r="AA206" s="3">
        <f>AA204-AA205</f>
        <v/>
      </c>
      <c r="AB206" s="3">
        <f>AB204-AB205</f>
        <v/>
      </c>
      <c r="AC206" s="3">
        <f>AC204-AC205</f>
        <v/>
      </c>
      <c r="AD206" s="3">
        <f>AD204-AD205</f>
        <v/>
      </c>
      <c r="AE206" s="3">
        <f>AE204-AE205</f>
        <v/>
      </c>
      <c r="AF206" s="3">
        <f>AF204-AF205</f>
        <v/>
      </c>
      <c r="AG206" s="3">
        <f>AG204-AG205</f>
        <v/>
      </c>
      <c r="AH206" s="3">
        <f>AH204-AH205</f>
        <v/>
      </c>
      <c r="AI206" s="3">
        <f>AI204-AI205</f>
        <v/>
      </c>
      <c r="AJ206" s="3">
        <f>AJ204-AJ205</f>
        <v/>
      </c>
      <c r="AK206" s="3">
        <f>AK204-AK205</f>
        <v/>
      </c>
      <c r="AL206" s="3">
        <f>AL204-AL205</f>
        <v/>
      </c>
      <c r="AM206" s="3">
        <f>AM204-AM205</f>
        <v/>
      </c>
      <c r="AN206" s="3">
        <f>AN204-AN205</f>
        <v/>
      </c>
      <c r="AO206" s="3">
        <f>AO204-AO205</f>
        <v/>
      </c>
      <c r="AP206" s="3">
        <f>AP204-AP205</f>
        <v/>
      </c>
      <c r="AQ206" s="3">
        <f>AQ204-AQ205</f>
        <v/>
      </c>
      <c r="AR206" s="3">
        <f>AR204-AR205</f>
        <v/>
      </c>
      <c r="AS206" s="3">
        <f>AS204-AS205</f>
        <v/>
      </c>
      <c r="AT206" s="3">
        <f>AT204-AT205</f>
        <v/>
      </c>
      <c r="AU206" s="3">
        <f>AU204-AU205</f>
        <v/>
      </c>
      <c r="AV206" s="3">
        <f>AV204-AV205</f>
        <v/>
      </c>
      <c r="AW206" s="3">
        <f>AW204-AW205</f>
        <v/>
      </c>
      <c r="AX206" s="3">
        <f>AX204-AX205</f>
        <v/>
      </c>
      <c r="AY206" s="3">
        <f>AY204-AY205</f>
        <v/>
      </c>
      <c r="AZ206" s="3">
        <f>AZ204-AZ205</f>
        <v/>
      </c>
      <c r="BA206" s="3">
        <f>BA204-BA205</f>
        <v/>
      </c>
      <c r="BB206" s="3">
        <f>BB204-BB205</f>
        <v/>
      </c>
      <c r="BC206" s="3">
        <f>BC204-BC205</f>
        <v/>
      </c>
      <c r="BD206" s="3">
        <f>BD204-BD205</f>
        <v/>
      </c>
      <c r="BE206" s="3">
        <f>BE204-BE205</f>
        <v/>
      </c>
      <c r="BF206" s="3">
        <f>BF204-BF205</f>
        <v/>
      </c>
      <c r="BG206" s="3">
        <f>BG204-BG205</f>
        <v/>
      </c>
      <c r="BH206" s="3">
        <f>BH204-BH205</f>
        <v/>
      </c>
      <c r="BI206" s="3">
        <f>BI204-BI205</f>
        <v/>
      </c>
      <c r="BJ206" s="3">
        <f>BJ204-BJ205</f>
        <v/>
      </c>
      <c r="BK206" s="3">
        <f>BK204-BK205</f>
        <v/>
      </c>
      <c r="BL206" s="3">
        <f>BL204-BL205</f>
        <v/>
      </c>
      <c r="BM206" s="3">
        <f>BM204-BM205</f>
        <v/>
      </c>
      <c r="BN206" s="3">
        <f>BN204-BN205</f>
        <v/>
      </c>
      <c r="BO206" s="3">
        <f>BO204-BO205</f>
        <v/>
      </c>
      <c r="BP206" s="3">
        <f>BP204-BP205</f>
        <v/>
      </c>
      <c r="BQ206" s="3">
        <f>BQ204-BQ205</f>
        <v/>
      </c>
      <c r="BR206" s="3">
        <f>BR204-BR205</f>
        <v/>
      </c>
      <c r="BS206" s="3">
        <f>BS204-BS205</f>
        <v/>
      </c>
      <c r="BT206" s="3">
        <f>BT204-BT205</f>
        <v/>
      </c>
      <c r="BU206" s="3">
        <f>BU204-BU205</f>
        <v/>
      </c>
      <c r="BV206" s="3">
        <f>BV204-BV205</f>
        <v/>
      </c>
    </row>
    <row r="207">
      <c r="A207" t="inlineStr">
        <is>
          <t>cum trial starts</t>
        </is>
      </c>
      <c r="B207" t="inlineStr">
        <is>
          <t>ROW|BASIC_M</t>
        </is>
      </c>
      <c r="C207" s="3">
        <f>SUM($C202:C202)</f>
        <v/>
      </c>
      <c r="D207" s="3">
        <f>SUM($C202:D202)</f>
        <v/>
      </c>
      <c r="E207" s="3">
        <f>SUM($C202:E202)</f>
        <v/>
      </c>
      <c r="F207" s="3">
        <f>SUM($C202:F202)</f>
        <v/>
      </c>
      <c r="G207" s="3">
        <f>SUM($C202:G202)</f>
        <v/>
      </c>
      <c r="H207" s="3">
        <f>SUM($C202:H202)</f>
        <v/>
      </c>
      <c r="I207" s="3">
        <f>SUM($C202:I202)</f>
        <v/>
      </c>
      <c r="J207" s="3">
        <f>SUM($C202:J202)</f>
        <v/>
      </c>
      <c r="K207" s="3">
        <f>SUM($C202:K202)</f>
        <v/>
      </c>
      <c r="L207" s="3">
        <f>SUM($C202:L202)</f>
        <v/>
      </c>
      <c r="M207" s="3">
        <f>SUM($C202:M202)</f>
        <v/>
      </c>
      <c r="N207" s="3">
        <f>SUM($C202:N202)</f>
        <v/>
      </c>
      <c r="O207" s="3">
        <f>SUM($C202:O202)</f>
        <v/>
      </c>
      <c r="P207" s="3">
        <f>SUM($C202:P202)</f>
        <v/>
      </c>
      <c r="Q207" s="3">
        <f>SUM($C202:Q202)</f>
        <v/>
      </c>
      <c r="R207" s="3">
        <f>SUM($C202:R202)</f>
        <v/>
      </c>
      <c r="S207" s="3">
        <f>SUM($C202:S202)</f>
        <v/>
      </c>
      <c r="T207" s="3">
        <f>SUM($C202:T202)</f>
        <v/>
      </c>
      <c r="U207" s="3">
        <f>SUM($C202:U202)</f>
        <v/>
      </c>
      <c r="V207" s="3">
        <f>SUM($C202:V202)</f>
        <v/>
      </c>
      <c r="W207" s="3">
        <f>SUM($C202:W202)</f>
        <v/>
      </c>
      <c r="X207" s="3">
        <f>SUM($C202:X202)</f>
        <v/>
      </c>
      <c r="Y207" s="3">
        <f>SUM($C202:Y202)</f>
        <v/>
      </c>
      <c r="Z207" s="3">
        <f>SUM($C202:Z202)</f>
        <v/>
      </c>
      <c r="AA207" s="3">
        <f>SUM($C202:AA202)</f>
        <v/>
      </c>
      <c r="AB207" s="3">
        <f>SUM($C202:AB202)</f>
        <v/>
      </c>
      <c r="AC207" s="3">
        <f>SUM($C202:AC202)</f>
        <v/>
      </c>
      <c r="AD207" s="3">
        <f>SUM($C202:AD202)</f>
        <v/>
      </c>
      <c r="AE207" s="3">
        <f>SUM($C202:AE202)</f>
        <v/>
      </c>
      <c r="AF207" s="3">
        <f>SUM($C202:AF202)</f>
        <v/>
      </c>
      <c r="AG207" s="3">
        <f>SUM($C202:AG202)</f>
        <v/>
      </c>
      <c r="AH207" s="3">
        <f>SUM($C202:AH202)</f>
        <v/>
      </c>
      <c r="AI207" s="3">
        <f>SUM($C202:AI202)</f>
        <v/>
      </c>
      <c r="AJ207" s="3">
        <f>SUM($C202:AJ202)</f>
        <v/>
      </c>
      <c r="AK207" s="3">
        <f>SUM($C202:AK202)</f>
        <v/>
      </c>
      <c r="AL207" s="3">
        <f>SUM($C202:AL202)</f>
        <v/>
      </c>
      <c r="AM207" s="3">
        <f>SUM($C202:AM202)</f>
        <v/>
      </c>
      <c r="AN207" s="3">
        <f>SUM($C202:AN202)</f>
        <v/>
      </c>
      <c r="AO207" s="3">
        <f>SUM($C202:AO202)</f>
        <v/>
      </c>
      <c r="AP207" s="3">
        <f>SUM($C202:AP202)</f>
        <v/>
      </c>
      <c r="AQ207" s="3">
        <f>SUM($C202:AQ202)</f>
        <v/>
      </c>
      <c r="AR207" s="3">
        <f>SUM($C202:AR202)</f>
        <v/>
      </c>
      <c r="AS207" s="3">
        <f>SUM($C202:AS202)</f>
        <v/>
      </c>
      <c r="AT207" s="3">
        <f>SUM($C202:AT202)</f>
        <v/>
      </c>
      <c r="AU207" s="3">
        <f>SUM($C202:AU202)</f>
        <v/>
      </c>
      <c r="AV207" s="3">
        <f>SUM($C202:AV202)</f>
        <v/>
      </c>
      <c r="AW207" s="3">
        <f>SUM($C202:AW202)</f>
        <v/>
      </c>
      <c r="AX207" s="3">
        <f>SUM($C202:AX202)</f>
        <v/>
      </c>
      <c r="AY207" s="3">
        <f>SUM($C202:AY202)</f>
        <v/>
      </c>
      <c r="AZ207" s="3">
        <f>SUM($C202:AZ202)</f>
        <v/>
      </c>
      <c r="BA207" s="3">
        <f>SUM($C202:BA202)</f>
        <v/>
      </c>
      <c r="BB207" s="3">
        <f>SUM($C202:BB202)</f>
        <v/>
      </c>
      <c r="BC207" s="3">
        <f>SUM($C202:BC202)</f>
        <v/>
      </c>
      <c r="BD207" s="3">
        <f>SUM($C202:BD202)</f>
        <v/>
      </c>
      <c r="BE207" s="3">
        <f>SUM($C202:BE202)</f>
        <v/>
      </c>
      <c r="BF207" s="3">
        <f>SUM($C202:BF202)</f>
        <v/>
      </c>
      <c r="BG207" s="3">
        <f>SUM($C202:BG202)</f>
        <v/>
      </c>
      <c r="BH207" s="3">
        <f>SUM($C202:BH202)</f>
        <v/>
      </c>
      <c r="BI207" s="3">
        <f>SUM($C202:BI202)</f>
        <v/>
      </c>
      <c r="BJ207" s="3">
        <f>SUM($C202:BJ202)</f>
        <v/>
      </c>
      <c r="BK207" s="3">
        <f>SUM($C202:BK202)</f>
        <v/>
      </c>
      <c r="BL207" s="3">
        <f>SUM($C202:BL202)</f>
        <v/>
      </c>
      <c r="BM207" s="3">
        <f>SUM($C202:BM202)</f>
        <v/>
      </c>
      <c r="BN207" s="3">
        <f>SUM($C202:BN202)</f>
        <v/>
      </c>
      <c r="BO207" s="3">
        <f>SUM($C202:BO202)</f>
        <v/>
      </c>
      <c r="BP207" s="3">
        <f>SUM($C202:BP202)</f>
        <v/>
      </c>
      <c r="BQ207" s="3">
        <f>SUM($C202:BQ202)</f>
        <v/>
      </c>
      <c r="BR207" s="3">
        <f>SUM($C202:BR202)</f>
        <v/>
      </c>
      <c r="BS207" s="3">
        <f>SUM($C202:BS202)</f>
        <v/>
      </c>
      <c r="BT207" s="3">
        <f>SUM($C202:BT202)</f>
        <v/>
      </c>
      <c r="BU207" s="3">
        <f>SUM($C202:BU202)</f>
        <v/>
      </c>
      <c r="BV207" s="3">
        <f>SUM($C202:BV202)</f>
        <v/>
      </c>
    </row>
    <row r="208">
      <c r="A208" t="inlineStr">
        <is>
          <t>cum trials ending</t>
        </is>
      </c>
      <c r="B208" t="inlineStr">
        <is>
          <t>ROW|BASIC_M</t>
        </is>
      </c>
      <c r="C208" s="3">
        <f>SUM($C204:C204)</f>
        <v/>
      </c>
      <c r="D208" s="3">
        <f>SUM($C204:D204)</f>
        <v/>
      </c>
      <c r="E208" s="3">
        <f>SUM($C204:E204)</f>
        <v/>
      </c>
      <c r="F208" s="3">
        <f>SUM($C204:F204)</f>
        <v/>
      </c>
      <c r="G208" s="3">
        <f>SUM($C204:G204)</f>
        <v/>
      </c>
      <c r="H208" s="3">
        <f>SUM($C204:H204)</f>
        <v/>
      </c>
      <c r="I208" s="3">
        <f>SUM($C204:I204)</f>
        <v/>
      </c>
      <c r="J208" s="3">
        <f>SUM($C204:J204)</f>
        <v/>
      </c>
      <c r="K208" s="3">
        <f>SUM($C204:K204)</f>
        <v/>
      </c>
      <c r="L208" s="3">
        <f>SUM($C204:L204)</f>
        <v/>
      </c>
      <c r="M208" s="3">
        <f>SUM($C204:M204)</f>
        <v/>
      </c>
      <c r="N208" s="3">
        <f>SUM($C204:N204)</f>
        <v/>
      </c>
      <c r="O208" s="3">
        <f>SUM($C204:O204)</f>
        <v/>
      </c>
      <c r="P208" s="3">
        <f>SUM($C204:P204)</f>
        <v/>
      </c>
      <c r="Q208" s="3">
        <f>SUM($C204:Q204)</f>
        <v/>
      </c>
      <c r="R208" s="3">
        <f>SUM($C204:R204)</f>
        <v/>
      </c>
      <c r="S208" s="3">
        <f>SUM($C204:S204)</f>
        <v/>
      </c>
      <c r="T208" s="3">
        <f>SUM($C204:T204)</f>
        <v/>
      </c>
      <c r="U208" s="3">
        <f>SUM($C204:U204)</f>
        <v/>
      </c>
      <c r="V208" s="3">
        <f>SUM($C204:V204)</f>
        <v/>
      </c>
      <c r="W208" s="3">
        <f>SUM($C204:W204)</f>
        <v/>
      </c>
      <c r="X208" s="3">
        <f>SUM($C204:X204)</f>
        <v/>
      </c>
      <c r="Y208" s="3">
        <f>SUM($C204:Y204)</f>
        <v/>
      </c>
      <c r="Z208" s="3">
        <f>SUM($C204:Z204)</f>
        <v/>
      </c>
      <c r="AA208" s="3">
        <f>SUM($C204:AA204)</f>
        <v/>
      </c>
      <c r="AB208" s="3">
        <f>SUM($C204:AB204)</f>
        <v/>
      </c>
      <c r="AC208" s="3">
        <f>SUM($C204:AC204)</f>
        <v/>
      </c>
      <c r="AD208" s="3">
        <f>SUM($C204:AD204)</f>
        <v/>
      </c>
      <c r="AE208" s="3">
        <f>SUM($C204:AE204)</f>
        <v/>
      </c>
      <c r="AF208" s="3">
        <f>SUM($C204:AF204)</f>
        <v/>
      </c>
      <c r="AG208" s="3">
        <f>SUM($C204:AG204)</f>
        <v/>
      </c>
      <c r="AH208" s="3">
        <f>SUM($C204:AH204)</f>
        <v/>
      </c>
      <c r="AI208" s="3">
        <f>SUM($C204:AI204)</f>
        <v/>
      </c>
      <c r="AJ208" s="3">
        <f>SUM($C204:AJ204)</f>
        <v/>
      </c>
      <c r="AK208" s="3">
        <f>SUM($C204:AK204)</f>
        <v/>
      </c>
      <c r="AL208" s="3">
        <f>SUM($C204:AL204)</f>
        <v/>
      </c>
      <c r="AM208" s="3">
        <f>SUM($C204:AM204)</f>
        <v/>
      </c>
      <c r="AN208" s="3">
        <f>SUM($C204:AN204)</f>
        <v/>
      </c>
      <c r="AO208" s="3">
        <f>SUM($C204:AO204)</f>
        <v/>
      </c>
      <c r="AP208" s="3">
        <f>SUM($C204:AP204)</f>
        <v/>
      </c>
      <c r="AQ208" s="3">
        <f>SUM($C204:AQ204)</f>
        <v/>
      </c>
      <c r="AR208" s="3">
        <f>SUM($C204:AR204)</f>
        <v/>
      </c>
      <c r="AS208" s="3">
        <f>SUM($C204:AS204)</f>
        <v/>
      </c>
      <c r="AT208" s="3">
        <f>SUM($C204:AT204)</f>
        <v/>
      </c>
      <c r="AU208" s="3">
        <f>SUM($C204:AU204)</f>
        <v/>
      </c>
      <c r="AV208" s="3">
        <f>SUM($C204:AV204)</f>
        <v/>
      </c>
      <c r="AW208" s="3">
        <f>SUM($C204:AW204)</f>
        <v/>
      </c>
      <c r="AX208" s="3">
        <f>SUM($C204:AX204)</f>
        <v/>
      </c>
      <c r="AY208" s="3">
        <f>SUM($C204:AY204)</f>
        <v/>
      </c>
      <c r="AZ208" s="3">
        <f>SUM($C204:AZ204)</f>
        <v/>
      </c>
      <c r="BA208" s="3">
        <f>SUM($C204:BA204)</f>
        <v/>
      </c>
      <c r="BB208" s="3">
        <f>SUM($C204:BB204)</f>
        <v/>
      </c>
      <c r="BC208" s="3">
        <f>SUM($C204:BC204)</f>
        <v/>
      </c>
      <c r="BD208" s="3">
        <f>SUM($C204:BD204)</f>
        <v/>
      </c>
      <c r="BE208" s="3">
        <f>SUM($C204:BE204)</f>
        <v/>
      </c>
      <c r="BF208" s="3">
        <f>SUM($C204:BF204)</f>
        <v/>
      </c>
      <c r="BG208" s="3">
        <f>SUM($C204:BG204)</f>
        <v/>
      </c>
      <c r="BH208" s="3">
        <f>SUM($C204:BH204)</f>
        <v/>
      </c>
      <c r="BI208" s="3">
        <f>SUM($C204:BI204)</f>
        <v/>
      </c>
      <c r="BJ208" s="3">
        <f>SUM($C204:BJ204)</f>
        <v/>
      </c>
      <c r="BK208" s="3">
        <f>SUM($C204:BK204)</f>
        <v/>
      </c>
      <c r="BL208" s="3">
        <f>SUM($C204:BL204)</f>
        <v/>
      </c>
      <c r="BM208" s="3">
        <f>SUM($C204:BM204)</f>
        <v/>
      </c>
      <c r="BN208" s="3">
        <f>SUM($C204:BN204)</f>
        <v/>
      </c>
      <c r="BO208" s="3">
        <f>SUM($C204:BO204)</f>
        <v/>
      </c>
      <c r="BP208" s="3">
        <f>SUM($C204:BP204)</f>
        <v/>
      </c>
      <c r="BQ208" s="3">
        <f>SUM($C204:BQ204)</f>
        <v/>
      </c>
      <c r="BR208" s="3">
        <f>SUM($C204:BR204)</f>
        <v/>
      </c>
      <c r="BS208" s="3">
        <f>SUM($C204:BS204)</f>
        <v/>
      </c>
      <c r="BT208" s="3">
        <f>SUM($C204:BT204)</f>
        <v/>
      </c>
      <c r="BU208" s="3">
        <f>SUM($C204:BU204)</f>
        <v/>
      </c>
      <c r="BV208" s="3">
        <f>SUM($C204:BV204)</f>
        <v/>
      </c>
    </row>
    <row r="209">
      <c r="A209" t="inlineStr">
        <is>
          <t>trials active</t>
        </is>
      </c>
      <c r="B209" t="inlineStr">
        <is>
          <t>ROW|BASIC_M</t>
        </is>
      </c>
      <c r="C209" s="3">
        <f>C207-C208</f>
        <v/>
      </c>
      <c r="D209" s="3">
        <f>D207-D208</f>
        <v/>
      </c>
      <c r="E209" s="3">
        <f>E207-E208</f>
        <v/>
      </c>
      <c r="F209" s="3">
        <f>F207-F208</f>
        <v/>
      </c>
      <c r="G209" s="3">
        <f>G207-G208</f>
        <v/>
      </c>
      <c r="H209" s="3">
        <f>H207-H208</f>
        <v/>
      </c>
      <c r="I209" s="3">
        <f>I207-I208</f>
        <v/>
      </c>
      <c r="J209" s="3">
        <f>J207-J208</f>
        <v/>
      </c>
      <c r="K209" s="3">
        <f>K207-K208</f>
        <v/>
      </c>
      <c r="L209" s="3">
        <f>L207-L208</f>
        <v/>
      </c>
      <c r="M209" s="3">
        <f>M207-M208</f>
        <v/>
      </c>
      <c r="N209" s="3">
        <f>N207-N208</f>
        <v/>
      </c>
      <c r="O209" s="3">
        <f>O207-O208</f>
        <v/>
      </c>
      <c r="P209" s="3">
        <f>P207-P208</f>
        <v/>
      </c>
      <c r="Q209" s="3">
        <f>Q207-Q208</f>
        <v/>
      </c>
      <c r="R209" s="3">
        <f>R207-R208</f>
        <v/>
      </c>
      <c r="S209" s="3">
        <f>S207-S208</f>
        <v/>
      </c>
      <c r="T209" s="3">
        <f>T207-T208</f>
        <v/>
      </c>
      <c r="U209" s="3">
        <f>U207-U208</f>
        <v/>
      </c>
      <c r="V209" s="3">
        <f>V207-V208</f>
        <v/>
      </c>
      <c r="W209" s="3">
        <f>W207-W208</f>
        <v/>
      </c>
      <c r="X209" s="3">
        <f>X207-X208</f>
        <v/>
      </c>
      <c r="Y209" s="3">
        <f>Y207-Y208</f>
        <v/>
      </c>
      <c r="Z209" s="3">
        <f>Z207-Z208</f>
        <v/>
      </c>
      <c r="AA209" s="3">
        <f>AA207-AA208</f>
        <v/>
      </c>
      <c r="AB209" s="3">
        <f>AB207-AB208</f>
        <v/>
      </c>
      <c r="AC209" s="3">
        <f>AC207-AC208</f>
        <v/>
      </c>
      <c r="AD209" s="3">
        <f>AD207-AD208</f>
        <v/>
      </c>
      <c r="AE209" s="3">
        <f>AE207-AE208</f>
        <v/>
      </c>
      <c r="AF209" s="3">
        <f>AF207-AF208</f>
        <v/>
      </c>
      <c r="AG209" s="3">
        <f>AG207-AG208</f>
        <v/>
      </c>
      <c r="AH209" s="3">
        <f>AH207-AH208</f>
        <v/>
      </c>
      <c r="AI209" s="3">
        <f>AI207-AI208</f>
        <v/>
      </c>
      <c r="AJ209" s="3">
        <f>AJ207-AJ208</f>
        <v/>
      </c>
      <c r="AK209" s="3">
        <f>AK207-AK208</f>
        <v/>
      </c>
      <c r="AL209" s="3">
        <f>AL207-AL208</f>
        <v/>
      </c>
      <c r="AM209" s="3">
        <f>AM207-AM208</f>
        <v/>
      </c>
      <c r="AN209" s="3">
        <f>AN207-AN208</f>
        <v/>
      </c>
      <c r="AO209" s="3">
        <f>AO207-AO208</f>
        <v/>
      </c>
      <c r="AP209" s="3">
        <f>AP207-AP208</f>
        <v/>
      </c>
      <c r="AQ209" s="3">
        <f>AQ207-AQ208</f>
        <v/>
      </c>
      <c r="AR209" s="3">
        <f>AR207-AR208</f>
        <v/>
      </c>
      <c r="AS209" s="3">
        <f>AS207-AS208</f>
        <v/>
      </c>
      <c r="AT209" s="3">
        <f>AT207-AT208</f>
        <v/>
      </c>
      <c r="AU209" s="3">
        <f>AU207-AU208</f>
        <v/>
      </c>
      <c r="AV209" s="3">
        <f>AV207-AV208</f>
        <v/>
      </c>
      <c r="AW209" s="3">
        <f>AW207-AW208</f>
        <v/>
      </c>
      <c r="AX209" s="3">
        <f>AX207-AX208</f>
        <v/>
      </c>
      <c r="AY209" s="3">
        <f>AY207-AY208</f>
        <v/>
      </c>
      <c r="AZ209" s="3">
        <f>AZ207-AZ208</f>
        <v/>
      </c>
      <c r="BA209" s="3">
        <f>BA207-BA208</f>
        <v/>
      </c>
      <c r="BB209" s="3">
        <f>BB207-BB208</f>
        <v/>
      </c>
      <c r="BC209" s="3">
        <f>BC207-BC208</f>
        <v/>
      </c>
      <c r="BD209" s="3">
        <f>BD207-BD208</f>
        <v/>
      </c>
      <c r="BE209" s="3">
        <f>BE207-BE208</f>
        <v/>
      </c>
      <c r="BF209" s="3">
        <f>BF207-BF208</f>
        <v/>
      </c>
      <c r="BG209" s="3">
        <f>BG207-BG208</f>
        <v/>
      </c>
      <c r="BH209" s="3">
        <f>BH207-BH208</f>
        <v/>
      </c>
      <c r="BI209" s="3">
        <f>BI207-BI208</f>
        <v/>
      </c>
      <c r="BJ209" s="3">
        <f>BJ207-BJ208</f>
        <v/>
      </c>
      <c r="BK209" s="3">
        <f>BK207-BK208</f>
        <v/>
      </c>
      <c r="BL209" s="3">
        <f>BL207-BL208</f>
        <v/>
      </c>
      <c r="BM209" s="3">
        <f>BM207-BM208</f>
        <v/>
      </c>
      <c r="BN209" s="3">
        <f>BN207-BN208</f>
        <v/>
      </c>
      <c r="BO209" s="3">
        <f>BO207-BO208</f>
        <v/>
      </c>
      <c r="BP209" s="3">
        <f>BP207-BP208</f>
        <v/>
      </c>
      <c r="BQ209" s="3">
        <f>BQ207-BQ208</f>
        <v/>
      </c>
      <c r="BR209" s="3">
        <f>BR207-BR208</f>
        <v/>
      </c>
      <c r="BS209" s="3">
        <f>BS207-BS208</f>
        <v/>
      </c>
      <c r="BT209" s="3">
        <f>BT207-BT208</f>
        <v/>
      </c>
      <c r="BU209" s="3">
        <f>BU207-BU208</f>
        <v/>
      </c>
      <c r="BV209" s="3">
        <f>BV207-BV208</f>
        <v/>
      </c>
    </row>
    <row r="210">
      <c r="A210" t="inlineStr">
        <is>
          <t>paid starts</t>
        </is>
      </c>
      <c r="B210" t="inlineStr">
        <is>
          <t>ROW|BASIC_M</t>
        </is>
      </c>
      <c r="C210" s="3">
        <f>C203+C205</f>
        <v/>
      </c>
      <c r="D210" s="3">
        <f>D203+D205</f>
        <v/>
      </c>
      <c r="E210" s="3">
        <f>E203+E205</f>
        <v/>
      </c>
      <c r="F210" s="3">
        <f>F203+F205</f>
        <v/>
      </c>
      <c r="G210" s="3">
        <f>G203+G205</f>
        <v/>
      </c>
      <c r="H210" s="3">
        <f>H203+H205</f>
        <v/>
      </c>
      <c r="I210" s="3">
        <f>I203+I205</f>
        <v/>
      </c>
      <c r="J210" s="3">
        <f>J203+J205</f>
        <v/>
      </c>
      <c r="K210" s="3">
        <f>K203+K205</f>
        <v/>
      </c>
      <c r="L210" s="3">
        <f>L203+L205</f>
        <v/>
      </c>
      <c r="M210" s="3">
        <f>M203+M205</f>
        <v/>
      </c>
      <c r="N210" s="3">
        <f>N203+N205</f>
        <v/>
      </c>
      <c r="O210" s="3">
        <f>O203+O205</f>
        <v/>
      </c>
      <c r="P210" s="3">
        <f>P203+P205</f>
        <v/>
      </c>
      <c r="Q210" s="3">
        <f>Q203+Q205</f>
        <v/>
      </c>
      <c r="R210" s="3">
        <f>R203+R205</f>
        <v/>
      </c>
      <c r="S210" s="3">
        <f>S203+S205</f>
        <v/>
      </c>
      <c r="T210" s="3">
        <f>T203+T205</f>
        <v/>
      </c>
      <c r="U210" s="3">
        <f>U203+U205</f>
        <v/>
      </c>
      <c r="V210" s="3">
        <f>V203+V205</f>
        <v/>
      </c>
      <c r="W210" s="3">
        <f>W203+W205</f>
        <v/>
      </c>
      <c r="X210" s="3">
        <f>X203+X205</f>
        <v/>
      </c>
      <c r="Y210" s="3">
        <f>Y203+Y205</f>
        <v/>
      </c>
      <c r="Z210" s="3">
        <f>Z203+Z205</f>
        <v/>
      </c>
      <c r="AA210" s="3">
        <f>AA203+AA205</f>
        <v/>
      </c>
      <c r="AB210" s="3">
        <f>AB203+AB205</f>
        <v/>
      </c>
      <c r="AC210" s="3">
        <f>AC203+AC205</f>
        <v/>
      </c>
      <c r="AD210" s="3">
        <f>AD203+AD205</f>
        <v/>
      </c>
      <c r="AE210" s="3">
        <f>AE203+AE205</f>
        <v/>
      </c>
      <c r="AF210" s="3">
        <f>AF203+AF205</f>
        <v/>
      </c>
      <c r="AG210" s="3">
        <f>AG203+AG205</f>
        <v/>
      </c>
      <c r="AH210" s="3">
        <f>AH203+AH205</f>
        <v/>
      </c>
      <c r="AI210" s="3">
        <f>AI203+AI205</f>
        <v/>
      </c>
      <c r="AJ210" s="3">
        <f>AJ203+AJ205</f>
        <v/>
      </c>
      <c r="AK210" s="3">
        <f>AK203+AK205</f>
        <v/>
      </c>
      <c r="AL210" s="3">
        <f>AL203+AL205</f>
        <v/>
      </c>
      <c r="AM210" s="3">
        <f>AM203+AM205</f>
        <v/>
      </c>
      <c r="AN210" s="3">
        <f>AN203+AN205</f>
        <v/>
      </c>
      <c r="AO210" s="3">
        <f>AO203+AO205</f>
        <v/>
      </c>
      <c r="AP210" s="3">
        <f>AP203+AP205</f>
        <v/>
      </c>
      <c r="AQ210" s="3">
        <f>AQ203+AQ205</f>
        <v/>
      </c>
      <c r="AR210" s="3">
        <f>AR203+AR205</f>
        <v/>
      </c>
      <c r="AS210" s="3">
        <f>AS203+AS205</f>
        <v/>
      </c>
      <c r="AT210" s="3">
        <f>AT203+AT205</f>
        <v/>
      </c>
      <c r="AU210" s="3">
        <f>AU203+AU205</f>
        <v/>
      </c>
      <c r="AV210" s="3">
        <f>AV203+AV205</f>
        <v/>
      </c>
      <c r="AW210" s="3">
        <f>AW203+AW205</f>
        <v/>
      </c>
      <c r="AX210" s="3">
        <f>AX203+AX205</f>
        <v/>
      </c>
      <c r="AY210" s="3">
        <f>AY203+AY205</f>
        <v/>
      </c>
      <c r="AZ210" s="3">
        <f>AZ203+AZ205</f>
        <v/>
      </c>
      <c r="BA210" s="3">
        <f>BA203+BA205</f>
        <v/>
      </c>
      <c r="BB210" s="3">
        <f>BB203+BB205</f>
        <v/>
      </c>
      <c r="BC210" s="3">
        <f>BC203+BC205</f>
        <v/>
      </c>
      <c r="BD210" s="3">
        <f>BD203+BD205</f>
        <v/>
      </c>
      <c r="BE210" s="3">
        <f>BE203+BE205</f>
        <v/>
      </c>
      <c r="BF210" s="3">
        <f>BF203+BF205</f>
        <v/>
      </c>
      <c r="BG210" s="3">
        <f>BG203+BG205</f>
        <v/>
      </c>
      <c r="BH210" s="3">
        <f>BH203+BH205</f>
        <v/>
      </c>
      <c r="BI210" s="3">
        <f>BI203+BI205</f>
        <v/>
      </c>
      <c r="BJ210" s="3">
        <f>BJ203+BJ205</f>
        <v/>
      </c>
      <c r="BK210" s="3">
        <f>BK203+BK205</f>
        <v/>
      </c>
      <c r="BL210" s="3">
        <f>BL203+BL205</f>
        <v/>
      </c>
      <c r="BM210" s="3">
        <f>BM203+BM205</f>
        <v/>
      </c>
      <c r="BN210" s="3">
        <f>BN203+BN205</f>
        <v/>
      </c>
      <c r="BO210" s="3">
        <f>BO203+BO205</f>
        <v/>
      </c>
      <c r="BP210" s="3">
        <f>BP203+BP205</f>
        <v/>
      </c>
      <c r="BQ210" s="3">
        <f>BQ203+BQ205</f>
        <v/>
      </c>
      <c r="BR210" s="3">
        <f>BR203+BR205</f>
        <v/>
      </c>
      <c r="BS210" s="3">
        <f>BS203+BS205</f>
        <v/>
      </c>
      <c r="BT210" s="3">
        <f>BT203+BT205</f>
        <v/>
      </c>
      <c r="BU210" s="3">
        <f>BU203+BU205</f>
        <v/>
      </c>
      <c r="BV210" s="3">
        <f>BV203+BV205</f>
        <v/>
      </c>
    </row>
    <row r="212">
      <c r="A212" t="inlineStr">
        <is>
          <t>gross adds</t>
        </is>
      </c>
      <c r="B212" t="inlineStr">
        <is>
          <t>ROW|BASIC_A</t>
        </is>
      </c>
      <c r="C212" s="3">
        <f>MAU!C8*Params!$B$40*Params!$B$5*Params!$B$87*Params!$B$74</f>
        <v/>
      </c>
      <c r="D212" s="3">
        <f>MAU!D8*Params!$B$40*Params!$B$5*Params!$B$87*Params!$B$74</f>
        <v/>
      </c>
      <c r="E212" s="3">
        <f>MAU!E8*Params!$B$40*Params!$B$5*Params!$B$87*Params!$B$74</f>
        <v/>
      </c>
      <c r="F212" s="3">
        <f>MAU!F8*Params!$B$40*Params!$B$5*Params!$B$87*Params!$B$74</f>
        <v/>
      </c>
      <c r="G212" s="3">
        <f>MAU!G8*Params!$B$40*Params!$B$5*Params!$B$87*Params!$B$74</f>
        <v/>
      </c>
      <c r="H212" s="3">
        <f>MAU!H8*Params!$B$40*Params!$B$5*Params!$B$87*Params!$B$74</f>
        <v/>
      </c>
      <c r="I212" s="3">
        <f>MAU!I8*Params!$B$40*Params!$B$5*Params!$B$87*Params!$B$74</f>
        <v/>
      </c>
      <c r="J212" s="3">
        <f>MAU!J8*Params!$B$40*Params!$B$5*Params!$B$87*Params!$B$74</f>
        <v/>
      </c>
      <c r="K212" s="3">
        <f>MAU!K8*Params!$B$40*Params!$B$5*Params!$B$87*Params!$B$74</f>
        <v/>
      </c>
      <c r="L212" s="3">
        <f>MAU!L8*Params!$B$40*Params!$B$5*Params!$B$87*Params!$B$74</f>
        <v/>
      </c>
      <c r="M212" s="3">
        <f>MAU!M8*Params!$B$40*Params!$B$5*Params!$B$87*Params!$B$74</f>
        <v/>
      </c>
      <c r="N212" s="3">
        <f>MAU!N8*Params!$B$40*Params!$B$5*Params!$B$87*Params!$B$74</f>
        <v/>
      </c>
      <c r="O212" s="3">
        <f>MAU!O8*Params!$B$40*Params!$B$5*Params!$B$87*Params!$B$74</f>
        <v/>
      </c>
      <c r="P212" s="3">
        <f>MAU!P8*Params!$B$40*Params!$B$5*Params!$B$87*Params!$B$74</f>
        <v/>
      </c>
      <c r="Q212" s="3">
        <f>MAU!Q8*Params!$B$40*Params!$B$5*Params!$B$87*Params!$B$74</f>
        <v/>
      </c>
      <c r="R212" s="3">
        <f>MAU!R8*Params!$B$40*Params!$B$5*Params!$B$87*Params!$B$74</f>
        <v/>
      </c>
      <c r="S212" s="3">
        <f>MAU!S8*Params!$B$40*Params!$B$5*Params!$B$87*Params!$B$74</f>
        <v/>
      </c>
      <c r="T212" s="3">
        <f>MAU!T8*Params!$B$40*Params!$B$5*Params!$B$87*Params!$B$74</f>
        <v/>
      </c>
      <c r="U212" s="3">
        <f>MAU!U8*Params!$B$40*Params!$B$5*Params!$B$87*Params!$B$74</f>
        <v/>
      </c>
      <c r="V212" s="3">
        <f>MAU!V8*Params!$B$40*Params!$B$5*Params!$B$87*Params!$B$74</f>
        <v/>
      </c>
      <c r="W212" s="3">
        <f>MAU!W8*Params!$B$40*Params!$B$5*Params!$B$87*Params!$B$74</f>
        <v/>
      </c>
      <c r="X212" s="3">
        <f>MAU!X8*Params!$B$40*Params!$B$5*Params!$B$87*Params!$B$74</f>
        <v/>
      </c>
      <c r="Y212" s="3">
        <f>MAU!Y8*Params!$B$40*Params!$B$5*Params!$B$87*Params!$B$74</f>
        <v/>
      </c>
      <c r="Z212" s="3">
        <f>MAU!Z8*Params!$B$40*Params!$B$5*Params!$B$87*Params!$B$74</f>
        <v/>
      </c>
      <c r="AA212" s="3">
        <f>MAU!AA8*Params!$B$40*Params!$B$5*Params!$B$87*Params!$B$74</f>
        <v/>
      </c>
      <c r="AB212" s="3">
        <f>MAU!AB8*Params!$B$40*Params!$B$5*Params!$B$87*Params!$B$74</f>
        <v/>
      </c>
      <c r="AC212" s="3">
        <f>MAU!AC8*Params!$B$40*Params!$B$5*Params!$B$87*Params!$B$74</f>
        <v/>
      </c>
      <c r="AD212" s="3">
        <f>MAU!AD8*Params!$B$40*Params!$B$5*Params!$B$87*Params!$B$74</f>
        <v/>
      </c>
      <c r="AE212" s="3">
        <f>MAU!AE8*Params!$B$40*Params!$B$5*Params!$B$87*Params!$B$74</f>
        <v/>
      </c>
      <c r="AF212" s="3">
        <f>MAU!AF8*Params!$B$40*Params!$B$5*Params!$B$87*Params!$B$74</f>
        <v/>
      </c>
      <c r="AG212" s="3">
        <f>MAU!AG8*Params!$B$40*Params!$B$5*Params!$B$87*Params!$B$74</f>
        <v/>
      </c>
      <c r="AH212" s="3">
        <f>MAU!AH8*Params!$B$40*Params!$B$5*Params!$B$87*Params!$B$74</f>
        <v/>
      </c>
      <c r="AI212" s="3">
        <f>MAU!AI8*Params!$B$40*Params!$B$5*Params!$B$87*Params!$B$74</f>
        <v/>
      </c>
      <c r="AJ212" s="3">
        <f>MAU!AJ8*Params!$B$40*Params!$B$5*Params!$B$87*Params!$B$74</f>
        <v/>
      </c>
      <c r="AK212" s="3">
        <f>MAU!AK8*Params!$B$40*Params!$B$5*Params!$B$87*Params!$B$74</f>
        <v/>
      </c>
      <c r="AL212" s="3">
        <f>MAU!AL8*Params!$B$40*Params!$B$5*Params!$B$87*Params!$B$74</f>
        <v/>
      </c>
      <c r="AM212" s="3">
        <f>MAU!AM8*Params!$B$40*Params!$B$5*Params!$B$87*Params!$B$74</f>
        <v/>
      </c>
      <c r="AN212" s="3">
        <f>MAU!AN8*Params!$B$40*Params!$B$5*Params!$B$87*Params!$B$74</f>
        <v/>
      </c>
      <c r="AO212" s="3">
        <f>MAU!AO8*Params!$B$40*Params!$B$5*Params!$B$87*Params!$B$74</f>
        <v/>
      </c>
      <c r="AP212" s="3">
        <f>MAU!AP8*Params!$B$40*Params!$B$5*Params!$B$87*Params!$B$74</f>
        <v/>
      </c>
      <c r="AQ212" s="3">
        <f>MAU!AQ8*Params!$B$40*Params!$B$5*Params!$B$87*Params!$B$74</f>
        <v/>
      </c>
      <c r="AR212" s="3">
        <f>MAU!AR8*Params!$B$40*Params!$B$5*Params!$B$87*Params!$B$74</f>
        <v/>
      </c>
      <c r="AS212" s="3">
        <f>MAU!AS8*Params!$B$40*Params!$B$5*Params!$B$87*Params!$B$74</f>
        <v/>
      </c>
      <c r="AT212" s="3">
        <f>MAU!AT8*Params!$B$40*Params!$B$5*Params!$B$87*Params!$B$74</f>
        <v/>
      </c>
      <c r="AU212" s="3">
        <f>MAU!AU8*Params!$B$40*Params!$B$5*Params!$B$87*Params!$B$74</f>
        <v/>
      </c>
      <c r="AV212" s="3">
        <f>MAU!AV8*Params!$B$40*Params!$B$5*Params!$B$87*Params!$B$74</f>
        <v/>
      </c>
      <c r="AW212" s="3">
        <f>MAU!AW8*Params!$B$40*Params!$B$5*Params!$B$87*Params!$B$74</f>
        <v/>
      </c>
      <c r="AX212" s="3">
        <f>MAU!AX8*Params!$B$40*Params!$B$5*Params!$B$87*Params!$B$74</f>
        <v/>
      </c>
      <c r="AY212" s="3">
        <f>MAU!AY8*Params!$B$40*Params!$B$5*Params!$B$87*Params!$B$74</f>
        <v/>
      </c>
      <c r="AZ212" s="3">
        <f>MAU!AZ8*Params!$B$40*Params!$B$5*Params!$B$87*Params!$B$74</f>
        <v/>
      </c>
      <c r="BA212" s="3">
        <f>MAU!BA8*Params!$B$40*Params!$B$5*Params!$B$87*Params!$B$74</f>
        <v/>
      </c>
      <c r="BB212" s="3">
        <f>MAU!BB8*Params!$B$40*Params!$B$5*Params!$B$87*Params!$B$74</f>
        <v/>
      </c>
      <c r="BC212" s="3">
        <f>MAU!BC8*Params!$B$40*Params!$B$5*Params!$B$87*Params!$B$74</f>
        <v/>
      </c>
      <c r="BD212" s="3">
        <f>MAU!BD8*Params!$B$40*Params!$B$5*Params!$B$87*Params!$B$74</f>
        <v/>
      </c>
      <c r="BE212" s="3">
        <f>MAU!BE8*Params!$B$40*Params!$B$5*Params!$B$87*Params!$B$74</f>
        <v/>
      </c>
      <c r="BF212" s="3">
        <f>MAU!BF8*Params!$B$40*Params!$B$5*Params!$B$87*Params!$B$74</f>
        <v/>
      </c>
      <c r="BG212" s="3">
        <f>MAU!BG8*Params!$B$40*Params!$B$5*Params!$B$87*Params!$B$74</f>
        <v/>
      </c>
      <c r="BH212" s="3">
        <f>MAU!BH8*Params!$B$40*Params!$B$5*Params!$B$87*Params!$B$74</f>
        <v/>
      </c>
      <c r="BI212" s="3">
        <f>MAU!BI8*Params!$B$40*Params!$B$5*Params!$B$87*Params!$B$74</f>
        <v/>
      </c>
      <c r="BJ212" s="3">
        <f>MAU!BJ8*Params!$B$40*Params!$B$5*Params!$B$87*Params!$B$74</f>
        <v/>
      </c>
      <c r="BK212" s="3">
        <f>MAU!BK8*Params!$B$40*Params!$B$5*Params!$B$87*Params!$B$74</f>
        <v/>
      </c>
      <c r="BL212" s="3">
        <f>MAU!BL8*Params!$B$40*Params!$B$5*Params!$B$87*Params!$B$74</f>
        <v/>
      </c>
      <c r="BM212" s="3">
        <f>MAU!BM8*Params!$B$40*Params!$B$5*Params!$B$87*Params!$B$74</f>
        <v/>
      </c>
      <c r="BN212" s="3">
        <f>MAU!BN8*Params!$B$40*Params!$B$5*Params!$B$87*Params!$B$74</f>
        <v/>
      </c>
      <c r="BO212" s="3">
        <f>MAU!BO8*Params!$B$40*Params!$B$5*Params!$B$87*Params!$B$74</f>
        <v/>
      </c>
      <c r="BP212" s="3">
        <f>MAU!BP8*Params!$B$40*Params!$B$5*Params!$B$87*Params!$B$74</f>
        <v/>
      </c>
      <c r="BQ212" s="3">
        <f>MAU!BQ8*Params!$B$40*Params!$B$5*Params!$B$87*Params!$B$74</f>
        <v/>
      </c>
      <c r="BR212" s="3">
        <f>MAU!BR8*Params!$B$40*Params!$B$5*Params!$B$87*Params!$B$74</f>
        <v/>
      </c>
      <c r="BS212" s="3">
        <f>MAU!BS8*Params!$B$40*Params!$B$5*Params!$B$87*Params!$B$74</f>
        <v/>
      </c>
      <c r="BT212" s="3">
        <f>MAU!BT8*Params!$B$40*Params!$B$5*Params!$B$87*Params!$B$74</f>
        <v/>
      </c>
      <c r="BU212" s="3">
        <f>MAU!BU8*Params!$B$40*Params!$B$5*Params!$B$87*Params!$B$74</f>
        <v/>
      </c>
      <c r="BV212" s="3">
        <f>MAU!BV8*Params!$B$40*Params!$B$5*Params!$B$87*Params!$B$74</f>
        <v/>
      </c>
    </row>
    <row r="213">
      <c r="A213" t="inlineStr">
        <is>
          <t>trial starts</t>
        </is>
      </c>
      <c r="B213" t="inlineStr">
        <is>
          <t>ROW|BASIC_A</t>
        </is>
      </c>
      <c r="C213" s="3">
        <f>C212*Params!$B$6</f>
        <v/>
      </c>
      <c r="D213" s="3">
        <f>D212*Params!$B$6</f>
        <v/>
      </c>
      <c r="E213" s="3">
        <f>E212*Params!$B$6</f>
        <v/>
      </c>
      <c r="F213" s="3">
        <f>F212*Params!$B$6</f>
        <v/>
      </c>
      <c r="G213" s="3">
        <f>G212*Params!$B$6</f>
        <v/>
      </c>
      <c r="H213" s="3">
        <f>H212*Params!$B$6</f>
        <v/>
      </c>
      <c r="I213" s="3">
        <f>I212*Params!$B$6</f>
        <v/>
      </c>
      <c r="J213" s="3">
        <f>J212*Params!$B$6</f>
        <v/>
      </c>
      <c r="K213" s="3">
        <f>K212*Params!$B$6</f>
        <v/>
      </c>
      <c r="L213" s="3">
        <f>L212*Params!$B$6</f>
        <v/>
      </c>
      <c r="M213" s="3">
        <f>M212*Params!$B$6</f>
        <v/>
      </c>
      <c r="N213" s="3">
        <f>N212*Params!$B$6</f>
        <v/>
      </c>
      <c r="O213" s="3">
        <f>O212*Params!$B$6</f>
        <v/>
      </c>
      <c r="P213" s="3">
        <f>P212*Params!$B$6</f>
        <v/>
      </c>
      <c r="Q213" s="3">
        <f>Q212*Params!$B$6</f>
        <v/>
      </c>
      <c r="R213" s="3">
        <f>R212*Params!$B$6</f>
        <v/>
      </c>
      <c r="S213" s="3">
        <f>S212*Params!$B$6</f>
        <v/>
      </c>
      <c r="T213" s="3">
        <f>T212*Params!$B$6</f>
        <v/>
      </c>
      <c r="U213" s="3">
        <f>U212*Params!$B$6</f>
        <v/>
      </c>
      <c r="V213" s="3">
        <f>V212*Params!$B$6</f>
        <v/>
      </c>
      <c r="W213" s="3">
        <f>W212*Params!$B$6</f>
        <v/>
      </c>
      <c r="X213" s="3">
        <f>X212*Params!$B$6</f>
        <v/>
      </c>
      <c r="Y213" s="3">
        <f>Y212*Params!$B$6</f>
        <v/>
      </c>
      <c r="Z213" s="3">
        <f>Z212*Params!$B$6</f>
        <v/>
      </c>
      <c r="AA213" s="3">
        <f>AA212*Params!$B$6</f>
        <v/>
      </c>
      <c r="AB213" s="3">
        <f>AB212*Params!$B$6</f>
        <v/>
      </c>
      <c r="AC213" s="3">
        <f>AC212*Params!$B$6</f>
        <v/>
      </c>
      <c r="AD213" s="3">
        <f>AD212*Params!$B$6</f>
        <v/>
      </c>
      <c r="AE213" s="3">
        <f>AE212*Params!$B$6</f>
        <v/>
      </c>
      <c r="AF213" s="3">
        <f>AF212*Params!$B$6</f>
        <v/>
      </c>
      <c r="AG213" s="3">
        <f>AG212*Params!$B$6</f>
        <v/>
      </c>
      <c r="AH213" s="3">
        <f>AH212*Params!$B$6</f>
        <v/>
      </c>
      <c r="AI213" s="3">
        <f>AI212*Params!$B$6</f>
        <v/>
      </c>
      <c r="AJ213" s="3">
        <f>AJ212*Params!$B$6</f>
        <v/>
      </c>
      <c r="AK213" s="3">
        <f>AK212*Params!$B$6</f>
        <v/>
      </c>
      <c r="AL213" s="3">
        <f>AL212*Params!$B$6</f>
        <v/>
      </c>
      <c r="AM213" s="3">
        <f>AM212*Params!$B$6</f>
        <v/>
      </c>
      <c r="AN213" s="3">
        <f>AN212*Params!$B$6</f>
        <v/>
      </c>
      <c r="AO213" s="3">
        <f>AO212*Params!$B$6</f>
        <v/>
      </c>
      <c r="AP213" s="3">
        <f>AP212*Params!$B$6</f>
        <v/>
      </c>
      <c r="AQ213" s="3">
        <f>AQ212*Params!$B$6</f>
        <v/>
      </c>
      <c r="AR213" s="3">
        <f>AR212*Params!$B$6</f>
        <v/>
      </c>
      <c r="AS213" s="3">
        <f>AS212*Params!$B$6</f>
        <v/>
      </c>
      <c r="AT213" s="3">
        <f>AT212*Params!$B$6</f>
        <v/>
      </c>
      <c r="AU213" s="3">
        <f>AU212*Params!$B$6</f>
        <v/>
      </c>
      <c r="AV213" s="3">
        <f>AV212*Params!$B$6</f>
        <v/>
      </c>
      <c r="AW213" s="3">
        <f>AW212*Params!$B$6</f>
        <v/>
      </c>
      <c r="AX213" s="3">
        <f>AX212*Params!$B$6</f>
        <v/>
      </c>
      <c r="AY213" s="3">
        <f>AY212*Params!$B$6</f>
        <v/>
      </c>
      <c r="AZ213" s="3">
        <f>AZ212*Params!$B$6</f>
        <v/>
      </c>
      <c r="BA213" s="3">
        <f>BA212*Params!$B$6</f>
        <v/>
      </c>
      <c r="BB213" s="3">
        <f>BB212*Params!$B$6</f>
        <v/>
      </c>
      <c r="BC213" s="3">
        <f>BC212*Params!$B$6</f>
        <v/>
      </c>
      <c r="BD213" s="3">
        <f>BD212*Params!$B$6</f>
        <v/>
      </c>
      <c r="BE213" s="3">
        <f>BE212*Params!$B$6</f>
        <v/>
      </c>
      <c r="BF213" s="3">
        <f>BF212*Params!$B$6</f>
        <v/>
      </c>
      <c r="BG213" s="3">
        <f>BG212*Params!$B$6</f>
        <v/>
      </c>
      <c r="BH213" s="3">
        <f>BH212*Params!$B$6</f>
        <v/>
      </c>
      <c r="BI213" s="3">
        <f>BI212*Params!$B$6</f>
        <v/>
      </c>
      <c r="BJ213" s="3">
        <f>BJ212*Params!$B$6</f>
        <v/>
      </c>
      <c r="BK213" s="3">
        <f>BK212*Params!$B$6</f>
        <v/>
      </c>
      <c r="BL213" s="3">
        <f>BL212*Params!$B$6</f>
        <v/>
      </c>
      <c r="BM213" s="3">
        <f>BM212*Params!$B$6</f>
        <v/>
      </c>
      <c r="BN213" s="3">
        <f>BN212*Params!$B$6</f>
        <v/>
      </c>
      <c r="BO213" s="3">
        <f>BO212*Params!$B$6</f>
        <v/>
      </c>
      <c r="BP213" s="3">
        <f>BP212*Params!$B$6</f>
        <v/>
      </c>
      <c r="BQ213" s="3">
        <f>BQ212*Params!$B$6</f>
        <v/>
      </c>
      <c r="BR213" s="3">
        <f>BR212*Params!$B$6</f>
        <v/>
      </c>
      <c r="BS213" s="3">
        <f>BS212*Params!$B$6</f>
        <v/>
      </c>
      <c r="BT213" s="3">
        <f>BT212*Params!$B$6</f>
        <v/>
      </c>
      <c r="BU213" s="3">
        <f>BU212*Params!$B$6</f>
        <v/>
      </c>
      <c r="BV213" s="3">
        <f>BV212*Params!$B$6</f>
        <v/>
      </c>
    </row>
    <row r="214">
      <c r="A214" t="inlineStr">
        <is>
          <t>direct paid starts</t>
        </is>
      </c>
      <c r="B214" t="inlineStr">
        <is>
          <t>ROW|BASIC_A</t>
        </is>
      </c>
      <c r="C214" s="3">
        <f>C212-C213</f>
        <v/>
      </c>
      <c r="D214" s="3">
        <f>D212-D213</f>
        <v/>
      </c>
      <c r="E214" s="3">
        <f>E212-E213</f>
        <v/>
      </c>
      <c r="F214" s="3">
        <f>F212-F213</f>
        <v/>
      </c>
      <c r="G214" s="3">
        <f>G212-G213</f>
        <v/>
      </c>
      <c r="H214" s="3">
        <f>H212-H213</f>
        <v/>
      </c>
      <c r="I214" s="3">
        <f>I212-I213</f>
        <v/>
      </c>
      <c r="J214" s="3">
        <f>J212-J213</f>
        <v/>
      </c>
      <c r="K214" s="3">
        <f>K212-K213</f>
        <v/>
      </c>
      <c r="L214" s="3">
        <f>L212-L213</f>
        <v/>
      </c>
      <c r="M214" s="3">
        <f>M212-M213</f>
        <v/>
      </c>
      <c r="N214" s="3">
        <f>N212-N213</f>
        <v/>
      </c>
      <c r="O214" s="3">
        <f>O212-O213</f>
        <v/>
      </c>
      <c r="P214" s="3">
        <f>P212-P213</f>
        <v/>
      </c>
      <c r="Q214" s="3">
        <f>Q212-Q213</f>
        <v/>
      </c>
      <c r="R214" s="3">
        <f>R212-R213</f>
        <v/>
      </c>
      <c r="S214" s="3">
        <f>S212-S213</f>
        <v/>
      </c>
      <c r="T214" s="3">
        <f>T212-T213</f>
        <v/>
      </c>
      <c r="U214" s="3">
        <f>U212-U213</f>
        <v/>
      </c>
      <c r="V214" s="3">
        <f>V212-V213</f>
        <v/>
      </c>
      <c r="W214" s="3">
        <f>W212-W213</f>
        <v/>
      </c>
      <c r="X214" s="3">
        <f>X212-X213</f>
        <v/>
      </c>
      <c r="Y214" s="3">
        <f>Y212-Y213</f>
        <v/>
      </c>
      <c r="Z214" s="3">
        <f>Z212-Z213</f>
        <v/>
      </c>
      <c r="AA214" s="3">
        <f>AA212-AA213</f>
        <v/>
      </c>
      <c r="AB214" s="3">
        <f>AB212-AB213</f>
        <v/>
      </c>
      <c r="AC214" s="3">
        <f>AC212-AC213</f>
        <v/>
      </c>
      <c r="AD214" s="3">
        <f>AD212-AD213</f>
        <v/>
      </c>
      <c r="AE214" s="3">
        <f>AE212-AE213</f>
        <v/>
      </c>
      <c r="AF214" s="3">
        <f>AF212-AF213</f>
        <v/>
      </c>
      <c r="AG214" s="3">
        <f>AG212-AG213</f>
        <v/>
      </c>
      <c r="AH214" s="3">
        <f>AH212-AH213</f>
        <v/>
      </c>
      <c r="AI214" s="3">
        <f>AI212-AI213</f>
        <v/>
      </c>
      <c r="AJ214" s="3">
        <f>AJ212-AJ213</f>
        <v/>
      </c>
      <c r="AK214" s="3">
        <f>AK212-AK213</f>
        <v/>
      </c>
      <c r="AL214" s="3">
        <f>AL212-AL213</f>
        <v/>
      </c>
      <c r="AM214" s="3">
        <f>AM212-AM213</f>
        <v/>
      </c>
      <c r="AN214" s="3">
        <f>AN212-AN213</f>
        <v/>
      </c>
      <c r="AO214" s="3">
        <f>AO212-AO213</f>
        <v/>
      </c>
      <c r="AP214" s="3">
        <f>AP212-AP213</f>
        <v/>
      </c>
      <c r="AQ214" s="3">
        <f>AQ212-AQ213</f>
        <v/>
      </c>
      <c r="AR214" s="3">
        <f>AR212-AR213</f>
        <v/>
      </c>
      <c r="AS214" s="3">
        <f>AS212-AS213</f>
        <v/>
      </c>
      <c r="AT214" s="3">
        <f>AT212-AT213</f>
        <v/>
      </c>
      <c r="AU214" s="3">
        <f>AU212-AU213</f>
        <v/>
      </c>
      <c r="AV214" s="3">
        <f>AV212-AV213</f>
        <v/>
      </c>
      <c r="AW214" s="3">
        <f>AW212-AW213</f>
        <v/>
      </c>
      <c r="AX214" s="3">
        <f>AX212-AX213</f>
        <v/>
      </c>
      <c r="AY214" s="3">
        <f>AY212-AY213</f>
        <v/>
      </c>
      <c r="AZ214" s="3">
        <f>AZ212-AZ213</f>
        <v/>
      </c>
      <c r="BA214" s="3">
        <f>BA212-BA213</f>
        <v/>
      </c>
      <c r="BB214" s="3">
        <f>BB212-BB213</f>
        <v/>
      </c>
      <c r="BC214" s="3">
        <f>BC212-BC213</f>
        <v/>
      </c>
      <c r="BD214" s="3">
        <f>BD212-BD213</f>
        <v/>
      </c>
      <c r="BE214" s="3">
        <f>BE212-BE213</f>
        <v/>
      </c>
      <c r="BF214" s="3">
        <f>BF212-BF213</f>
        <v/>
      </c>
      <c r="BG214" s="3">
        <f>BG212-BG213</f>
        <v/>
      </c>
      <c r="BH214" s="3">
        <f>BH212-BH213</f>
        <v/>
      </c>
      <c r="BI214" s="3">
        <f>BI212-BI213</f>
        <v/>
      </c>
      <c r="BJ214" s="3">
        <f>BJ212-BJ213</f>
        <v/>
      </c>
      <c r="BK214" s="3">
        <f>BK212-BK213</f>
        <v/>
      </c>
      <c r="BL214" s="3">
        <f>BL212-BL213</f>
        <v/>
      </c>
      <c r="BM214" s="3">
        <f>BM212-BM213</f>
        <v/>
      </c>
      <c r="BN214" s="3">
        <f>BN212-BN213</f>
        <v/>
      </c>
      <c r="BO214" s="3">
        <f>BO212-BO213</f>
        <v/>
      </c>
      <c r="BP214" s="3">
        <f>BP212-BP213</f>
        <v/>
      </c>
      <c r="BQ214" s="3">
        <f>BQ212-BQ213</f>
        <v/>
      </c>
      <c r="BR214" s="3">
        <f>BR212-BR213</f>
        <v/>
      </c>
      <c r="BS214" s="3">
        <f>BS212-BS213</f>
        <v/>
      </c>
      <c r="BT214" s="3">
        <f>BT212-BT213</f>
        <v/>
      </c>
      <c r="BU214" s="3">
        <f>BU212-BU213</f>
        <v/>
      </c>
      <c r="BV214" s="3">
        <f>BV212-BV213</f>
        <v/>
      </c>
    </row>
    <row r="215">
      <c r="A215" t="inlineStr">
        <is>
          <t>trials ending</t>
        </is>
      </c>
      <c r="B215" t="inlineStr">
        <is>
          <t>ROW|BASIC_A</t>
        </is>
      </c>
      <c r="C215" s="3">
        <f>IF(C$2&gt;=Params!$B$7,INDEX($C$213:$BV$213,C$2-Params!$B$7+1),0)</f>
        <v/>
      </c>
      <c r="D215" s="3">
        <f>IF(D$2&gt;=Params!$B$7,INDEX($C$213:$BV$213,D$2-Params!$B$7+1),0)</f>
        <v/>
      </c>
      <c r="E215" s="3">
        <f>IF(E$2&gt;=Params!$B$7,INDEX($C$213:$BV$213,E$2-Params!$B$7+1),0)</f>
        <v/>
      </c>
      <c r="F215" s="3">
        <f>IF(F$2&gt;=Params!$B$7,INDEX($C$213:$BV$213,F$2-Params!$B$7+1),0)</f>
        <v/>
      </c>
      <c r="G215" s="3">
        <f>IF(G$2&gt;=Params!$B$7,INDEX($C$213:$BV$213,G$2-Params!$B$7+1),0)</f>
        <v/>
      </c>
      <c r="H215" s="3">
        <f>IF(H$2&gt;=Params!$B$7,INDEX($C$213:$BV$213,H$2-Params!$B$7+1),0)</f>
        <v/>
      </c>
      <c r="I215" s="3">
        <f>IF(I$2&gt;=Params!$B$7,INDEX($C$213:$BV$213,I$2-Params!$B$7+1),0)</f>
        <v/>
      </c>
      <c r="J215" s="3">
        <f>IF(J$2&gt;=Params!$B$7,INDEX($C$213:$BV$213,J$2-Params!$B$7+1),0)</f>
        <v/>
      </c>
      <c r="K215" s="3">
        <f>IF(K$2&gt;=Params!$B$7,INDEX($C$213:$BV$213,K$2-Params!$B$7+1),0)</f>
        <v/>
      </c>
      <c r="L215" s="3">
        <f>IF(L$2&gt;=Params!$B$7,INDEX($C$213:$BV$213,L$2-Params!$B$7+1),0)</f>
        <v/>
      </c>
      <c r="M215" s="3">
        <f>IF(M$2&gt;=Params!$B$7,INDEX($C$213:$BV$213,M$2-Params!$B$7+1),0)</f>
        <v/>
      </c>
      <c r="N215" s="3">
        <f>IF(N$2&gt;=Params!$B$7,INDEX($C$213:$BV$213,N$2-Params!$B$7+1),0)</f>
        <v/>
      </c>
      <c r="O215" s="3">
        <f>IF(O$2&gt;=Params!$B$7,INDEX($C$213:$BV$213,O$2-Params!$B$7+1),0)</f>
        <v/>
      </c>
      <c r="P215" s="3">
        <f>IF(P$2&gt;=Params!$B$7,INDEX($C$213:$BV$213,P$2-Params!$B$7+1),0)</f>
        <v/>
      </c>
      <c r="Q215" s="3">
        <f>IF(Q$2&gt;=Params!$B$7,INDEX($C$213:$BV$213,Q$2-Params!$B$7+1),0)</f>
        <v/>
      </c>
      <c r="R215" s="3">
        <f>IF(R$2&gt;=Params!$B$7,INDEX($C$213:$BV$213,R$2-Params!$B$7+1),0)</f>
        <v/>
      </c>
      <c r="S215" s="3">
        <f>IF(S$2&gt;=Params!$B$7,INDEX($C$213:$BV$213,S$2-Params!$B$7+1),0)</f>
        <v/>
      </c>
      <c r="T215" s="3">
        <f>IF(T$2&gt;=Params!$B$7,INDEX($C$213:$BV$213,T$2-Params!$B$7+1),0)</f>
        <v/>
      </c>
      <c r="U215" s="3">
        <f>IF(U$2&gt;=Params!$B$7,INDEX($C$213:$BV$213,U$2-Params!$B$7+1),0)</f>
        <v/>
      </c>
      <c r="V215" s="3">
        <f>IF(V$2&gt;=Params!$B$7,INDEX($C$213:$BV$213,V$2-Params!$B$7+1),0)</f>
        <v/>
      </c>
      <c r="W215" s="3">
        <f>IF(W$2&gt;=Params!$B$7,INDEX($C$213:$BV$213,W$2-Params!$B$7+1),0)</f>
        <v/>
      </c>
      <c r="X215" s="3">
        <f>IF(X$2&gt;=Params!$B$7,INDEX($C$213:$BV$213,X$2-Params!$B$7+1),0)</f>
        <v/>
      </c>
      <c r="Y215" s="3">
        <f>IF(Y$2&gt;=Params!$B$7,INDEX($C$213:$BV$213,Y$2-Params!$B$7+1),0)</f>
        <v/>
      </c>
      <c r="Z215" s="3">
        <f>IF(Z$2&gt;=Params!$B$7,INDEX($C$213:$BV$213,Z$2-Params!$B$7+1),0)</f>
        <v/>
      </c>
      <c r="AA215" s="3">
        <f>IF(AA$2&gt;=Params!$B$7,INDEX($C$213:$BV$213,AA$2-Params!$B$7+1),0)</f>
        <v/>
      </c>
      <c r="AB215" s="3">
        <f>IF(AB$2&gt;=Params!$B$7,INDEX($C$213:$BV$213,AB$2-Params!$B$7+1),0)</f>
        <v/>
      </c>
      <c r="AC215" s="3">
        <f>IF(AC$2&gt;=Params!$B$7,INDEX($C$213:$BV$213,AC$2-Params!$B$7+1),0)</f>
        <v/>
      </c>
      <c r="AD215" s="3">
        <f>IF(AD$2&gt;=Params!$B$7,INDEX($C$213:$BV$213,AD$2-Params!$B$7+1),0)</f>
        <v/>
      </c>
      <c r="AE215" s="3">
        <f>IF(AE$2&gt;=Params!$B$7,INDEX($C$213:$BV$213,AE$2-Params!$B$7+1),0)</f>
        <v/>
      </c>
      <c r="AF215" s="3">
        <f>IF(AF$2&gt;=Params!$B$7,INDEX($C$213:$BV$213,AF$2-Params!$B$7+1),0)</f>
        <v/>
      </c>
      <c r="AG215" s="3">
        <f>IF(AG$2&gt;=Params!$B$7,INDEX($C$213:$BV$213,AG$2-Params!$B$7+1),0)</f>
        <v/>
      </c>
      <c r="AH215" s="3">
        <f>IF(AH$2&gt;=Params!$B$7,INDEX($C$213:$BV$213,AH$2-Params!$B$7+1),0)</f>
        <v/>
      </c>
      <c r="AI215" s="3">
        <f>IF(AI$2&gt;=Params!$B$7,INDEX($C$213:$BV$213,AI$2-Params!$B$7+1),0)</f>
        <v/>
      </c>
      <c r="AJ215" s="3">
        <f>IF(AJ$2&gt;=Params!$B$7,INDEX($C$213:$BV$213,AJ$2-Params!$B$7+1),0)</f>
        <v/>
      </c>
      <c r="AK215" s="3">
        <f>IF(AK$2&gt;=Params!$B$7,INDEX($C$213:$BV$213,AK$2-Params!$B$7+1),0)</f>
        <v/>
      </c>
      <c r="AL215" s="3">
        <f>IF(AL$2&gt;=Params!$B$7,INDEX($C$213:$BV$213,AL$2-Params!$B$7+1),0)</f>
        <v/>
      </c>
      <c r="AM215" s="3">
        <f>IF(AM$2&gt;=Params!$B$7,INDEX($C$213:$BV$213,AM$2-Params!$B$7+1),0)</f>
        <v/>
      </c>
      <c r="AN215" s="3">
        <f>IF(AN$2&gt;=Params!$B$7,INDEX($C$213:$BV$213,AN$2-Params!$B$7+1),0)</f>
        <v/>
      </c>
      <c r="AO215" s="3">
        <f>IF(AO$2&gt;=Params!$B$7,INDEX($C$213:$BV$213,AO$2-Params!$B$7+1),0)</f>
        <v/>
      </c>
      <c r="AP215" s="3">
        <f>IF(AP$2&gt;=Params!$B$7,INDEX($C$213:$BV$213,AP$2-Params!$B$7+1),0)</f>
        <v/>
      </c>
      <c r="AQ215" s="3">
        <f>IF(AQ$2&gt;=Params!$B$7,INDEX($C$213:$BV$213,AQ$2-Params!$B$7+1),0)</f>
        <v/>
      </c>
      <c r="AR215" s="3">
        <f>IF(AR$2&gt;=Params!$B$7,INDEX($C$213:$BV$213,AR$2-Params!$B$7+1),0)</f>
        <v/>
      </c>
      <c r="AS215" s="3">
        <f>IF(AS$2&gt;=Params!$B$7,INDEX($C$213:$BV$213,AS$2-Params!$B$7+1),0)</f>
        <v/>
      </c>
      <c r="AT215" s="3">
        <f>IF(AT$2&gt;=Params!$B$7,INDEX($C$213:$BV$213,AT$2-Params!$B$7+1),0)</f>
        <v/>
      </c>
      <c r="AU215" s="3">
        <f>IF(AU$2&gt;=Params!$B$7,INDEX($C$213:$BV$213,AU$2-Params!$B$7+1),0)</f>
        <v/>
      </c>
      <c r="AV215" s="3">
        <f>IF(AV$2&gt;=Params!$B$7,INDEX($C$213:$BV$213,AV$2-Params!$B$7+1),0)</f>
        <v/>
      </c>
      <c r="AW215" s="3">
        <f>IF(AW$2&gt;=Params!$B$7,INDEX($C$213:$BV$213,AW$2-Params!$B$7+1),0)</f>
        <v/>
      </c>
      <c r="AX215" s="3">
        <f>IF(AX$2&gt;=Params!$B$7,INDEX($C$213:$BV$213,AX$2-Params!$B$7+1),0)</f>
        <v/>
      </c>
      <c r="AY215" s="3">
        <f>IF(AY$2&gt;=Params!$B$7,INDEX($C$213:$BV$213,AY$2-Params!$B$7+1),0)</f>
        <v/>
      </c>
      <c r="AZ215" s="3">
        <f>IF(AZ$2&gt;=Params!$B$7,INDEX($C$213:$BV$213,AZ$2-Params!$B$7+1),0)</f>
        <v/>
      </c>
      <c r="BA215" s="3">
        <f>IF(BA$2&gt;=Params!$B$7,INDEX($C$213:$BV$213,BA$2-Params!$B$7+1),0)</f>
        <v/>
      </c>
      <c r="BB215" s="3">
        <f>IF(BB$2&gt;=Params!$B$7,INDEX($C$213:$BV$213,BB$2-Params!$B$7+1),0)</f>
        <v/>
      </c>
      <c r="BC215" s="3">
        <f>IF(BC$2&gt;=Params!$B$7,INDEX($C$213:$BV$213,BC$2-Params!$B$7+1),0)</f>
        <v/>
      </c>
      <c r="BD215" s="3">
        <f>IF(BD$2&gt;=Params!$B$7,INDEX($C$213:$BV$213,BD$2-Params!$B$7+1),0)</f>
        <v/>
      </c>
      <c r="BE215" s="3">
        <f>IF(BE$2&gt;=Params!$B$7,INDEX($C$213:$BV$213,BE$2-Params!$B$7+1),0)</f>
        <v/>
      </c>
      <c r="BF215" s="3">
        <f>IF(BF$2&gt;=Params!$B$7,INDEX($C$213:$BV$213,BF$2-Params!$B$7+1),0)</f>
        <v/>
      </c>
      <c r="BG215" s="3">
        <f>IF(BG$2&gt;=Params!$B$7,INDEX($C$213:$BV$213,BG$2-Params!$B$7+1),0)</f>
        <v/>
      </c>
      <c r="BH215" s="3">
        <f>IF(BH$2&gt;=Params!$B$7,INDEX($C$213:$BV$213,BH$2-Params!$B$7+1),0)</f>
        <v/>
      </c>
      <c r="BI215" s="3">
        <f>IF(BI$2&gt;=Params!$B$7,INDEX($C$213:$BV$213,BI$2-Params!$B$7+1),0)</f>
        <v/>
      </c>
      <c r="BJ215" s="3">
        <f>IF(BJ$2&gt;=Params!$B$7,INDEX($C$213:$BV$213,BJ$2-Params!$B$7+1),0)</f>
        <v/>
      </c>
      <c r="BK215" s="3">
        <f>IF(BK$2&gt;=Params!$B$7,INDEX($C$213:$BV$213,BK$2-Params!$B$7+1),0)</f>
        <v/>
      </c>
      <c r="BL215" s="3">
        <f>IF(BL$2&gt;=Params!$B$7,INDEX($C$213:$BV$213,BL$2-Params!$B$7+1),0)</f>
        <v/>
      </c>
      <c r="BM215" s="3">
        <f>IF(BM$2&gt;=Params!$B$7,INDEX($C$213:$BV$213,BM$2-Params!$B$7+1),0)</f>
        <v/>
      </c>
      <c r="BN215" s="3">
        <f>IF(BN$2&gt;=Params!$B$7,INDEX($C$213:$BV$213,BN$2-Params!$B$7+1),0)</f>
        <v/>
      </c>
      <c r="BO215" s="3">
        <f>IF(BO$2&gt;=Params!$B$7,INDEX($C$213:$BV$213,BO$2-Params!$B$7+1),0)</f>
        <v/>
      </c>
      <c r="BP215" s="3">
        <f>IF(BP$2&gt;=Params!$B$7,INDEX($C$213:$BV$213,BP$2-Params!$B$7+1),0)</f>
        <v/>
      </c>
      <c r="BQ215" s="3">
        <f>IF(BQ$2&gt;=Params!$B$7,INDEX($C$213:$BV$213,BQ$2-Params!$B$7+1),0)</f>
        <v/>
      </c>
      <c r="BR215" s="3">
        <f>IF(BR$2&gt;=Params!$B$7,INDEX($C$213:$BV$213,BR$2-Params!$B$7+1),0)</f>
        <v/>
      </c>
      <c r="BS215" s="3">
        <f>IF(BS$2&gt;=Params!$B$7,INDEX($C$213:$BV$213,BS$2-Params!$B$7+1),0)</f>
        <v/>
      </c>
      <c r="BT215" s="3">
        <f>IF(BT$2&gt;=Params!$B$7,INDEX($C$213:$BV$213,BT$2-Params!$B$7+1),0)</f>
        <v/>
      </c>
      <c r="BU215" s="3">
        <f>IF(BU$2&gt;=Params!$B$7,INDEX($C$213:$BV$213,BU$2-Params!$B$7+1),0)</f>
        <v/>
      </c>
      <c r="BV215" s="3">
        <f>IF(BV$2&gt;=Params!$B$7,INDEX($C$213:$BV$213,BV$2-Params!$B$7+1),0)</f>
        <v/>
      </c>
    </row>
    <row r="216">
      <c r="A216" t="inlineStr">
        <is>
          <t>trials converted</t>
        </is>
      </c>
      <c r="B216" t="inlineStr">
        <is>
          <t>ROW|BASIC_A</t>
        </is>
      </c>
      <c r="C216" s="3">
        <f>C215*Params!$B$8</f>
        <v/>
      </c>
      <c r="D216" s="3">
        <f>D215*Params!$B$8</f>
        <v/>
      </c>
      <c r="E216" s="3">
        <f>E215*Params!$B$8</f>
        <v/>
      </c>
      <c r="F216" s="3">
        <f>F215*Params!$B$8</f>
        <v/>
      </c>
      <c r="G216" s="3">
        <f>G215*Params!$B$8</f>
        <v/>
      </c>
      <c r="H216" s="3">
        <f>H215*Params!$B$8</f>
        <v/>
      </c>
      <c r="I216" s="3">
        <f>I215*Params!$B$8</f>
        <v/>
      </c>
      <c r="J216" s="3">
        <f>J215*Params!$B$8</f>
        <v/>
      </c>
      <c r="K216" s="3">
        <f>K215*Params!$B$8</f>
        <v/>
      </c>
      <c r="L216" s="3">
        <f>L215*Params!$B$8</f>
        <v/>
      </c>
      <c r="M216" s="3">
        <f>M215*Params!$B$8</f>
        <v/>
      </c>
      <c r="N216" s="3">
        <f>N215*Params!$B$8</f>
        <v/>
      </c>
      <c r="O216" s="3">
        <f>O215*Params!$B$8</f>
        <v/>
      </c>
      <c r="P216" s="3">
        <f>P215*Params!$B$8</f>
        <v/>
      </c>
      <c r="Q216" s="3">
        <f>Q215*Params!$B$8</f>
        <v/>
      </c>
      <c r="R216" s="3">
        <f>R215*Params!$B$8</f>
        <v/>
      </c>
      <c r="S216" s="3">
        <f>S215*Params!$B$8</f>
        <v/>
      </c>
      <c r="T216" s="3">
        <f>T215*Params!$B$8</f>
        <v/>
      </c>
      <c r="U216" s="3">
        <f>U215*Params!$B$8</f>
        <v/>
      </c>
      <c r="V216" s="3">
        <f>V215*Params!$B$8</f>
        <v/>
      </c>
      <c r="W216" s="3">
        <f>W215*Params!$B$8</f>
        <v/>
      </c>
      <c r="X216" s="3">
        <f>X215*Params!$B$8</f>
        <v/>
      </c>
      <c r="Y216" s="3">
        <f>Y215*Params!$B$8</f>
        <v/>
      </c>
      <c r="Z216" s="3">
        <f>Z215*Params!$B$8</f>
        <v/>
      </c>
      <c r="AA216" s="3">
        <f>AA215*Params!$B$8</f>
        <v/>
      </c>
      <c r="AB216" s="3">
        <f>AB215*Params!$B$8</f>
        <v/>
      </c>
      <c r="AC216" s="3">
        <f>AC215*Params!$B$8</f>
        <v/>
      </c>
      <c r="AD216" s="3">
        <f>AD215*Params!$B$8</f>
        <v/>
      </c>
      <c r="AE216" s="3">
        <f>AE215*Params!$B$8</f>
        <v/>
      </c>
      <c r="AF216" s="3">
        <f>AF215*Params!$B$8</f>
        <v/>
      </c>
      <c r="AG216" s="3">
        <f>AG215*Params!$B$8</f>
        <v/>
      </c>
      <c r="AH216" s="3">
        <f>AH215*Params!$B$8</f>
        <v/>
      </c>
      <c r="AI216" s="3">
        <f>AI215*Params!$B$8</f>
        <v/>
      </c>
      <c r="AJ216" s="3">
        <f>AJ215*Params!$B$8</f>
        <v/>
      </c>
      <c r="AK216" s="3">
        <f>AK215*Params!$B$8</f>
        <v/>
      </c>
      <c r="AL216" s="3">
        <f>AL215*Params!$B$8</f>
        <v/>
      </c>
      <c r="AM216" s="3">
        <f>AM215*Params!$B$8</f>
        <v/>
      </c>
      <c r="AN216" s="3">
        <f>AN215*Params!$B$8</f>
        <v/>
      </c>
      <c r="AO216" s="3">
        <f>AO215*Params!$B$8</f>
        <v/>
      </c>
      <c r="AP216" s="3">
        <f>AP215*Params!$B$8</f>
        <v/>
      </c>
      <c r="AQ216" s="3">
        <f>AQ215*Params!$B$8</f>
        <v/>
      </c>
      <c r="AR216" s="3">
        <f>AR215*Params!$B$8</f>
        <v/>
      </c>
      <c r="AS216" s="3">
        <f>AS215*Params!$B$8</f>
        <v/>
      </c>
      <c r="AT216" s="3">
        <f>AT215*Params!$B$8</f>
        <v/>
      </c>
      <c r="AU216" s="3">
        <f>AU215*Params!$B$8</f>
        <v/>
      </c>
      <c r="AV216" s="3">
        <f>AV215*Params!$B$8</f>
        <v/>
      </c>
      <c r="AW216" s="3">
        <f>AW215*Params!$B$8</f>
        <v/>
      </c>
      <c r="AX216" s="3">
        <f>AX215*Params!$B$8</f>
        <v/>
      </c>
      <c r="AY216" s="3">
        <f>AY215*Params!$B$8</f>
        <v/>
      </c>
      <c r="AZ216" s="3">
        <f>AZ215*Params!$B$8</f>
        <v/>
      </c>
      <c r="BA216" s="3">
        <f>BA215*Params!$B$8</f>
        <v/>
      </c>
      <c r="BB216" s="3">
        <f>BB215*Params!$B$8</f>
        <v/>
      </c>
      <c r="BC216" s="3">
        <f>BC215*Params!$B$8</f>
        <v/>
      </c>
      <c r="BD216" s="3">
        <f>BD215*Params!$B$8</f>
        <v/>
      </c>
      <c r="BE216" s="3">
        <f>BE215*Params!$B$8</f>
        <v/>
      </c>
      <c r="BF216" s="3">
        <f>BF215*Params!$B$8</f>
        <v/>
      </c>
      <c r="BG216" s="3">
        <f>BG215*Params!$B$8</f>
        <v/>
      </c>
      <c r="BH216" s="3">
        <f>BH215*Params!$B$8</f>
        <v/>
      </c>
      <c r="BI216" s="3">
        <f>BI215*Params!$B$8</f>
        <v/>
      </c>
      <c r="BJ216" s="3">
        <f>BJ215*Params!$B$8</f>
        <v/>
      </c>
      <c r="BK216" s="3">
        <f>BK215*Params!$B$8</f>
        <v/>
      </c>
      <c r="BL216" s="3">
        <f>BL215*Params!$B$8</f>
        <v/>
      </c>
      <c r="BM216" s="3">
        <f>BM215*Params!$B$8</f>
        <v/>
      </c>
      <c r="BN216" s="3">
        <f>BN215*Params!$B$8</f>
        <v/>
      </c>
      <c r="BO216" s="3">
        <f>BO215*Params!$B$8</f>
        <v/>
      </c>
      <c r="BP216" s="3">
        <f>BP215*Params!$B$8</f>
        <v/>
      </c>
      <c r="BQ216" s="3">
        <f>BQ215*Params!$B$8</f>
        <v/>
      </c>
      <c r="BR216" s="3">
        <f>BR215*Params!$B$8</f>
        <v/>
      </c>
      <c r="BS216" s="3">
        <f>BS215*Params!$B$8</f>
        <v/>
      </c>
      <c r="BT216" s="3">
        <f>BT215*Params!$B$8</f>
        <v/>
      </c>
      <c r="BU216" s="3">
        <f>BU215*Params!$B$8</f>
        <v/>
      </c>
      <c r="BV216" s="3">
        <f>BV215*Params!$B$8</f>
        <v/>
      </c>
    </row>
    <row r="217">
      <c r="A217" t="inlineStr">
        <is>
          <t>trials lost</t>
        </is>
      </c>
      <c r="B217" t="inlineStr">
        <is>
          <t>ROW|BASIC_A</t>
        </is>
      </c>
      <c r="C217" s="3">
        <f>C215-C216</f>
        <v/>
      </c>
      <c r="D217" s="3">
        <f>D215-D216</f>
        <v/>
      </c>
      <c r="E217" s="3">
        <f>E215-E216</f>
        <v/>
      </c>
      <c r="F217" s="3">
        <f>F215-F216</f>
        <v/>
      </c>
      <c r="G217" s="3">
        <f>G215-G216</f>
        <v/>
      </c>
      <c r="H217" s="3">
        <f>H215-H216</f>
        <v/>
      </c>
      <c r="I217" s="3">
        <f>I215-I216</f>
        <v/>
      </c>
      <c r="J217" s="3">
        <f>J215-J216</f>
        <v/>
      </c>
      <c r="K217" s="3">
        <f>K215-K216</f>
        <v/>
      </c>
      <c r="L217" s="3">
        <f>L215-L216</f>
        <v/>
      </c>
      <c r="M217" s="3">
        <f>M215-M216</f>
        <v/>
      </c>
      <c r="N217" s="3">
        <f>N215-N216</f>
        <v/>
      </c>
      <c r="O217" s="3">
        <f>O215-O216</f>
        <v/>
      </c>
      <c r="P217" s="3">
        <f>P215-P216</f>
        <v/>
      </c>
      <c r="Q217" s="3">
        <f>Q215-Q216</f>
        <v/>
      </c>
      <c r="R217" s="3">
        <f>R215-R216</f>
        <v/>
      </c>
      <c r="S217" s="3">
        <f>S215-S216</f>
        <v/>
      </c>
      <c r="T217" s="3">
        <f>T215-T216</f>
        <v/>
      </c>
      <c r="U217" s="3">
        <f>U215-U216</f>
        <v/>
      </c>
      <c r="V217" s="3">
        <f>V215-V216</f>
        <v/>
      </c>
      <c r="W217" s="3">
        <f>W215-W216</f>
        <v/>
      </c>
      <c r="X217" s="3">
        <f>X215-X216</f>
        <v/>
      </c>
      <c r="Y217" s="3">
        <f>Y215-Y216</f>
        <v/>
      </c>
      <c r="Z217" s="3">
        <f>Z215-Z216</f>
        <v/>
      </c>
      <c r="AA217" s="3">
        <f>AA215-AA216</f>
        <v/>
      </c>
      <c r="AB217" s="3">
        <f>AB215-AB216</f>
        <v/>
      </c>
      <c r="AC217" s="3">
        <f>AC215-AC216</f>
        <v/>
      </c>
      <c r="AD217" s="3">
        <f>AD215-AD216</f>
        <v/>
      </c>
      <c r="AE217" s="3">
        <f>AE215-AE216</f>
        <v/>
      </c>
      <c r="AF217" s="3">
        <f>AF215-AF216</f>
        <v/>
      </c>
      <c r="AG217" s="3">
        <f>AG215-AG216</f>
        <v/>
      </c>
      <c r="AH217" s="3">
        <f>AH215-AH216</f>
        <v/>
      </c>
      <c r="AI217" s="3">
        <f>AI215-AI216</f>
        <v/>
      </c>
      <c r="AJ217" s="3">
        <f>AJ215-AJ216</f>
        <v/>
      </c>
      <c r="AK217" s="3">
        <f>AK215-AK216</f>
        <v/>
      </c>
      <c r="AL217" s="3">
        <f>AL215-AL216</f>
        <v/>
      </c>
      <c r="AM217" s="3">
        <f>AM215-AM216</f>
        <v/>
      </c>
      <c r="AN217" s="3">
        <f>AN215-AN216</f>
        <v/>
      </c>
      <c r="AO217" s="3">
        <f>AO215-AO216</f>
        <v/>
      </c>
      <c r="AP217" s="3">
        <f>AP215-AP216</f>
        <v/>
      </c>
      <c r="AQ217" s="3">
        <f>AQ215-AQ216</f>
        <v/>
      </c>
      <c r="AR217" s="3">
        <f>AR215-AR216</f>
        <v/>
      </c>
      <c r="AS217" s="3">
        <f>AS215-AS216</f>
        <v/>
      </c>
      <c r="AT217" s="3">
        <f>AT215-AT216</f>
        <v/>
      </c>
      <c r="AU217" s="3">
        <f>AU215-AU216</f>
        <v/>
      </c>
      <c r="AV217" s="3">
        <f>AV215-AV216</f>
        <v/>
      </c>
      <c r="AW217" s="3">
        <f>AW215-AW216</f>
        <v/>
      </c>
      <c r="AX217" s="3">
        <f>AX215-AX216</f>
        <v/>
      </c>
      <c r="AY217" s="3">
        <f>AY215-AY216</f>
        <v/>
      </c>
      <c r="AZ217" s="3">
        <f>AZ215-AZ216</f>
        <v/>
      </c>
      <c r="BA217" s="3">
        <f>BA215-BA216</f>
        <v/>
      </c>
      <c r="BB217" s="3">
        <f>BB215-BB216</f>
        <v/>
      </c>
      <c r="BC217" s="3">
        <f>BC215-BC216</f>
        <v/>
      </c>
      <c r="BD217" s="3">
        <f>BD215-BD216</f>
        <v/>
      </c>
      <c r="BE217" s="3">
        <f>BE215-BE216</f>
        <v/>
      </c>
      <c r="BF217" s="3">
        <f>BF215-BF216</f>
        <v/>
      </c>
      <c r="BG217" s="3">
        <f>BG215-BG216</f>
        <v/>
      </c>
      <c r="BH217" s="3">
        <f>BH215-BH216</f>
        <v/>
      </c>
      <c r="BI217" s="3">
        <f>BI215-BI216</f>
        <v/>
      </c>
      <c r="BJ217" s="3">
        <f>BJ215-BJ216</f>
        <v/>
      </c>
      <c r="BK217" s="3">
        <f>BK215-BK216</f>
        <v/>
      </c>
      <c r="BL217" s="3">
        <f>BL215-BL216</f>
        <v/>
      </c>
      <c r="BM217" s="3">
        <f>BM215-BM216</f>
        <v/>
      </c>
      <c r="BN217" s="3">
        <f>BN215-BN216</f>
        <v/>
      </c>
      <c r="BO217" s="3">
        <f>BO215-BO216</f>
        <v/>
      </c>
      <c r="BP217" s="3">
        <f>BP215-BP216</f>
        <v/>
      </c>
      <c r="BQ217" s="3">
        <f>BQ215-BQ216</f>
        <v/>
      </c>
      <c r="BR217" s="3">
        <f>BR215-BR216</f>
        <v/>
      </c>
      <c r="BS217" s="3">
        <f>BS215-BS216</f>
        <v/>
      </c>
      <c r="BT217" s="3">
        <f>BT215-BT216</f>
        <v/>
      </c>
      <c r="BU217" s="3">
        <f>BU215-BU216</f>
        <v/>
      </c>
      <c r="BV217" s="3">
        <f>BV215-BV216</f>
        <v/>
      </c>
    </row>
    <row r="218">
      <c r="A218" t="inlineStr">
        <is>
          <t>cum trial starts</t>
        </is>
      </c>
      <c r="B218" t="inlineStr">
        <is>
          <t>ROW|BASIC_A</t>
        </is>
      </c>
      <c r="C218" s="3">
        <f>SUM($C213:C213)</f>
        <v/>
      </c>
      <c r="D218" s="3">
        <f>SUM($C213:D213)</f>
        <v/>
      </c>
      <c r="E218" s="3">
        <f>SUM($C213:E213)</f>
        <v/>
      </c>
      <c r="F218" s="3">
        <f>SUM($C213:F213)</f>
        <v/>
      </c>
      <c r="G218" s="3">
        <f>SUM($C213:G213)</f>
        <v/>
      </c>
      <c r="H218" s="3">
        <f>SUM($C213:H213)</f>
        <v/>
      </c>
      <c r="I218" s="3">
        <f>SUM($C213:I213)</f>
        <v/>
      </c>
      <c r="J218" s="3">
        <f>SUM($C213:J213)</f>
        <v/>
      </c>
      <c r="K218" s="3">
        <f>SUM($C213:K213)</f>
        <v/>
      </c>
      <c r="L218" s="3">
        <f>SUM($C213:L213)</f>
        <v/>
      </c>
      <c r="M218" s="3">
        <f>SUM($C213:M213)</f>
        <v/>
      </c>
      <c r="N218" s="3">
        <f>SUM($C213:N213)</f>
        <v/>
      </c>
      <c r="O218" s="3">
        <f>SUM($C213:O213)</f>
        <v/>
      </c>
      <c r="P218" s="3">
        <f>SUM($C213:P213)</f>
        <v/>
      </c>
      <c r="Q218" s="3">
        <f>SUM($C213:Q213)</f>
        <v/>
      </c>
      <c r="R218" s="3">
        <f>SUM($C213:R213)</f>
        <v/>
      </c>
      <c r="S218" s="3">
        <f>SUM($C213:S213)</f>
        <v/>
      </c>
      <c r="T218" s="3">
        <f>SUM($C213:T213)</f>
        <v/>
      </c>
      <c r="U218" s="3">
        <f>SUM($C213:U213)</f>
        <v/>
      </c>
      <c r="V218" s="3">
        <f>SUM($C213:V213)</f>
        <v/>
      </c>
      <c r="W218" s="3">
        <f>SUM($C213:W213)</f>
        <v/>
      </c>
      <c r="X218" s="3">
        <f>SUM($C213:X213)</f>
        <v/>
      </c>
      <c r="Y218" s="3">
        <f>SUM($C213:Y213)</f>
        <v/>
      </c>
      <c r="Z218" s="3">
        <f>SUM($C213:Z213)</f>
        <v/>
      </c>
      <c r="AA218" s="3">
        <f>SUM($C213:AA213)</f>
        <v/>
      </c>
      <c r="AB218" s="3">
        <f>SUM($C213:AB213)</f>
        <v/>
      </c>
      <c r="AC218" s="3">
        <f>SUM($C213:AC213)</f>
        <v/>
      </c>
      <c r="AD218" s="3">
        <f>SUM($C213:AD213)</f>
        <v/>
      </c>
      <c r="AE218" s="3">
        <f>SUM($C213:AE213)</f>
        <v/>
      </c>
      <c r="AF218" s="3">
        <f>SUM($C213:AF213)</f>
        <v/>
      </c>
      <c r="AG218" s="3">
        <f>SUM($C213:AG213)</f>
        <v/>
      </c>
      <c r="AH218" s="3">
        <f>SUM($C213:AH213)</f>
        <v/>
      </c>
      <c r="AI218" s="3">
        <f>SUM($C213:AI213)</f>
        <v/>
      </c>
      <c r="AJ218" s="3">
        <f>SUM($C213:AJ213)</f>
        <v/>
      </c>
      <c r="AK218" s="3">
        <f>SUM($C213:AK213)</f>
        <v/>
      </c>
      <c r="AL218" s="3">
        <f>SUM($C213:AL213)</f>
        <v/>
      </c>
      <c r="AM218" s="3">
        <f>SUM($C213:AM213)</f>
        <v/>
      </c>
      <c r="AN218" s="3">
        <f>SUM($C213:AN213)</f>
        <v/>
      </c>
      <c r="AO218" s="3">
        <f>SUM($C213:AO213)</f>
        <v/>
      </c>
      <c r="AP218" s="3">
        <f>SUM($C213:AP213)</f>
        <v/>
      </c>
      <c r="AQ218" s="3">
        <f>SUM($C213:AQ213)</f>
        <v/>
      </c>
      <c r="AR218" s="3">
        <f>SUM($C213:AR213)</f>
        <v/>
      </c>
      <c r="AS218" s="3">
        <f>SUM($C213:AS213)</f>
        <v/>
      </c>
      <c r="AT218" s="3">
        <f>SUM($C213:AT213)</f>
        <v/>
      </c>
      <c r="AU218" s="3">
        <f>SUM($C213:AU213)</f>
        <v/>
      </c>
      <c r="AV218" s="3">
        <f>SUM($C213:AV213)</f>
        <v/>
      </c>
      <c r="AW218" s="3">
        <f>SUM($C213:AW213)</f>
        <v/>
      </c>
      <c r="AX218" s="3">
        <f>SUM($C213:AX213)</f>
        <v/>
      </c>
      <c r="AY218" s="3">
        <f>SUM($C213:AY213)</f>
        <v/>
      </c>
      <c r="AZ218" s="3">
        <f>SUM($C213:AZ213)</f>
        <v/>
      </c>
      <c r="BA218" s="3">
        <f>SUM($C213:BA213)</f>
        <v/>
      </c>
      <c r="BB218" s="3">
        <f>SUM($C213:BB213)</f>
        <v/>
      </c>
      <c r="BC218" s="3">
        <f>SUM($C213:BC213)</f>
        <v/>
      </c>
      <c r="BD218" s="3">
        <f>SUM($C213:BD213)</f>
        <v/>
      </c>
      <c r="BE218" s="3">
        <f>SUM($C213:BE213)</f>
        <v/>
      </c>
      <c r="BF218" s="3">
        <f>SUM($C213:BF213)</f>
        <v/>
      </c>
      <c r="BG218" s="3">
        <f>SUM($C213:BG213)</f>
        <v/>
      </c>
      <c r="BH218" s="3">
        <f>SUM($C213:BH213)</f>
        <v/>
      </c>
      <c r="BI218" s="3">
        <f>SUM($C213:BI213)</f>
        <v/>
      </c>
      <c r="BJ218" s="3">
        <f>SUM($C213:BJ213)</f>
        <v/>
      </c>
      <c r="BK218" s="3">
        <f>SUM($C213:BK213)</f>
        <v/>
      </c>
      <c r="BL218" s="3">
        <f>SUM($C213:BL213)</f>
        <v/>
      </c>
      <c r="BM218" s="3">
        <f>SUM($C213:BM213)</f>
        <v/>
      </c>
      <c r="BN218" s="3">
        <f>SUM($C213:BN213)</f>
        <v/>
      </c>
      <c r="BO218" s="3">
        <f>SUM($C213:BO213)</f>
        <v/>
      </c>
      <c r="BP218" s="3">
        <f>SUM($C213:BP213)</f>
        <v/>
      </c>
      <c r="BQ218" s="3">
        <f>SUM($C213:BQ213)</f>
        <v/>
      </c>
      <c r="BR218" s="3">
        <f>SUM($C213:BR213)</f>
        <v/>
      </c>
      <c r="BS218" s="3">
        <f>SUM($C213:BS213)</f>
        <v/>
      </c>
      <c r="BT218" s="3">
        <f>SUM($C213:BT213)</f>
        <v/>
      </c>
      <c r="BU218" s="3">
        <f>SUM($C213:BU213)</f>
        <v/>
      </c>
      <c r="BV218" s="3">
        <f>SUM($C213:BV213)</f>
        <v/>
      </c>
    </row>
    <row r="219">
      <c r="A219" t="inlineStr">
        <is>
          <t>cum trials ending</t>
        </is>
      </c>
      <c r="B219" t="inlineStr">
        <is>
          <t>ROW|BASIC_A</t>
        </is>
      </c>
      <c r="C219" s="3">
        <f>SUM($C215:C215)</f>
        <v/>
      </c>
      <c r="D219" s="3">
        <f>SUM($C215:D215)</f>
        <v/>
      </c>
      <c r="E219" s="3">
        <f>SUM($C215:E215)</f>
        <v/>
      </c>
      <c r="F219" s="3">
        <f>SUM($C215:F215)</f>
        <v/>
      </c>
      <c r="G219" s="3">
        <f>SUM($C215:G215)</f>
        <v/>
      </c>
      <c r="H219" s="3">
        <f>SUM($C215:H215)</f>
        <v/>
      </c>
      <c r="I219" s="3">
        <f>SUM($C215:I215)</f>
        <v/>
      </c>
      <c r="J219" s="3">
        <f>SUM($C215:J215)</f>
        <v/>
      </c>
      <c r="K219" s="3">
        <f>SUM($C215:K215)</f>
        <v/>
      </c>
      <c r="L219" s="3">
        <f>SUM($C215:L215)</f>
        <v/>
      </c>
      <c r="M219" s="3">
        <f>SUM($C215:M215)</f>
        <v/>
      </c>
      <c r="N219" s="3">
        <f>SUM($C215:N215)</f>
        <v/>
      </c>
      <c r="O219" s="3">
        <f>SUM($C215:O215)</f>
        <v/>
      </c>
      <c r="P219" s="3">
        <f>SUM($C215:P215)</f>
        <v/>
      </c>
      <c r="Q219" s="3">
        <f>SUM($C215:Q215)</f>
        <v/>
      </c>
      <c r="R219" s="3">
        <f>SUM($C215:R215)</f>
        <v/>
      </c>
      <c r="S219" s="3">
        <f>SUM($C215:S215)</f>
        <v/>
      </c>
      <c r="T219" s="3">
        <f>SUM($C215:T215)</f>
        <v/>
      </c>
      <c r="U219" s="3">
        <f>SUM($C215:U215)</f>
        <v/>
      </c>
      <c r="V219" s="3">
        <f>SUM($C215:V215)</f>
        <v/>
      </c>
      <c r="W219" s="3">
        <f>SUM($C215:W215)</f>
        <v/>
      </c>
      <c r="X219" s="3">
        <f>SUM($C215:X215)</f>
        <v/>
      </c>
      <c r="Y219" s="3">
        <f>SUM($C215:Y215)</f>
        <v/>
      </c>
      <c r="Z219" s="3">
        <f>SUM($C215:Z215)</f>
        <v/>
      </c>
      <c r="AA219" s="3">
        <f>SUM($C215:AA215)</f>
        <v/>
      </c>
      <c r="AB219" s="3">
        <f>SUM($C215:AB215)</f>
        <v/>
      </c>
      <c r="AC219" s="3">
        <f>SUM($C215:AC215)</f>
        <v/>
      </c>
      <c r="AD219" s="3">
        <f>SUM($C215:AD215)</f>
        <v/>
      </c>
      <c r="AE219" s="3">
        <f>SUM($C215:AE215)</f>
        <v/>
      </c>
      <c r="AF219" s="3">
        <f>SUM($C215:AF215)</f>
        <v/>
      </c>
      <c r="AG219" s="3">
        <f>SUM($C215:AG215)</f>
        <v/>
      </c>
      <c r="AH219" s="3">
        <f>SUM($C215:AH215)</f>
        <v/>
      </c>
      <c r="AI219" s="3">
        <f>SUM($C215:AI215)</f>
        <v/>
      </c>
      <c r="AJ219" s="3">
        <f>SUM($C215:AJ215)</f>
        <v/>
      </c>
      <c r="AK219" s="3">
        <f>SUM($C215:AK215)</f>
        <v/>
      </c>
      <c r="AL219" s="3">
        <f>SUM($C215:AL215)</f>
        <v/>
      </c>
      <c r="AM219" s="3">
        <f>SUM($C215:AM215)</f>
        <v/>
      </c>
      <c r="AN219" s="3">
        <f>SUM($C215:AN215)</f>
        <v/>
      </c>
      <c r="AO219" s="3">
        <f>SUM($C215:AO215)</f>
        <v/>
      </c>
      <c r="AP219" s="3">
        <f>SUM($C215:AP215)</f>
        <v/>
      </c>
      <c r="AQ219" s="3">
        <f>SUM($C215:AQ215)</f>
        <v/>
      </c>
      <c r="AR219" s="3">
        <f>SUM($C215:AR215)</f>
        <v/>
      </c>
      <c r="AS219" s="3">
        <f>SUM($C215:AS215)</f>
        <v/>
      </c>
      <c r="AT219" s="3">
        <f>SUM($C215:AT215)</f>
        <v/>
      </c>
      <c r="AU219" s="3">
        <f>SUM($C215:AU215)</f>
        <v/>
      </c>
      <c r="AV219" s="3">
        <f>SUM($C215:AV215)</f>
        <v/>
      </c>
      <c r="AW219" s="3">
        <f>SUM($C215:AW215)</f>
        <v/>
      </c>
      <c r="AX219" s="3">
        <f>SUM($C215:AX215)</f>
        <v/>
      </c>
      <c r="AY219" s="3">
        <f>SUM($C215:AY215)</f>
        <v/>
      </c>
      <c r="AZ219" s="3">
        <f>SUM($C215:AZ215)</f>
        <v/>
      </c>
      <c r="BA219" s="3">
        <f>SUM($C215:BA215)</f>
        <v/>
      </c>
      <c r="BB219" s="3">
        <f>SUM($C215:BB215)</f>
        <v/>
      </c>
      <c r="BC219" s="3">
        <f>SUM($C215:BC215)</f>
        <v/>
      </c>
      <c r="BD219" s="3">
        <f>SUM($C215:BD215)</f>
        <v/>
      </c>
      <c r="BE219" s="3">
        <f>SUM($C215:BE215)</f>
        <v/>
      </c>
      <c r="BF219" s="3">
        <f>SUM($C215:BF215)</f>
        <v/>
      </c>
      <c r="BG219" s="3">
        <f>SUM($C215:BG215)</f>
        <v/>
      </c>
      <c r="BH219" s="3">
        <f>SUM($C215:BH215)</f>
        <v/>
      </c>
      <c r="BI219" s="3">
        <f>SUM($C215:BI215)</f>
        <v/>
      </c>
      <c r="BJ219" s="3">
        <f>SUM($C215:BJ215)</f>
        <v/>
      </c>
      <c r="BK219" s="3">
        <f>SUM($C215:BK215)</f>
        <v/>
      </c>
      <c r="BL219" s="3">
        <f>SUM($C215:BL215)</f>
        <v/>
      </c>
      <c r="BM219" s="3">
        <f>SUM($C215:BM215)</f>
        <v/>
      </c>
      <c r="BN219" s="3">
        <f>SUM($C215:BN215)</f>
        <v/>
      </c>
      <c r="BO219" s="3">
        <f>SUM($C215:BO215)</f>
        <v/>
      </c>
      <c r="BP219" s="3">
        <f>SUM($C215:BP215)</f>
        <v/>
      </c>
      <c r="BQ219" s="3">
        <f>SUM($C215:BQ215)</f>
        <v/>
      </c>
      <c r="BR219" s="3">
        <f>SUM($C215:BR215)</f>
        <v/>
      </c>
      <c r="BS219" s="3">
        <f>SUM($C215:BS215)</f>
        <v/>
      </c>
      <c r="BT219" s="3">
        <f>SUM($C215:BT215)</f>
        <v/>
      </c>
      <c r="BU219" s="3">
        <f>SUM($C215:BU215)</f>
        <v/>
      </c>
      <c r="BV219" s="3">
        <f>SUM($C215:BV215)</f>
        <v/>
      </c>
    </row>
    <row r="220">
      <c r="A220" t="inlineStr">
        <is>
          <t>trials active</t>
        </is>
      </c>
      <c r="B220" t="inlineStr">
        <is>
          <t>ROW|BASIC_A</t>
        </is>
      </c>
      <c r="C220" s="3">
        <f>C218-C219</f>
        <v/>
      </c>
      <c r="D220" s="3">
        <f>D218-D219</f>
        <v/>
      </c>
      <c r="E220" s="3">
        <f>E218-E219</f>
        <v/>
      </c>
      <c r="F220" s="3">
        <f>F218-F219</f>
        <v/>
      </c>
      <c r="G220" s="3">
        <f>G218-G219</f>
        <v/>
      </c>
      <c r="H220" s="3">
        <f>H218-H219</f>
        <v/>
      </c>
      <c r="I220" s="3">
        <f>I218-I219</f>
        <v/>
      </c>
      <c r="J220" s="3">
        <f>J218-J219</f>
        <v/>
      </c>
      <c r="K220" s="3">
        <f>K218-K219</f>
        <v/>
      </c>
      <c r="L220" s="3">
        <f>L218-L219</f>
        <v/>
      </c>
      <c r="M220" s="3">
        <f>M218-M219</f>
        <v/>
      </c>
      <c r="N220" s="3">
        <f>N218-N219</f>
        <v/>
      </c>
      <c r="O220" s="3">
        <f>O218-O219</f>
        <v/>
      </c>
      <c r="P220" s="3">
        <f>P218-P219</f>
        <v/>
      </c>
      <c r="Q220" s="3">
        <f>Q218-Q219</f>
        <v/>
      </c>
      <c r="R220" s="3">
        <f>R218-R219</f>
        <v/>
      </c>
      <c r="S220" s="3">
        <f>S218-S219</f>
        <v/>
      </c>
      <c r="T220" s="3">
        <f>T218-T219</f>
        <v/>
      </c>
      <c r="U220" s="3">
        <f>U218-U219</f>
        <v/>
      </c>
      <c r="V220" s="3">
        <f>V218-V219</f>
        <v/>
      </c>
      <c r="W220" s="3">
        <f>W218-W219</f>
        <v/>
      </c>
      <c r="X220" s="3">
        <f>X218-X219</f>
        <v/>
      </c>
      <c r="Y220" s="3">
        <f>Y218-Y219</f>
        <v/>
      </c>
      <c r="Z220" s="3">
        <f>Z218-Z219</f>
        <v/>
      </c>
      <c r="AA220" s="3">
        <f>AA218-AA219</f>
        <v/>
      </c>
      <c r="AB220" s="3">
        <f>AB218-AB219</f>
        <v/>
      </c>
      <c r="AC220" s="3">
        <f>AC218-AC219</f>
        <v/>
      </c>
      <c r="AD220" s="3">
        <f>AD218-AD219</f>
        <v/>
      </c>
      <c r="AE220" s="3">
        <f>AE218-AE219</f>
        <v/>
      </c>
      <c r="AF220" s="3">
        <f>AF218-AF219</f>
        <v/>
      </c>
      <c r="AG220" s="3">
        <f>AG218-AG219</f>
        <v/>
      </c>
      <c r="AH220" s="3">
        <f>AH218-AH219</f>
        <v/>
      </c>
      <c r="AI220" s="3">
        <f>AI218-AI219</f>
        <v/>
      </c>
      <c r="AJ220" s="3">
        <f>AJ218-AJ219</f>
        <v/>
      </c>
      <c r="AK220" s="3">
        <f>AK218-AK219</f>
        <v/>
      </c>
      <c r="AL220" s="3">
        <f>AL218-AL219</f>
        <v/>
      </c>
      <c r="AM220" s="3">
        <f>AM218-AM219</f>
        <v/>
      </c>
      <c r="AN220" s="3">
        <f>AN218-AN219</f>
        <v/>
      </c>
      <c r="AO220" s="3">
        <f>AO218-AO219</f>
        <v/>
      </c>
      <c r="AP220" s="3">
        <f>AP218-AP219</f>
        <v/>
      </c>
      <c r="AQ220" s="3">
        <f>AQ218-AQ219</f>
        <v/>
      </c>
      <c r="AR220" s="3">
        <f>AR218-AR219</f>
        <v/>
      </c>
      <c r="AS220" s="3">
        <f>AS218-AS219</f>
        <v/>
      </c>
      <c r="AT220" s="3">
        <f>AT218-AT219</f>
        <v/>
      </c>
      <c r="AU220" s="3">
        <f>AU218-AU219</f>
        <v/>
      </c>
      <c r="AV220" s="3">
        <f>AV218-AV219</f>
        <v/>
      </c>
      <c r="AW220" s="3">
        <f>AW218-AW219</f>
        <v/>
      </c>
      <c r="AX220" s="3">
        <f>AX218-AX219</f>
        <v/>
      </c>
      <c r="AY220" s="3">
        <f>AY218-AY219</f>
        <v/>
      </c>
      <c r="AZ220" s="3">
        <f>AZ218-AZ219</f>
        <v/>
      </c>
      <c r="BA220" s="3">
        <f>BA218-BA219</f>
        <v/>
      </c>
      <c r="BB220" s="3">
        <f>BB218-BB219</f>
        <v/>
      </c>
      <c r="BC220" s="3">
        <f>BC218-BC219</f>
        <v/>
      </c>
      <c r="BD220" s="3">
        <f>BD218-BD219</f>
        <v/>
      </c>
      <c r="BE220" s="3">
        <f>BE218-BE219</f>
        <v/>
      </c>
      <c r="BF220" s="3">
        <f>BF218-BF219</f>
        <v/>
      </c>
      <c r="BG220" s="3">
        <f>BG218-BG219</f>
        <v/>
      </c>
      <c r="BH220" s="3">
        <f>BH218-BH219</f>
        <v/>
      </c>
      <c r="BI220" s="3">
        <f>BI218-BI219</f>
        <v/>
      </c>
      <c r="BJ220" s="3">
        <f>BJ218-BJ219</f>
        <v/>
      </c>
      <c r="BK220" s="3">
        <f>BK218-BK219</f>
        <v/>
      </c>
      <c r="BL220" s="3">
        <f>BL218-BL219</f>
        <v/>
      </c>
      <c r="BM220" s="3">
        <f>BM218-BM219</f>
        <v/>
      </c>
      <c r="BN220" s="3">
        <f>BN218-BN219</f>
        <v/>
      </c>
      <c r="BO220" s="3">
        <f>BO218-BO219</f>
        <v/>
      </c>
      <c r="BP220" s="3">
        <f>BP218-BP219</f>
        <v/>
      </c>
      <c r="BQ220" s="3">
        <f>BQ218-BQ219</f>
        <v/>
      </c>
      <c r="BR220" s="3">
        <f>BR218-BR219</f>
        <v/>
      </c>
      <c r="BS220" s="3">
        <f>BS218-BS219</f>
        <v/>
      </c>
      <c r="BT220" s="3">
        <f>BT218-BT219</f>
        <v/>
      </c>
      <c r="BU220" s="3">
        <f>BU218-BU219</f>
        <v/>
      </c>
      <c r="BV220" s="3">
        <f>BV218-BV219</f>
        <v/>
      </c>
    </row>
    <row r="221">
      <c r="A221" t="inlineStr">
        <is>
          <t>paid starts</t>
        </is>
      </c>
      <c r="B221" t="inlineStr">
        <is>
          <t>ROW|BASIC_A</t>
        </is>
      </c>
      <c r="C221" s="3">
        <f>C214+C216</f>
        <v/>
      </c>
      <c r="D221" s="3">
        <f>D214+D216</f>
        <v/>
      </c>
      <c r="E221" s="3">
        <f>E214+E216</f>
        <v/>
      </c>
      <c r="F221" s="3">
        <f>F214+F216</f>
        <v/>
      </c>
      <c r="G221" s="3">
        <f>G214+G216</f>
        <v/>
      </c>
      <c r="H221" s="3">
        <f>H214+H216</f>
        <v/>
      </c>
      <c r="I221" s="3">
        <f>I214+I216</f>
        <v/>
      </c>
      <c r="J221" s="3">
        <f>J214+J216</f>
        <v/>
      </c>
      <c r="K221" s="3">
        <f>K214+K216</f>
        <v/>
      </c>
      <c r="L221" s="3">
        <f>L214+L216</f>
        <v/>
      </c>
      <c r="M221" s="3">
        <f>M214+M216</f>
        <v/>
      </c>
      <c r="N221" s="3">
        <f>N214+N216</f>
        <v/>
      </c>
      <c r="O221" s="3">
        <f>O214+O216</f>
        <v/>
      </c>
      <c r="P221" s="3">
        <f>P214+P216</f>
        <v/>
      </c>
      <c r="Q221" s="3">
        <f>Q214+Q216</f>
        <v/>
      </c>
      <c r="R221" s="3">
        <f>R214+R216</f>
        <v/>
      </c>
      <c r="S221" s="3">
        <f>S214+S216</f>
        <v/>
      </c>
      <c r="T221" s="3">
        <f>T214+T216</f>
        <v/>
      </c>
      <c r="U221" s="3">
        <f>U214+U216</f>
        <v/>
      </c>
      <c r="V221" s="3">
        <f>V214+V216</f>
        <v/>
      </c>
      <c r="W221" s="3">
        <f>W214+W216</f>
        <v/>
      </c>
      <c r="X221" s="3">
        <f>X214+X216</f>
        <v/>
      </c>
      <c r="Y221" s="3">
        <f>Y214+Y216</f>
        <v/>
      </c>
      <c r="Z221" s="3">
        <f>Z214+Z216</f>
        <v/>
      </c>
      <c r="AA221" s="3">
        <f>AA214+AA216</f>
        <v/>
      </c>
      <c r="AB221" s="3">
        <f>AB214+AB216</f>
        <v/>
      </c>
      <c r="AC221" s="3">
        <f>AC214+AC216</f>
        <v/>
      </c>
      <c r="AD221" s="3">
        <f>AD214+AD216</f>
        <v/>
      </c>
      <c r="AE221" s="3">
        <f>AE214+AE216</f>
        <v/>
      </c>
      <c r="AF221" s="3">
        <f>AF214+AF216</f>
        <v/>
      </c>
      <c r="AG221" s="3">
        <f>AG214+AG216</f>
        <v/>
      </c>
      <c r="AH221" s="3">
        <f>AH214+AH216</f>
        <v/>
      </c>
      <c r="AI221" s="3">
        <f>AI214+AI216</f>
        <v/>
      </c>
      <c r="AJ221" s="3">
        <f>AJ214+AJ216</f>
        <v/>
      </c>
      <c r="AK221" s="3">
        <f>AK214+AK216</f>
        <v/>
      </c>
      <c r="AL221" s="3">
        <f>AL214+AL216</f>
        <v/>
      </c>
      <c r="AM221" s="3">
        <f>AM214+AM216</f>
        <v/>
      </c>
      <c r="AN221" s="3">
        <f>AN214+AN216</f>
        <v/>
      </c>
      <c r="AO221" s="3">
        <f>AO214+AO216</f>
        <v/>
      </c>
      <c r="AP221" s="3">
        <f>AP214+AP216</f>
        <v/>
      </c>
      <c r="AQ221" s="3">
        <f>AQ214+AQ216</f>
        <v/>
      </c>
      <c r="AR221" s="3">
        <f>AR214+AR216</f>
        <v/>
      </c>
      <c r="AS221" s="3">
        <f>AS214+AS216</f>
        <v/>
      </c>
      <c r="AT221" s="3">
        <f>AT214+AT216</f>
        <v/>
      </c>
      <c r="AU221" s="3">
        <f>AU214+AU216</f>
        <v/>
      </c>
      <c r="AV221" s="3">
        <f>AV214+AV216</f>
        <v/>
      </c>
      <c r="AW221" s="3">
        <f>AW214+AW216</f>
        <v/>
      </c>
      <c r="AX221" s="3">
        <f>AX214+AX216</f>
        <v/>
      </c>
      <c r="AY221" s="3">
        <f>AY214+AY216</f>
        <v/>
      </c>
      <c r="AZ221" s="3">
        <f>AZ214+AZ216</f>
        <v/>
      </c>
      <c r="BA221" s="3">
        <f>BA214+BA216</f>
        <v/>
      </c>
      <c r="BB221" s="3">
        <f>BB214+BB216</f>
        <v/>
      </c>
      <c r="BC221" s="3">
        <f>BC214+BC216</f>
        <v/>
      </c>
      <c r="BD221" s="3">
        <f>BD214+BD216</f>
        <v/>
      </c>
      <c r="BE221" s="3">
        <f>BE214+BE216</f>
        <v/>
      </c>
      <c r="BF221" s="3">
        <f>BF214+BF216</f>
        <v/>
      </c>
      <c r="BG221" s="3">
        <f>BG214+BG216</f>
        <v/>
      </c>
      <c r="BH221" s="3">
        <f>BH214+BH216</f>
        <v/>
      </c>
      <c r="BI221" s="3">
        <f>BI214+BI216</f>
        <v/>
      </c>
      <c r="BJ221" s="3">
        <f>BJ214+BJ216</f>
        <v/>
      </c>
      <c r="BK221" s="3">
        <f>BK214+BK216</f>
        <v/>
      </c>
      <c r="BL221" s="3">
        <f>BL214+BL216</f>
        <v/>
      </c>
      <c r="BM221" s="3">
        <f>BM214+BM216</f>
        <v/>
      </c>
      <c r="BN221" s="3">
        <f>BN214+BN216</f>
        <v/>
      </c>
      <c r="BO221" s="3">
        <f>BO214+BO216</f>
        <v/>
      </c>
      <c r="BP221" s="3">
        <f>BP214+BP216</f>
        <v/>
      </c>
      <c r="BQ221" s="3">
        <f>BQ214+BQ216</f>
        <v/>
      </c>
      <c r="BR221" s="3">
        <f>BR214+BR216</f>
        <v/>
      </c>
      <c r="BS221" s="3">
        <f>BS214+BS216</f>
        <v/>
      </c>
      <c r="BT221" s="3">
        <f>BT214+BT216</f>
        <v/>
      </c>
      <c r="BU221" s="3">
        <f>BU214+BU216</f>
        <v/>
      </c>
      <c r="BV221" s="3">
        <f>BV214+BV216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V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active</t>
        </is>
      </c>
      <c r="B3" t="inlineStr">
        <is>
          <t>US_CA|NITRO_M</t>
        </is>
      </c>
      <c r="C3" s="3">
        <f>Adds!$C$12*Curves!$BV$13</f>
        <v/>
      </c>
      <c r="D3" s="3">
        <f>SUMPRODUCT(Adds!$C$12:$D$12,Curves!$BU$13:$BV$13)</f>
        <v/>
      </c>
      <c r="E3" s="3">
        <f>SUMPRODUCT(Adds!$C$12:$E$12,Curves!$BT$13:$BV$13)</f>
        <v/>
      </c>
      <c r="F3" s="3">
        <f>SUMPRODUCT(Adds!$C$12:$F$12,Curves!$BS$13:$BV$13)</f>
        <v/>
      </c>
      <c r="G3" s="3">
        <f>SUMPRODUCT(Adds!$C$12:$G$12,Curves!$BR$13:$BV$13)</f>
        <v/>
      </c>
      <c r="H3" s="3">
        <f>SUMPRODUCT(Adds!$C$12:$H$12,Curves!$BQ$13:$BV$13)</f>
        <v/>
      </c>
      <c r="I3" s="3">
        <f>SUMPRODUCT(Adds!$C$12:$I$12,Curves!$BP$13:$BV$13)</f>
        <v/>
      </c>
      <c r="J3" s="3">
        <f>SUMPRODUCT(Adds!$C$12:$J$12,Curves!$BO$13:$BV$13)</f>
        <v/>
      </c>
      <c r="K3" s="3">
        <f>SUMPRODUCT(Adds!$C$12:$K$12,Curves!$BN$13:$BV$13)</f>
        <v/>
      </c>
      <c r="L3" s="3">
        <f>SUMPRODUCT(Adds!$C$12:$L$12,Curves!$BM$13:$BV$13)</f>
        <v/>
      </c>
      <c r="M3" s="3">
        <f>SUMPRODUCT(Adds!$C$12:$M$12,Curves!$BL$13:$BV$13)</f>
        <v/>
      </c>
      <c r="N3" s="3">
        <f>SUMPRODUCT(Adds!$C$12:$N$12,Curves!$BK$13:$BV$13)</f>
        <v/>
      </c>
      <c r="O3" s="3">
        <f>SUMPRODUCT(Adds!$C$12:$O$12,Curves!$BJ$13:$BV$13)</f>
        <v/>
      </c>
      <c r="P3" s="3">
        <f>SUMPRODUCT(Adds!$C$12:$P$12,Curves!$BI$13:$BV$13)</f>
        <v/>
      </c>
      <c r="Q3" s="3">
        <f>SUMPRODUCT(Adds!$C$12:$Q$12,Curves!$BH$13:$BV$13)</f>
        <v/>
      </c>
      <c r="R3" s="3">
        <f>SUMPRODUCT(Adds!$C$12:$R$12,Curves!$BG$13:$BV$13)</f>
        <v/>
      </c>
      <c r="S3" s="3">
        <f>SUMPRODUCT(Adds!$C$12:$S$12,Curves!$BF$13:$BV$13)</f>
        <v/>
      </c>
      <c r="T3" s="3">
        <f>SUMPRODUCT(Adds!$C$12:$T$12,Curves!$BE$13:$BV$13)</f>
        <v/>
      </c>
      <c r="U3" s="3">
        <f>SUMPRODUCT(Adds!$C$12:$U$12,Curves!$BD$13:$BV$13)</f>
        <v/>
      </c>
      <c r="V3" s="3">
        <f>SUMPRODUCT(Adds!$C$12:$V$12,Curves!$BC$13:$BV$13)</f>
        <v/>
      </c>
      <c r="W3" s="3">
        <f>SUMPRODUCT(Adds!$C$12:$W$12,Curves!$BB$13:$BV$13)</f>
        <v/>
      </c>
      <c r="X3" s="3">
        <f>SUMPRODUCT(Adds!$C$12:$X$12,Curves!$BA$13:$BV$13)</f>
        <v/>
      </c>
      <c r="Y3" s="3">
        <f>SUMPRODUCT(Adds!$C$12:$Y$12,Curves!$AZ$13:$BV$13)</f>
        <v/>
      </c>
      <c r="Z3" s="3">
        <f>SUMPRODUCT(Adds!$C$12:$Z$12,Curves!$AY$13:$BV$13)</f>
        <v/>
      </c>
      <c r="AA3" s="3">
        <f>SUMPRODUCT(Adds!$C$12:$AA$12,Curves!$AX$13:$BV$13)</f>
        <v/>
      </c>
      <c r="AB3" s="3">
        <f>SUMPRODUCT(Adds!$C$12:$AB$12,Curves!$AW$13:$BV$13)</f>
        <v/>
      </c>
      <c r="AC3" s="3">
        <f>SUMPRODUCT(Adds!$C$12:$AC$12,Curves!$AV$13:$BV$13)</f>
        <v/>
      </c>
      <c r="AD3" s="3">
        <f>SUMPRODUCT(Adds!$C$12:$AD$12,Curves!$AU$13:$BV$13)</f>
        <v/>
      </c>
      <c r="AE3" s="3">
        <f>SUMPRODUCT(Adds!$C$12:$AE$12,Curves!$AT$13:$BV$13)</f>
        <v/>
      </c>
      <c r="AF3" s="3">
        <f>SUMPRODUCT(Adds!$C$12:$AF$12,Curves!$AS$13:$BV$13)</f>
        <v/>
      </c>
      <c r="AG3" s="3">
        <f>SUMPRODUCT(Adds!$C$12:$AG$12,Curves!$AR$13:$BV$13)</f>
        <v/>
      </c>
      <c r="AH3" s="3">
        <f>SUMPRODUCT(Adds!$C$12:$AH$12,Curves!$AQ$13:$BV$13)</f>
        <v/>
      </c>
      <c r="AI3" s="3">
        <f>SUMPRODUCT(Adds!$C$12:$AI$12,Curves!$AP$13:$BV$13)</f>
        <v/>
      </c>
      <c r="AJ3" s="3">
        <f>SUMPRODUCT(Adds!$C$12:$AJ$12,Curves!$AO$13:$BV$13)</f>
        <v/>
      </c>
      <c r="AK3" s="3">
        <f>SUMPRODUCT(Adds!$C$12:$AK$12,Curves!$AN$13:$BV$13)</f>
        <v/>
      </c>
      <c r="AL3" s="3">
        <f>SUMPRODUCT(Adds!$C$12:$AL$12,Curves!$AM$13:$BV$13)</f>
        <v/>
      </c>
      <c r="AM3" s="3">
        <f>SUMPRODUCT(Adds!$C$12:$AM$12,Curves!$AL$13:$BV$13)</f>
        <v/>
      </c>
      <c r="AN3" s="3">
        <f>SUMPRODUCT(Adds!$C$12:$AN$12,Curves!$AK$13:$BV$13)</f>
        <v/>
      </c>
      <c r="AO3" s="3">
        <f>SUMPRODUCT(Adds!$C$12:$AO$12,Curves!$AJ$13:$BV$13)</f>
        <v/>
      </c>
      <c r="AP3" s="3">
        <f>SUMPRODUCT(Adds!$C$12:$AP$12,Curves!$AI$13:$BV$13)</f>
        <v/>
      </c>
      <c r="AQ3" s="3">
        <f>SUMPRODUCT(Adds!$C$12:$AQ$12,Curves!$AH$13:$BV$13)</f>
        <v/>
      </c>
      <c r="AR3" s="3">
        <f>SUMPRODUCT(Adds!$C$12:$AR$12,Curves!$AG$13:$BV$13)</f>
        <v/>
      </c>
      <c r="AS3" s="3">
        <f>SUMPRODUCT(Adds!$C$12:$AS$12,Curves!$AF$13:$BV$13)</f>
        <v/>
      </c>
      <c r="AT3" s="3">
        <f>SUMPRODUCT(Adds!$C$12:$AT$12,Curves!$AE$13:$BV$13)</f>
        <v/>
      </c>
      <c r="AU3" s="3">
        <f>SUMPRODUCT(Adds!$C$12:$AU$12,Curves!$AD$13:$BV$13)</f>
        <v/>
      </c>
      <c r="AV3" s="3">
        <f>SUMPRODUCT(Adds!$C$12:$AV$12,Curves!$AC$13:$BV$13)</f>
        <v/>
      </c>
      <c r="AW3" s="3">
        <f>SUMPRODUCT(Adds!$C$12:$AW$12,Curves!$AB$13:$BV$13)</f>
        <v/>
      </c>
      <c r="AX3" s="3">
        <f>SUMPRODUCT(Adds!$C$12:$AX$12,Curves!$AA$13:$BV$13)</f>
        <v/>
      </c>
      <c r="AY3" s="3">
        <f>SUMPRODUCT(Adds!$C$12:$AY$12,Curves!$Z$13:$BV$13)</f>
        <v/>
      </c>
      <c r="AZ3" s="3">
        <f>SUMPRODUCT(Adds!$C$12:$AZ$12,Curves!$Y$13:$BV$13)</f>
        <v/>
      </c>
      <c r="BA3" s="3">
        <f>SUMPRODUCT(Adds!$C$12:$BA$12,Curves!$X$13:$BV$13)</f>
        <v/>
      </c>
      <c r="BB3" s="3">
        <f>SUMPRODUCT(Adds!$C$12:$BB$12,Curves!$W$13:$BV$13)</f>
        <v/>
      </c>
      <c r="BC3" s="3">
        <f>SUMPRODUCT(Adds!$C$12:$BC$12,Curves!$V$13:$BV$13)</f>
        <v/>
      </c>
      <c r="BD3" s="3">
        <f>SUMPRODUCT(Adds!$C$12:$BD$12,Curves!$U$13:$BV$13)</f>
        <v/>
      </c>
      <c r="BE3" s="3">
        <f>SUMPRODUCT(Adds!$C$12:$BE$12,Curves!$T$13:$BV$13)</f>
        <v/>
      </c>
      <c r="BF3" s="3">
        <f>SUMPRODUCT(Adds!$C$12:$BF$12,Curves!$S$13:$BV$13)</f>
        <v/>
      </c>
      <c r="BG3" s="3">
        <f>SUMPRODUCT(Adds!$C$12:$BG$12,Curves!$R$13:$BV$13)</f>
        <v/>
      </c>
      <c r="BH3" s="3">
        <f>SUMPRODUCT(Adds!$C$12:$BH$12,Curves!$Q$13:$BV$13)</f>
        <v/>
      </c>
      <c r="BI3" s="3">
        <f>SUMPRODUCT(Adds!$C$12:$BI$12,Curves!$P$13:$BV$13)</f>
        <v/>
      </c>
      <c r="BJ3" s="3">
        <f>SUMPRODUCT(Adds!$C$12:$BJ$12,Curves!$O$13:$BV$13)</f>
        <v/>
      </c>
      <c r="BK3" s="3">
        <f>SUMPRODUCT(Adds!$C$12:$BK$12,Curves!$N$13:$BV$13)</f>
        <v/>
      </c>
      <c r="BL3" s="3">
        <f>SUMPRODUCT(Adds!$C$12:$BL$12,Curves!$M$13:$BV$13)</f>
        <v/>
      </c>
      <c r="BM3" s="3">
        <f>SUMPRODUCT(Adds!$C$12:$BM$12,Curves!$L$13:$BV$13)</f>
        <v/>
      </c>
      <c r="BN3" s="3">
        <f>SUMPRODUCT(Adds!$C$12:$BN$12,Curves!$K$13:$BV$13)</f>
        <v/>
      </c>
      <c r="BO3" s="3">
        <f>SUMPRODUCT(Adds!$C$12:$BO$12,Curves!$J$13:$BV$13)</f>
        <v/>
      </c>
      <c r="BP3" s="3">
        <f>SUMPRODUCT(Adds!$C$12:$BP$12,Curves!$I$13:$BV$13)</f>
        <v/>
      </c>
      <c r="BQ3" s="3">
        <f>SUMPRODUCT(Adds!$C$12:$BQ$12,Curves!$H$13:$BV$13)</f>
        <v/>
      </c>
      <c r="BR3" s="3">
        <f>SUMPRODUCT(Adds!$C$12:$BR$12,Curves!$G$13:$BV$13)</f>
        <v/>
      </c>
      <c r="BS3" s="3">
        <f>SUMPRODUCT(Adds!$C$12:$BS$12,Curves!$F$13:$BV$13)</f>
        <v/>
      </c>
      <c r="BT3" s="3">
        <f>SUMPRODUCT(Adds!$C$12:$BT$12,Curves!$E$13:$BV$13)</f>
        <v/>
      </c>
      <c r="BU3" s="3">
        <f>SUMPRODUCT(Adds!$C$12:$BU$12,Curves!$D$13:$BV$13)</f>
        <v/>
      </c>
      <c r="BV3" s="3">
        <f>SUMPRODUCT(Adds!$C$12:$BV$12,Curves!$C$13:$BV$13)</f>
        <v/>
      </c>
    </row>
    <row r="4">
      <c r="A4" t="inlineStr">
        <is>
          <t>active yr 1</t>
        </is>
      </c>
      <c r="B4" t="inlineStr">
        <is>
          <t>US_CA|NITRO_M</t>
        </is>
      </c>
      <c r="C4" s="3">
        <f>Adds!$C$12*Curves!$BV$20</f>
        <v/>
      </c>
      <c r="D4" s="3">
        <f>SUMPRODUCT(Adds!$C$12:$D$12,Curves!$BU$20:$BV$20)</f>
        <v/>
      </c>
      <c r="E4" s="3">
        <f>SUMPRODUCT(Adds!$C$12:$E$12,Curves!$BT$20:$BV$20)</f>
        <v/>
      </c>
      <c r="F4" s="3">
        <f>SUMPRODUCT(Adds!$C$12:$F$12,Curves!$BS$20:$BV$20)</f>
        <v/>
      </c>
      <c r="G4" s="3">
        <f>SUMPRODUCT(Adds!$C$12:$G$12,Curves!$BR$20:$BV$20)</f>
        <v/>
      </c>
      <c r="H4" s="3">
        <f>SUMPRODUCT(Adds!$C$12:$H$12,Curves!$BQ$20:$BV$20)</f>
        <v/>
      </c>
      <c r="I4" s="3">
        <f>SUMPRODUCT(Adds!$C$12:$I$12,Curves!$BP$20:$BV$20)</f>
        <v/>
      </c>
      <c r="J4" s="3">
        <f>SUMPRODUCT(Adds!$C$12:$J$12,Curves!$BO$20:$BV$20)</f>
        <v/>
      </c>
      <c r="K4" s="3">
        <f>SUMPRODUCT(Adds!$C$12:$K$12,Curves!$BN$20:$BV$20)</f>
        <v/>
      </c>
      <c r="L4" s="3">
        <f>SUMPRODUCT(Adds!$C$12:$L$12,Curves!$BM$20:$BV$20)</f>
        <v/>
      </c>
      <c r="M4" s="3">
        <f>SUMPRODUCT(Adds!$C$12:$M$12,Curves!$BL$20:$BV$20)</f>
        <v/>
      </c>
      <c r="N4" s="3">
        <f>SUMPRODUCT(Adds!$C$12:$N$12,Curves!$BK$20:$BV$20)</f>
        <v/>
      </c>
      <c r="O4" s="3">
        <f>SUMPRODUCT(Adds!$C$12:$O$12,Curves!$BJ$20:$BV$20)</f>
        <v/>
      </c>
      <c r="P4" s="3">
        <f>SUMPRODUCT(Adds!$C$12:$P$12,Curves!$BI$20:$BV$20)</f>
        <v/>
      </c>
      <c r="Q4" s="3">
        <f>SUMPRODUCT(Adds!$C$12:$Q$12,Curves!$BH$20:$BV$20)</f>
        <v/>
      </c>
      <c r="R4" s="3">
        <f>SUMPRODUCT(Adds!$C$12:$R$12,Curves!$BG$20:$BV$20)</f>
        <v/>
      </c>
      <c r="S4" s="3">
        <f>SUMPRODUCT(Adds!$C$12:$S$12,Curves!$BF$20:$BV$20)</f>
        <v/>
      </c>
      <c r="T4" s="3">
        <f>SUMPRODUCT(Adds!$C$12:$T$12,Curves!$BE$20:$BV$20)</f>
        <v/>
      </c>
      <c r="U4" s="3">
        <f>SUMPRODUCT(Adds!$C$12:$U$12,Curves!$BD$20:$BV$20)</f>
        <v/>
      </c>
      <c r="V4" s="3">
        <f>SUMPRODUCT(Adds!$C$12:$V$12,Curves!$BC$20:$BV$20)</f>
        <v/>
      </c>
      <c r="W4" s="3">
        <f>SUMPRODUCT(Adds!$C$12:$W$12,Curves!$BB$20:$BV$20)</f>
        <v/>
      </c>
      <c r="X4" s="3">
        <f>SUMPRODUCT(Adds!$C$12:$X$12,Curves!$BA$20:$BV$20)</f>
        <v/>
      </c>
      <c r="Y4" s="3">
        <f>SUMPRODUCT(Adds!$C$12:$Y$12,Curves!$AZ$20:$BV$20)</f>
        <v/>
      </c>
      <c r="Z4" s="3">
        <f>SUMPRODUCT(Adds!$C$12:$Z$12,Curves!$AY$20:$BV$20)</f>
        <v/>
      </c>
      <c r="AA4" s="3">
        <f>SUMPRODUCT(Adds!$C$12:$AA$12,Curves!$AX$20:$BV$20)</f>
        <v/>
      </c>
      <c r="AB4" s="3">
        <f>SUMPRODUCT(Adds!$C$12:$AB$12,Curves!$AW$20:$BV$20)</f>
        <v/>
      </c>
      <c r="AC4" s="3">
        <f>SUMPRODUCT(Adds!$C$12:$AC$12,Curves!$AV$20:$BV$20)</f>
        <v/>
      </c>
      <c r="AD4" s="3">
        <f>SUMPRODUCT(Adds!$C$12:$AD$12,Curves!$AU$20:$BV$20)</f>
        <v/>
      </c>
      <c r="AE4" s="3">
        <f>SUMPRODUCT(Adds!$C$12:$AE$12,Curves!$AT$20:$BV$20)</f>
        <v/>
      </c>
      <c r="AF4" s="3">
        <f>SUMPRODUCT(Adds!$C$12:$AF$12,Curves!$AS$20:$BV$20)</f>
        <v/>
      </c>
      <c r="AG4" s="3">
        <f>SUMPRODUCT(Adds!$C$12:$AG$12,Curves!$AR$20:$BV$20)</f>
        <v/>
      </c>
      <c r="AH4" s="3">
        <f>SUMPRODUCT(Adds!$C$12:$AH$12,Curves!$AQ$20:$BV$20)</f>
        <v/>
      </c>
      <c r="AI4" s="3">
        <f>SUMPRODUCT(Adds!$C$12:$AI$12,Curves!$AP$20:$BV$20)</f>
        <v/>
      </c>
      <c r="AJ4" s="3">
        <f>SUMPRODUCT(Adds!$C$12:$AJ$12,Curves!$AO$20:$BV$20)</f>
        <v/>
      </c>
      <c r="AK4" s="3">
        <f>SUMPRODUCT(Adds!$C$12:$AK$12,Curves!$AN$20:$BV$20)</f>
        <v/>
      </c>
      <c r="AL4" s="3">
        <f>SUMPRODUCT(Adds!$C$12:$AL$12,Curves!$AM$20:$BV$20)</f>
        <v/>
      </c>
      <c r="AM4" s="3">
        <f>SUMPRODUCT(Adds!$C$12:$AM$12,Curves!$AL$20:$BV$20)</f>
        <v/>
      </c>
      <c r="AN4" s="3">
        <f>SUMPRODUCT(Adds!$C$12:$AN$12,Curves!$AK$20:$BV$20)</f>
        <v/>
      </c>
      <c r="AO4" s="3">
        <f>SUMPRODUCT(Adds!$C$12:$AO$12,Curves!$AJ$20:$BV$20)</f>
        <v/>
      </c>
      <c r="AP4" s="3">
        <f>SUMPRODUCT(Adds!$C$12:$AP$12,Curves!$AI$20:$BV$20)</f>
        <v/>
      </c>
      <c r="AQ4" s="3">
        <f>SUMPRODUCT(Adds!$C$12:$AQ$12,Curves!$AH$20:$BV$20)</f>
        <v/>
      </c>
      <c r="AR4" s="3">
        <f>SUMPRODUCT(Adds!$C$12:$AR$12,Curves!$AG$20:$BV$20)</f>
        <v/>
      </c>
      <c r="AS4" s="3">
        <f>SUMPRODUCT(Adds!$C$12:$AS$12,Curves!$AF$20:$BV$20)</f>
        <v/>
      </c>
      <c r="AT4" s="3">
        <f>SUMPRODUCT(Adds!$C$12:$AT$12,Curves!$AE$20:$BV$20)</f>
        <v/>
      </c>
      <c r="AU4" s="3">
        <f>SUMPRODUCT(Adds!$C$12:$AU$12,Curves!$AD$20:$BV$20)</f>
        <v/>
      </c>
      <c r="AV4" s="3">
        <f>SUMPRODUCT(Adds!$C$12:$AV$12,Curves!$AC$20:$BV$20)</f>
        <v/>
      </c>
      <c r="AW4" s="3">
        <f>SUMPRODUCT(Adds!$C$12:$AW$12,Curves!$AB$20:$BV$20)</f>
        <v/>
      </c>
      <c r="AX4" s="3">
        <f>SUMPRODUCT(Adds!$C$12:$AX$12,Curves!$AA$20:$BV$20)</f>
        <v/>
      </c>
      <c r="AY4" s="3">
        <f>SUMPRODUCT(Adds!$C$12:$AY$12,Curves!$Z$20:$BV$20)</f>
        <v/>
      </c>
      <c r="AZ4" s="3">
        <f>SUMPRODUCT(Adds!$C$12:$AZ$12,Curves!$Y$20:$BV$20)</f>
        <v/>
      </c>
      <c r="BA4" s="3">
        <f>SUMPRODUCT(Adds!$C$12:$BA$12,Curves!$X$20:$BV$20)</f>
        <v/>
      </c>
      <c r="BB4" s="3">
        <f>SUMPRODUCT(Adds!$C$12:$BB$12,Curves!$W$20:$BV$20)</f>
        <v/>
      </c>
      <c r="BC4" s="3">
        <f>SUMPRODUCT(Adds!$C$12:$BC$12,Curves!$V$20:$BV$20)</f>
        <v/>
      </c>
      <c r="BD4" s="3">
        <f>SUMPRODUCT(Adds!$C$12:$BD$12,Curves!$U$20:$BV$20)</f>
        <v/>
      </c>
      <c r="BE4" s="3">
        <f>SUMPRODUCT(Adds!$C$12:$BE$12,Curves!$T$20:$BV$20)</f>
        <v/>
      </c>
      <c r="BF4" s="3">
        <f>SUMPRODUCT(Adds!$C$12:$BF$12,Curves!$S$20:$BV$20)</f>
        <v/>
      </c>
      <c r="BG4" s="3">
        <f>SUMPRODUCT(Adds!$C$12:$BG$12,Curves!$R$20:$BV$20)</f>
        <v/>
      </c>
      <c r="BH4" s="3">
        <f>SUMPRODUCT(Adds!$C$12:$BH$12,Curves!$Q$20:$BV$20)</f>
        <v/>
      </c>
      <c r="BI4" s="3">
        <f>SUMPRODUCT(Adds!$C$12:$BI$12,Curves!$P$20:$BV$20)</f>
        <v/>
      </c>
      <c r="BJ4" s="3">
        <f>SUMPRODUCT(Adds!$C$12:$BJ$12,Curves!$O$20:$BV$20)</f>
        <v/>
      </c>
      <c r="BK4" s="3">
        <f>SUMPRODUCT(Adds!$C$12:$BK$12,Curves!$N$20:$BV$20)</f>
        <v/>
      </c>
      <c r="BL4" s="3">
        <f>SUMPRODUCT(Adds!$C$12:$BL$12,Curves!$M$20:$BV$20)</f>
        <v/>
      </c>
      <c r="BM4" s="3">
        <f>SUMPRODUCT(Adds!$C$12:$BM$12,Curves!$L$20:$BV$20)</f>
        <v/>
      </c>
      <c r="BN4" s="3">
        <f>SUMPRODUCT(Adds!$C$12:$BN$12,Curves!$K$20:$BV$20)</f>
        <v/>
      </c>
      <c r="BO4" s="3">
        <f>SUMPRODUCT(Adds!$C$12:$BO$12,Curves!$J$20:$BV$20)</f>
        <v/>
      </c>
      <c r="BP4" s="3">
        <f>SUMPRODUCT(Adds!$C$12:$BP$12,Curves!$I$20:$BV$20)</f>
        <v/>
      </c>
      <c r="BQ4" s="3">
        <f>SUMPRODUCT(Adds!$C$12:$BQ$12,Curves!$H$20:$BV$20)</f>
        <v/>
      </c>
      <c r="BR4" s="3">
        <f>SUMPRODUCT(Adds!$C$12:$BR$12,Curves!$G$20:$BV$20)</f>
        <v/>
      </c>
      <c r="BS4" s="3">
        <f>SUMPRODUCT(Adds!$C$12:$BS$12,Curves!$F$20:$BV$20)</f>
        <v/>
      </c>
      <c r="BT4" s="3">
        <f>SUMPRODUCT(Adds!$C$12:$BT$12,Curves!$E$20:$BV$20)</f>
        <v/>
      </c>
      <c r="BU4" s="3">
        <f>SUMPRODUCT(Adds!$C$12:$BU$12,Curves!$D$20:$BV$20)</f>
        <v/>
      </c>
      <c r="BV4" s="3">
        <f>SUMPRODUCT(Adds!$C$12:$BV$12,Curves!$C$20:$BV$20)</f>
        <v/>
      </c>
    </row>
    <row r="5">
      <c r="A5" t="inlineStr">
        <is>
          <t>churned</t>
        </is>
      </c>
      <c r="B5" t="inlineStr">
        <is>
          <t>US_CA|NITRO_M</t>
        </is>
      </c>
      <c r="C5" s="3">
        <f>Adds!$C$12*Curves!$BV$15</f>
        <v/>
      </c>
      <c r="D5" s="3">
        <f>SUMPRODUCT(Adds!$C$12:$D$12,Curves!$BU$15:$BV$15)</f>
        <v/>
      </c>
      <c r="E5" s="3">
        <f>SUMPRODUCT(Adds!$C$12:$E$12,Curves!$BT$15:$BV$15)</f>
        <v/>
      </c>
      <c r="F5" s="3">
        <f>SUMPRODUCT(Adds!$C$12:$F$12,Curves!$BS$15:$BV$15)</f>
        <v/>
      </c>
      <c r="G5" s="3">
        <f>SUMPRODUCT(Adds!$C$12:$G$12,Curves!$BR$15:$BV$15)</f>
        <v/>
      </c>
      <c r="H5" s="3">
        <f>SUMPRODUCT(Adds!$C$12:$H$12,Curves!$BQ$15:$BV$15)</f>
        <v/>
      </c>
      <c r="I5" s="3">
        <f>SUMPRODUCT(Adds!$C$12:$I$12,Curves!$BP$15:$BV$15)</f>
        <v/>
      </c>
      <c r="J5" s="3">
        <f>SUMPRODUCT(Adds!$C$12:$J$12,Curves!$BO$15:$BV$15)</f>
        <v/>
      </c>
      <c r="K5" s="3">
        <f>SUMPRODUCT(Adds!$C$12:$K$12,Curves!$BN$15:$BV$15)</f>
        <v/>
      </c>
      <c r="L5" s="3">
        <f>SUMPRODUCT(Adds!$C$12:$L$12,Curves!$BM$15:$BV$15)</f>
        <v/>
      </c>
      <c r="M5" s="3">
        <f>SUMPRODUCT(Adds!$C$12:$M$12,Curves!$BL$15:$BV$15)</f>
        <v/>
      </c>
      <c r="N5" s="3">
        <f>SUMPRODUCT(Adds!$C$12:$N$12,Curves!$BK$15:$BV$15)</f>
        <v/>
      </c>
      <c r="O5" s="3">
        <f>SUMPRODUCT(Adds!$C$12:$O$12,Curves!$BJ$15:$BV$15)</f>
        <v/>
      </c>
      <c r="P5" s="3">
        <f>SUMPRODUCT(Adds!$C$12:$P$12,Curves!$BI$15:$BV$15)</f>
        <v/>
      </c>
      <c r="Q5" s="3">
        <f>SUMPRODUCT(Adds!$C$12:$Q$12,Curves!$BH$15:$BV$15)</f>
        <v/>
      </c>
      <c r="R5" s="3">
        <f>SUMPRODUCT(Adds!$C$12:$R$12,Curves!$BG$15:$BV$15)</f>
        <v/>
      </c>
      <c r="S5" s="3">
        <f>SUMPRODUCT(Adds!$C$12:$S$12,Curves!$BF$15:$BV$15)</f>
        <v/>
      </c>
      <c r="T5" s="3">
        <f>SUMPRODUCT(Adds!$C$12:$T$12,Curves!$BE$15:$BV$15)</f>
        <v/>
      </c>
      <c r="U5" s="3">
        <f>SUMPRODUCT(Adds!$C$12:$U$12,Curves!$BD$15:$BV$15)</f>
        <v/>
      </c>
      <c r="V5" s="3">
        <f>SUMPRODUCT(Adds!$C$12:$V$12,Curves!$BC$15:$BV$15)</f>
        <v/>
      </c>
      <c r="W5" s="3">
        <f>SUMPRODUCT(Adds!$C$12:$W$12,Curves!$BB$15:$BV$15)</f>
        <v/>
      </c>
      <c r="X5" s="3">
        <f>SUMPRODUCT(Adds!$C$12:$X$12,Curves!$BA$15:$BV$15)</f>
        <v/>
      </c>
      <c r="Y5" s="3">
        <f>SUMPRODUCT(Adds!$C$12:$Y$12,Curves!$AZ$15:$BV$15)</f>
        <v/>
      </c>
      <c r="Z5" s="3">
        <f>SUMPRODUCT(Adds!$C$12:$Z$12,Curves!$AY$15:$BV$15)</f>
        <v/>
      </c>
      <c r="AA5" s="3">
        <f>SUMPRODUCT(Adds!$C$12:$AA$12,Curves!$AX$15:$BV$15)</f>
        <v/>
      </c>
      <c r="AB5" s="3">
        <f>SUMPRODUCT(Adds!$C$12:$AB$12,Curves!$AW$15:$BV$15)</f>
        <v/>
      </c>
      <c r="AC5" s="3">
        <f>SUMPRODUCT(Adds!$C$12:$AC$12,Curves!$AV$15:$BV$15)</f>
        <v/>
      </c>
      <c r="AD5" s="3">
        <f>SUMPRODUCT(Adds!$C$12:$AD$12,Curves!$AU$15:$BV$15)</f>
        <v/>
      </c>
      <c r="AE5" s="3">
        <f>SUMPRODUCT(Adds!$C$12:$AE$12,Curves!$AT$15:$BV$15)</f>
        <v/>
      </c>
      <c r="AF5" s="3">
        <f>SUMPRODUCT(Adds!$C$12:$AF$12,Curves!$AS$15:$BV$15)</f>
        <v/>
      </c>
      <c r="AG5" s="3">
        <f>SUMPRODUCT(Adds!$C$12:$AG$12,Curves!$AR$15:$BV$15)</f>
        <v/>
      </c>
      <c r="AH5" s="3">
        <f>SUMPRODUCT(Adds!$C$12:$AH$12,Curves!$AQ$15:$BV$15)</f>
        <v/>
      </c>
      <c r="AI5" s="3">
        <f>SUMPRODUCT(Adds!$C$12:$AI$12,Curves!$AP$15:$BV$15)</f>
        <v/>
      </c>
      <c r="AJ5" s="3">
        <f>SUMPRODUCT(Adds!$C$12:$AJ$12,Curves!$AO$15:$BV$15)</f>
        <v/>
      </c>
      <c r="AK5" s="3">
        <f>SUMPRODUCT(Adds!$C$12:$AK$12,Curves!$AN$15:$BV$15)</f>
        <v/>
      </c>
      <c r="AL5" s="3">
        <f>SUMPRODUCT(Adds!$C$12:$AL$12,Curves!$AM$15:$BV$15)</f>
        <v/>
      </c>
      <c r="AM5" s="3">
        <f>SUMPRODUCT(Adds!$C$12:$AM$12,Curves!$AL$15:$BV$15)</f>
        <v/>
      </c>
      <c r="AN5" s="3">
        <f>SUMPRODUCT(Adds!$C$12:$AN$12,Curves!$AK$15:$BV$15)</f>
        <v/>
      </c>
      <c r="AO5" s="3">
        <f>SUMPRODUCT(Adds!$C$12:$AO$12,Curves!$AJ$15:$BV$15)</f>
        <v/>
      </c>
      <c r="AP5" s="3">
        <f>SUMPRODUCT(Adds!$C$12:$AP$12,Curves!$AI$15:$BV$15)</f>
        <v/>
      </c>
      <c r="AQ5" s="3">
        <f>SUMPRODUCT(Adds!$C$12:$AQ$12,Curves!$AH$15:$BV$15)</f>
        <v/>
      </c>
      <c r="AR5" s="3">
        <f>SUMPRODUCT(Adds!$C$12:$AR$12,Curves!$AG$15:$BV$15)</f>
        <v/>
      </c>
      <c r="AS5" s="3">
        <f>SUMPRODUCT(Adds!$C$12:$AS$12,Curves!$AF$15:$BV$15)</f>
        <v/>
      </c>
      <c r="AT5" s="3">
        <f>SUMPRODUCT(Adds!$C$12:$AT$12,Curves!$AE$15:$BV$15)</f>
        <v/>
      </c>
      <c r="AU5" s="3">
        <f>SUMPRODUCT(Adds!$C$12:$AU$12,Curves!$AD$15:$BV$15)</f>
        <v/>
      </c>
      <c r="AV5" s="3">
        <f>SUMPRODUCT(Adds!$C$12:$AV$12,Curves!$AC$15:$BV$15)</f>
        <v/>
      </c>
      <c r="AW5" s="3">
        <f>SUMPRODUCT(Adds!$C$12:$AW$12,Curves!$AB$15:$BV$15)</f>
        <v/>
      </c>
      <c r="AX5" s="3">
        <f>SUMPRODUCT(Adds!$C$12:$AX$12,Curves!$AA$15:$BV$15)</f>
        <v/>
      </c>
      <c r="AY5" s="3">
        <f>SUMPRODUCT(Adds!$C$12:$AY$12,Curves!$Z$15:$BV$15)</f>
        <v/>
      </c>
      <c r="AZ5" s="3">
        <f>SUMPRODUCT(Adds!$C$12:$AZ$12,Curves!$Y$15:$BV$15)</f>
        <v/>
      </c>
      <c r="BA5" s="3">
        <f>SUMPRODUCT(Adds!$C$12:$BA$12,Curves!$X$15:$BV$15)</f>
        <v/>
      </c>
      <c r="BB5" s="3">
        <f>SUMPRODUCT(Adds!$C$12:$BB$12,Curves!$W$15:$BV$15)</f>
        <v/>
      </c>
      <c r="BC5" s="3">
        <f>SUMPRODUCT(Adds!$C$12:$BC$12,Curves!$V$15:$BV$15)</f>
        <v/>
      </c>
      <c r="BD5" s="3">
        <f>SUMPRODUCT(Adds!$C$12:$BD$12,Curves!$U$15:$BV$15)</f>
        <v/>
      </c>
      <c r="BE5" s="3">
        <f>SUMPRODUCT(Adds!$C$12:$BE$12,Curves!$T$15:$BV$15)</f>
        <v/>
      </c>
      <c r="BF5" s="3">
        <f>SUMPRODUCT(Adds!$C$12:$BF$12,Curves!$S$15:$BV$15)</f>
        <v/>
      </c>
      <c r="BG5" s="3">
        <f>SUMPRODUCT(Adds!$C$12:$BG$12,Curves!$R$15:$BV$15)</f>
        <v/>
      </c>
      <c r="BH5" s="3">
        <f>SUMPRODUCT(Adds!$C$12:$BH$12,Curves!$Q$15:$BV$15)</f>
        <v/>
      </c>
      <c r="BI5" s="3">
        <f>SUMPRODUCT(Adds!$C$12:$BI$12,Curves!$P$15:$BV$15)</f>
        <v/>
      </c>
      <c r="BJ5" s="3">
        <f>SUMPRODUCT(Adds!$C$12:$BJ$12,Curves!$O$15:$BV$15)</f>
        <v/>
      </c>
      <c r="BK5" s="3">
        <f>SUMPRODUCT(Adds!$C$12:$BK$12,Curves!$N$15:$BV$15)</f>
        <v/>
      </c>
      <c r="BL5" s="3">
        <f>SUMPRODUCT(Adds!$C$12:$BL$12,Curves!$M$15:$BV$15)</f>
        <v/>
      </c>
      <c r="BM5" s="3">
        <f>SUMPRODUCT(Adds!$C$12:$BM$12,Curves!$L$15:$BV$15)</f>
        <v/>
      </c>
      <c r="BN5" s="3">
        <f>SUMPRODUCT(Adds!$C$12:$BN$12,Curves!$K$15:$BV$15)</f>
        <v/>
      </c>
      <c r="BO5" s="3">
        <f>SUMPRODUCT(Adds!$C$12:$BO$12,Curves!$J$15:$BV$15)</f>
        <v/>
      </c>
      <c r="BP5" s="3">
        <f>SUMPRODUCT(Adds!$C$12:$BP$12,Curves!$I$15:$BV$15)</f>
        <v/>
      </c>
      <c r="BQ5" s="3">
        <f>SUMPRODUCT(Adds!$C$12:$BQ$12,Curves!$H$15:$BV$15)</f>
        <v/>
      </c>
      <c r="BR5" s="3">
        <f>SUMPRODUCT(Adds!$C$12:$BR$12,Curves!$G$15:$BV$15)</f>
        <v/>
      </c>
      <c r="BS5" s="3">
        <f>SUMPRODUCT(Adds!$C$12:$BS$12,Curves!$F$15:$BV$15)</f>
        <v/>
      </c>
      <c r="BT5" s="3">
        <f>SUMPRODUCT(Adds!$C$12:$BT$12,Curves!$E$15:$BV$15)</f>
        <v/>
      </c>
      <c r="BU5" s="3">
        <f>SUMPRODUCT(Adds!$C$12:$BU$12,Curves!$D$15:$BV$15)</f>
        <v/>
      </c>
      <c r="BV5" s="3">
        <f>SUMPRODUCT(Adds!$C$12:$BV$12,Curves!$C$15:$BV$15)</f>
        <v/>
      </c>
    </row>
    <row r="7">
      <c r="A7" t="inlineStr">
        <is>
          <t>active</t>
        </is>
      </c>
      <c r="B7" t="inlineStr">
        <is>
          <t>US_CA|NITRO_A</t>
        </is>
      </c>
      <c r="C7" s="3">
        <f>Adds!$C$23*Curves!$BV$14</f>
        <v/>
      </c>
      <c r="D7" s="3">
        <f>SUMPRODUCT(Adds!$C$23:$D$23,Curves!$BU$14:$BV$14)</f>
        <v/>
      </c>
      <c r="E7" s="3">
        <f>SUMPRODUCT(Adds!$C$23:$E$23,Curves!$BT$14:$BV$14)</f>
        <v/>
      </c>
      <c r="F7" s="3">
        <f>SUMPRODUCT(Adds!$C$23:$F$23,Curves!$BS$14:$BV$14)</f>
        <v/>
      </c>
      <c r="G7" s="3">
        <f>SUMPRODUCT(Adds!$C$23:$G$23,Curves!$BR$14:$BV$14)</f>
        <v/>
      </c>
      <c r="H7" s="3">
        <f>SUMPRODUCT(Adds!$C$23:$H$23,Curves!$BQ$14:$BV$14)</f>
        <v/>
      </c>
      <c r="I7" s="3">
        <f>SUMPRODUCT(Adds!$C$23:$I$23,Curves!$BP$14:$BV$14)</f>
        <v/>
      </c>
      <c r="J7" s="3">
        <f>SUMPRODUCT(Adds!$C$23:$J$23,Curves!$BO$14:$BV$14)</f>
        <v/>
      </c>
      <c r="K7" s="3">
        <f>SUMPRODUCT(Adds!$C$23:$K$23,Curves!$BN$14:$BV$14)</f>
        <v/>
      </c>
      <c r="L7" s="3">
        <f>SUMPRODUCT(Adds!$C$23:$L$23,Curves!$BM$14:$BV$14)</f>
        <v/>
      </c>
      <c r="M7" s="3">
        <f>SUMPRODUCT(Adds!$C$23:$M$23,Curves!$BL$14:$BV$14)</f>
        <v/>
      </c>
      <c r="N7" s="3">
        <f>SUMPRODUCT(Adds!$C$23:$N$23,Curves!$BK$14:$BV$14)</f>
        <v/>
      </c>
      <c r="O7" s="3">
        <f>SUMPRODUCT(Adds!$C$23:$O$23,Curves!$BJ$14:$BV$14)</f>
        <v/>
      </c>
      <c r="P7" s="3">
        <f>SUMPRODUCT(Adds!$C$23:$P$23,Curves!$BI$14:$BV$14)</f>
        <v/>
      </c>
      <c r="Q7" s="3">
        <f>SUMPRODUCT(Adds!$C$23:$Q$23,Curves!$BH$14:$BV$14)</f>
        <v/>
      </c>
      <c r="R7" s="3">
        <f>SUMPRODUCT(Adds!$C$23:$R$23,Curves!$BG$14:$BV$14)</f>
        <v/>
      </c>
      <c r="S7" s="3">
        <f>SUMPRODUCT(Adds!$C$23:$S$23,Curves!$BF$14:$BV$14)</f>
        <v/>
      </c>
      <c r="T7" s="3">
        <f>SUMPRODUCT(Adds!$C$23:$T$23,Curves!$BE$14:$BV$14)</f>
        <v/>
      </c>
      <c r="U7" s="3">
        <f>SUMPRODUCT(Adds!$C$23:$U$23,Curves!$BD$14:$BV$14)</f>
        <v/>
      </c>
      <c r="V7" s="3">
        <f>SUMPRODUCT(Adds!$C$23:$V$23,Curves!$BC$14:$BV$14)</f>
        <v/>
      </c>
      <c r="W7" s="3">
        <f>SUMPRODUCT(Adds!$C$23:$W$23,Curves!$BB$14:$BV$14)</f>
        <v/>
      </c>
      <c r="X7" s="3">
        <f>SUMPRODUCT(Adds!$C$23:$X$23,Curves!$BA$14:$BV$14)</f>
        <v/>
      </c>
      <c r="Y7" s="3">
        <f>SUMPRODUCT(Adds!$C$23:$Y$23,Curves!$AZ$14:$BV$14)</f>
        <v/>
      </c>
      <c r="Z7" s="3">
        <f>SUMPRODUCT(Adds!$C$23:$Z$23,Curves!$AY$14:$BV$14)</f>
        <v/>
      </c>
      <c r="AA7" s="3">
        <f>SUMPRODUCT(Adds!$C$23:$AA$23,Curves!$AX$14:$BV$14)</f>
        <v/>
      </c>
      <c r="AB7" s="3">
        <f>SUMPRODUCT(Adds!$C$23:$AB$23,Curves!$AW$14:$BV$14)</f>
        <v/>
      </c>
      <c r="AC7" s="3">
        <f>SUMPRODUCT(Adds!$C$23:$AC$23,Curves!$AV$14:$BV$14)</f>
        <v/>
      </c>
      <c r="AD7" s="3">
        <f>SUMPRODUCT(Adds!$C$23:$AD$23,Curves!$AU$14:$BV$14)</f>
        <v/>
      </c>
      <c r="AE7" s="3">
        <f>SUMPRODUCT(Adds!$C$23:$AE$23,Curves!$AT$14:$BV$14)</f>
        <v/>
      </c>
      <c r="AF7" s="3">
        <f>SUMPRODUCT(Adds!$C$23:$AF$23,Curves!$AS$14:$BV$14)</f>
        <v/>
      </c>
      <c r="AG7" s="3">
        <f>SUMPRODUCT(Adds!$C$23:$AG$23,Curves!$AR$14:$BV$14)</f>
        <v/>
      </c>
      <c r="AH7" s="3">
        <f>SUMPRODUCT(Adds!$C$23:$AH$23,Curves!$AQ$14:$BV$14)</f>
        <v/>
      </c>
      <c r="AI7" s="3">
        <f>SUMPRODUCT(Adds!$C$23:$AI$23,Curves!$AP$14:$BV$14)</f>
        <v/>
      </c>
      <c r="AJ7" s="3">
        <f>SUMPRODUCT(Adds!$C$23:$AJ$23,Curves!$AO$14:$BV$14)</f>
        <v/>
      </c>
      <c r="AK7" s="3">
        <f>SUMPRODUCT(Adds!$C$23:$AK$23,Curves!$AN$14:$BV$14)</f>
        <v/>
      </c>
      <c r="AL7" s="3">
        <f>SUMPRODUCT(Adds!$C$23:$AL$23,Curves!$AM$14:$BV$14)</f>
        <v/>
      </c>
      <c r="AM7" s="3">
        <f>SUMPRODUCT(Adds!$C$23:$AM$23,Curves!$AL$14:$BV$14)</f>
        <v/>
      </c>
      <c r="AN7" s="3">
        <f>SUMPRODUCT(Adds!$C$23:$AN$23,Curves!$AK$14:$BV$14)</f>
        <v/>
      </c>
      <c r="AO7" s="3">
        <f>SUMPRODUCT(Adds!$C$23:$AO$23,Curves!$AJ$14:$BV$14)</f>
        <v/>
      </c>
      <c r="AP7" s="3">
        <f>SUMPRODUCT(Adds!$C$23:$AP$23,Curves!$AI$14:$BV$14)</f>
        <v/>
      </c>
      <c r="AQ7" s="3">
        <f>SUMPRODUCT(Adds!$C$23:$AQ$23,Curves!$AH$14:$BV$14)</f>
        <v/>
      </c>
      <c r="AR7" s="3">
        <f>SUMPRODUCT(Adds!$C$23:$AR$23,Curves!$AG$14:$BV$14)</f>
        <v/>
      </c>
      <c r="AS7" s="3">
        <f>SUMPRODUCT(Adds!$C$23:$AS$23,Curves!$AF$14:$BV$14)</f>
        <v/>
      </c>
      <c r="AT7" s="3">
        <f>SUMPRODUCT(Adds!$C$23:$AT$23,Curves!$AE$14:$BV$14)</f>
        <v/>
      </c>
      <c r="AU7" s="3">
        <f>SUMPRODUCT(Adds!$C$23:$AU$23,Curves!$AD$14:$BV$14)</f>
        <v/>
      </c>
      <c r="AV7" s="3">
        <f>SUMPRODUCT(Adds!$C$23:$AV$23,Curves!$AC$14:$BV$14)</f>
        <v/>
      </c>
      <c r="AW7" s="3">
        <f>SUMPRODUCT(Adds!$C$23:$AW$23,Curves!$AB$14:$BV$14)</f>
        <v/>
      </c>
      <c r="AX7" s="3">
        <f>SUMPRODUCT(Adds!$C$23:$AX$23,Curves!$AA$14:$BV$14)</f>
        <v/>
      </c>
      <c r="AY7" s="3">
        <f>SUMPRODUCT(Adds!$C$23:$AY$23,Curves!$Z$14:$BV$14)</f>
        <v/>
      </c>
      <c r="AZ7" s="3">
        <f>SUMPRODUCT(Adds!$C$23:$AZ$23,Curves!$Y$14:$BV$14)</f>
        <v/>
      </c>
      <c r="BA7" s="3">
        <f>SUMPRODUCT(Adds!$C$23:$BA$23,Curves!$X$14:$BV$14)</f>
        <v/>
      </c>
      <c r="BB7" s="3">
        <f>SUMPRODUCT(Adds!$C$23:$BB$23,Curves!$W$14:$BV$14)</f>
        <v/>
      </c>
      <c r="BC7" s="3">
        <f>SUMPRODUCT(Adds!$C$23:$BC$23,Curves!$V$14:$BV$14)</f>
        <v/>
      </c>
      <c r="BD7" s="3">
        <f>SUMPRODUCT(Adds!$C$23:$BD$23,Curves!$U$14:$BV$14)</f>
        <v/>
      </c>
      <c r="BE7" s="3">
        <f>SUMPRODUCT(Adds!$C$23:$BE$23,Curves!$T$14:$BV$14)</f>
        <v/>
      </c>
      <c r="BF7" s="3">
        <f>SUMPRODUCT(Adds!$C$23:$BF$23,Curves!$S$14:$BV$14)</f>
        <v/>
      </c>
      <c r="BG7" s="3">
        <f>SUMPRODUCT(Adds!$C$23:$BG$23,Curves!$R$14:$BV$14)</f>
        <v/>
      </c>
      <c r="BH7" s="3">
        <f>SUMPRODUCT(Adds!$C$23:$BH$23,Curves!$Q$14:$BV$14)</f>
        <v/>
      </c>
      <c r="BI7" s="3">
        <f>SUMPRODUCT(Adds!$C$23:$BI$23,Curves!$P$14:$BV$14)</f>
        <v/>
      </c>
      <c r="BJ7" s="3">
        <f>SUMPRODUCT(Adds!$C$23:$BJ$23,Curves!$O$14:$BV$14)</f>
        <v/>
      </c>
      <c r="BK7" s="3">
        <f>SUMPRODUCT(Adds!$C$23:$BK$23,Curves!$N$14:$BV$14)</f>
        <v/>
      </c>
      <c r="BL7" s="3">
        <f>SUMPRODUCT(Adds!$C$23:$BL$23,Curves!$M$14:$BV$14)</f>
        <v/>
      </c>
      <c r="BM7" s="3">
        <f>SUMPRODUCT(Adds!$C$23:$BM$23,Curves!$L$14:$BV$14)</f>
        <v/>
      </c>
      <c r="BN7" s="3">
        <f>SUMPRODUCT(Adds!$C$23:$BN$23,Curves!$K$14:$BV$14)</f>
        <v/>
      </c>
      <c r="BO7" s="3">
        <f>SUMPRODUCT(Adds!$C$23:$BO$23,Curves!$J$14:$BV$14)</f>
        <v/>
      </c>
      <c r="BP7" s="3">
        <f>SUMPRODUCT(Adds!$C$23:$BP$23,Curves!$I$14:$BV$14)</f>
        <v/>
      </c>
      <c r="BQ7" s="3">
        <f>SUMPRODUCT(Adds!$C$23:$BQ$23,Curves!$H$14:$BV$14)</f>
        <v/>
      </c>
      <c r="BR7" s="3">
        <f>SUMPRODUCT(Adds!$C$23:$BR$23,Curves!$G$14:$BV$14)</f>
        <v/>
      </c>
      <c r="BS7" s="3">
        <f>SUMPRODUCT(Adds!$C$23:$BS$23,Curves!$F$14:$BV$14)</f>
        <v/>
      </c>
      <c r="BT7" s="3">
        <f>SUMPRODUCT(Adds!$C$23:$BT$23,Curves!$E$14:$BV$14)</f>
        <v/>
      </c>
      <c r="BU7" s="3">
        <f>SUMPRODUCT(Adds!$C$23:$BU$23,Curves!$D$14:$BV$14)</f>
        <v/>
      </c>
      <c r="BV7" s="3">
        <f>SUMPRODUCT(Adds!$C$23:$BV$23,Curves!$C$14:$BV$14)</f>
        <v/>
      </c>
    </row>
    <row r="8">
      <c r="A8" t="inlineStr">
        <is>
          <t>active yr 1</t>
        </is>
      </c>
      <c r="B8" t="inlineStr">
        <is>
          <t>US_CA|NITRO_A</t>
        </is>
      </c>
      <c r="C8" s="3">
        <f>Adds!$C$23*Curves!$BV$21</f>
        <v/>
      </c>
      <c r="D8" s="3">
        <f>SUMPRODUCT(Adds!$C$23:$D$23,Curves!$BU$21:$BV$21)</f>
        <v/>
      </c>
      <c r="E8" s="3">
        <f>SUMPRODUCT(Adds!$C$23:$E$23,Curves!$BT$21:$BV$21)</f>
        <v/>
      </c>
      <c r="F8" s="3">
        <f>SUMPRODUCT(Adds!$C$23:$F$23,Curves!$BS$21:$BV$21)</f>
        <v/>
      </c>
      <c r="G8" s="3">
        <f>SUMPRODUCT(Adds!$C$23:$G$23,Curves!$BR$21:$BV$21)</f>
        <v/>
      </c>
      <c r="H8" s="3">
        <f>SUMPRODUCT(Adds!$C$23:$H$23,Curves!$BQ$21:$BV$21)</f>
        <v/>
      </c>
      <c r="I8" s="3">
        <f>SUMPRODUCT(Adds!$C$23:$I$23,Curves!$BP$21:$BV$21)</f>
        <v/>
      </c>
      <c r="J8" s="3">
        <f>SUMPRODUCT(Adds!$C$23:$J$23,Curves!$BO$21:$BV$21)</f>
        <v/>
      </c>
      <c r="K8" s="3">
        <f>SUMPRODUCT(Adds!$C$23:$K$23,Curves!$BN$21:$BV$21)</f>
        <v/>
      </c>
      <c r="L8" s="3">
        <f>SUMPRODUCT(Adds!$C$23:$L$23,Curves!$BM$21:$BV$21)</f>
        <v/>
      </c>
      <c r="M8" s="3">
        <f>SUMPRODUCT(Adds!$C$23:$M$23,Curves!$BL$21:$BV$21)</f>
        <v/>
      </c>
      <c r="N8" s="3">
        <f>SUMPRODUCT(Adds!$C$23:$N$23,Curves!$BK$21:$BV$21)</f>
        <v/>
      </c>
      <c r="O8" s="3">
        <f>SUMPRODUCT(Adds!$C$23:$O$23,Curves!$BJ$21:$BV$21)</f>
        <v/>
      </c>
      <c r="P8" s="3">
        <f>SUMPRODUCT(Adds!$C$23:$P$23,Curves!$BI$21:$BV$21)</f>
        <v/>
      </c>
      <c r="Q8" s="3">
        <f>SUMPRODUCT(Adds!$C$23:$Q$23,Curves!$BH$21:$BV$21)</f>
        <v/>
      </c>
      <c r="R8" s="3">
        <f>SUMPRODUCT(Adds!$C$23:$R$23,Curves!$BG$21:$BV$21)</f>
        <v/>
      </c>
      <c r="S8" s="3">
        <f>SUMPRODUCT(Adds!$C$23:$S$23,Curves!$BF$21:$BV$21)</f>
        <v/>
      </c>
      <c r="T8" s="3">
        <f>SUMPRODUCT(Adds!$C$23:$T$23,Curves!$BE$21:$BV$21)</f>
        <v/>
      </c>
      <c r="U8" s="3">
        <f>SUMPRODUCT(Adds!$C$23:$U$23,Curves!$BD$21:$BV$21)</f>
        <v/>
      </c>
      <c r="V8" s="3">
        <f>SUMPRODUCT(Adds!$C$23:$V$23,Curves!$BC$21:$BV$21)</f>
        <v/>
      </c>
      <c r="W8" s="3">
        <f>SUMPRODUCT(Adds!$C$23:$W$23,Curves!$BB$21:$BV$21)</f>
        <v/>
      </c>
      <c r="X8" s="3">
        <f>SUMPRODUCT(Adds!$C$23:$X$23,Curves!$BA$21:$BV$21)</f>
        <v/>
      </c>
      <c r="Y8" s="3">
        <f>SUMPRODUCT(Adds!$C$23:$Y$23,Curves!$AZ$21:$BV$21)</f>
        <v/>
      </c>
      <c r="Z8" s="3">
        <f>SUMPRODUCT(Adds!$C$23:$Z$23,Curves!$AY$21:$BV$21)</f>
        <v/>
      </c>
      <c r="AA8" s="3">
        <f>SUMPRODUCT(Adds!$C$23:$AA$23,Curves!$AX$21:$BV$21)</f>
        <v/>
      </c>
      <c r="AB8" s="3">
        <f>SUMPRODUCT(Adds!$C$23:$AB$23,Curves!$AW$21:$BV$21)</f>
        <v/>
      </c>
      <c r="AC8" s="3">
        <f>SUMPRODUCT(Adds!$C$23:$AC$23,Curves!$AV$21:$BV$21)</f>
        <v/>
      </c>
      <c r="AD8" s="3">
        <f>SUMPRODUCT(Adds!$C$23:$AD$23,Curves!$AU$21:$BV$21)</f>
        <v/>
      </c>
      <c r="AE8" s="3">
        <f>SUMPRODUCT(Adds!$C$23:$AE$23,Curves!$AT$21:$BV$21)</f>
        <v/>
      </c>
      <c r="AF8" s="3">
        <f>SUMPRODUCT(Adds!$C$23:$AF$23,Curves!$AS$21:$BV$21)</f>
        <v/>
      </c>
      <c r="AG8" s="3">
        <f>SUMPRODUCT(Adds!$C$23:$AG$23,Curves!$AR$21:$BV$21)</f>
        <v/>
      </c>
      <c r="AH8" s="3">
        <f>SUMPRODUCT(Adds!$C$23:$AH$23,Curves!$AQ$21:$BV$21)</f>
        <v/>
      </c>
      <c r="AI8" s="3">
        <f>SUMPRODUCT(Adds!$C$23:$AI$23,Curves!$AP$21:$BV$21)</f>
        <v/>
      </c>
      <c r="AJ8" s="3">
        <f>SUMPRODUCT(Adds!$C$23:$AJ$23,Curves!$AO$21:$BV$21)</f>
        <v/>
      </c>
      <c r="AK8" s="3">
        <f>SUMPRODUCT(Adds!$C$23:$AK$23,Curves!$AN$21:$BV$21)</f>
        <v/>
      </c>
      <c r="AL8" s="3">
        <f>SUMPRODUCT(Adds!$C$23:$AL$23,Curves!$AM$21:$BV$21)</f>
        <v/>
      </c>
      <c r="AM8" s="3">
        <f>SUMPRODUCT(Adds!$C$23:$AM$23,Curves!$AL$21:$BV$21)</f>
        <v/>
      </c>
      <c r="AN8" s="3">
        <f>SUMPRODUCT(Adds!$C$23:$AN$23,Curves!$AK$21:$BV$21)</f>
        <v/>
      </c>
      <c r="AO8" s="3">
        <f>SUMPRODUCT(Adds!$C$23:$AO$23,Curves!$AJ$21:$BV$21)</f>
        <v/>
      </c>
      <c r="AP8" s="3">
        <f>SUMPRODUCT(Adds!$C$23:$AP$23,Curves!$AI$21:$BV$21)</f>
        <v/>
      </c>
      <c r="AQ8" s="3">
        <f>SUMPRODUCT(Adds!$C$23:$AQ$23,Curves!$AH$21:$BV$21)</f>
        <v/>
      </c>
      <c r="AR8" s="3">
        <f>SUMPRODUCT(Adds!$C$23:$AR$23,Curves!$AG$21:$BV$21)</f>
        <v/>
      </c>
      <c r="AS8" s="3">
        <f>SUMPRODUCT(Adds!$C$23:$AS$23,Curves!$AF$21:$BV$21)</f>
        <v/>
      </c>
      <c r="AT8" s="3">
        <f>SUMPRODUCT(Adds!$C$23:$AT$23,Curves!$AE$21:$BV$21)</f>
        <v/>
      </c>
      <c r="AU8" s="3">
        <f>SUMPRODUCT(Adds!$C$23:$AU$23,Curves!$AD$21:$BV$21)</f>
        <v/>
      </c>
      <c r="AV8" s="3">
        <f>SUMPRODUCT(Adds!$C$23:$AV$23,Curves!$AC$21:$BV$21)</f>
        <v/>
      </c>
      <c r="AW8" s="3">
        <f>SUMPRODUCT(Adds!$C$23:$AW$23,Curves!$AB$21:$BV$21)</f>
        <v/>
      </c>
      <c r="AX8" s="3">
        <f>SUMPRODUCT(Adds!$C$23:$AX$23,Curves!$AA$21:$BV$21)</f>
        <v/>
      </c>
      <c r="AY8" s="3">
        <f>SUMPRODUCT(Adds!$C$23:$AY$23,Curves!$Z$21:$BV$21)</f>
        <v/>
      </c>
      <c r="AZ8" s="3">
        <f>SUMPRODUCT(Adds!$C$23:$AZ$23,Curves!$Y$21:$BV$21)</f>
        <v/>
      </c>
      <c r="BA8" s="3">
        <f>SUMPRODUCT(Adds!$C$23:$BA$23,Curves!$X$21:$BV$21)</f>
        <v/>
      </c>
      <c r="BB8" s="3">
        <f>SUMPRODUCT(Adds!$C$23:$BB$23,Curves!$W$21:$BV$21)</f>
        <v/>
      </c>
      <c r="BC8" s="3">
        <f>SUMPRODUCT(Adds!$C$23:$BC$23,Curves!$V$21:$BV$21)</f>
        <v/>
      </c>
      <c r="BD8" s="3">
        <f>SUMPRODUCT(Adds!$C$23:$BD$23,Curves!$U$21:$BV$21)</f>
        <v/>
      </c>
      <c r="BE8" s="3">
        <f>SUMPRODUCT(Adds!$C$23:$BE$23,Curves!$T$21:$BV$21)</f>
        <v/>
      </c>
      <c r="BF8" s="3">
        <f>SUMPRODUCT(Adds!$C$23:$BF$23,Curves!$S$21:$BV$21)</f>
        <v/>
      </c>
      <c r="BG8" s="3">
        <f>SUMPRODUCT(Adds!$C$23:$BG$23,Curves!$R$21:$BV$21)</f>
        <v/>
      </c>
      <c r="BH8" s="3">
        <f>SUMPRODUCT(Adds!$C$23:$BH$23,Curves!$Q$21:$BV$21)</f>
        <v/>
      </c>
      <c r="BI8" s="3">
        <f>SUMPRODUCT(Adds!$C$23:$BI$23,Curves!$P$21:$BV$21)</f>
        <v/>
      </c>
      <c r="BJ8" s="3">
        <f>SUMPRODUCT(Adds!$C$23:$BJ$23,Curves!$O$21:$BV$21)</f>
        <v/>
      </c>
      <c r="BK8" s="3">
        <f>SUMPRODUCT(Adds!$C$23:$BK$23,Curves!$N$21:$BV$21)</f>
        <v/>
      </c>
      <c r="BL8" s="3">
        <f>SUMPRODUCT(Adds!$C$23:$BL$23,Curves!$M$21:$BV$21)</f>
        <v/>
      </c>
      <c r="BM8" s="3">
        <f>SUMPRODUCT(Adds!$C$23:$BM$23,Curves!$L$21:$BV$21)</f>
        <v/>
      </c>
      <c r="BN8" s="3">
        <f>SUMPRODUCT(Adds!$C$23:$BN$23,Curves!$K$21:$BV$21)</f>
        <v/>
      </c>
      <c r="BO8" s="3">
        <f>SUMPRODUCT(Adds!$C$23:$BO$23,Curves!$J$21:$BV$21)</f>
        <v/>
      </c>
      <c r="BP8" s="3">
        <f>SUMPRODUCT(Adds!$C$23:$BP$23,Curves!$I$21:$BV$21)</f>
        <v/>
      </c>
      <c r="BQ8" s="3">
        <f>SUMPRODUCT(Adds!$C$23:$BQ$23,Curves!$H$21:$BV$21)</f>
        <v/>
      </c>
      <c r="BR8" s="3">
        <f>SUMPRODUCT(Adds!$C$23:$BR$23,Curves!$G$21:$BV$21)</f>
        <v/>
      </c>
      <c r="BS8" s="3">
        <f>SUMPRODUCT(Adds!$C$23:$BS$23,Curves!$F$21:$BV$21)</f>
        <v/>
      </c>
      <c r="BT8" s="3">
        <f>SUMPRODUCT(Adds!$C$23:$BT$23,Curves!$E$21:$BV$21)</f>
        <v/>
      </c>
      <c r="BU8" s="3">
        <f>SUMPRODUCT(Adds!$C$23:$BU$23,Curves!$D$21:$BV$21)</f>
        <v/>
      </c>
      <c r="BV8" s="3">
        <f>SUMPRODUCT(Adds!$C$23:$BV$23,Curves!$C$21:$BV$21)</f>
        <v/>
      </c>
    </row>
    <row r="9">
      <c r="A9" t="inlineStr">
        <is>
          <t>churned</t>
        </is>
      </c>
      <c r="B9" t="inlineStr">
        <is>
          <t>US_CA|NITRO_A</t>
        </is>
      </c>
      <c r="C9" s="3">
        <f>Adds!$C$23*Curves!$BV$16</f>
        <v/>
      </c>
      <c r="D9" s="3">
        <f>SUMPRODUCT(Adds!$C$23:$D$23,Curves!$BU$16:$BV$16)</f>
        <v/>
      </c>
      <c r="E9" s="3">
        <f>SUMPRODUCT(Adds!$C$23:$E$23,Curves!$BT$16:$BV$16)</f>
        <v/>
      </c>
      <c r="F9" s="3">
        <f>SUMPRODUCT(Adds!$C$23:$F$23,Curves!$BS$16:$BV$16)</f>
        <v/>
      </c>
      <c r="G9" s="3">
        <f>SUMPRODUCT(Adds!$C$23:$G$23,Curves!$BR$16:$BV$16)</f>
        <v/>
      </c>
      <c r="H9" s="3">
        <f>SUMPRODUCT(Adds!$C$23:$H$23,Curves!$BQ$16:$BV$16)</f>
        <v/>
      </c>
      <c r="I9" s="3">
        <f>SUMPRODUCT(Adds!$C$23:$I$23,Curves!$BP$16:$BV$16)</f>
        <v/>
      </c>
      <c r="J9" s="3">
        <f>SUMPRODUCT(Adds!$C$23:$J$23,Curves!$BO$16:$BV$16)</f>
        <v/>
      </c>
      <c r="K9" s="3">
        <f>SUMPRODUCT(Adds!$C$23:$K$23,Curves!$BN$16:$BV$16)</f>
        <v/>
      </c>
      <c r="L9" s="3">
        <f>SUMPRODUCT(Adds!$C$23:$L$23,Curves!$BM$16:$BV$16)</f>
        <v/>
      </c>
      <c r="M9" s="3">
        <f>SUMPRODUCT(Adds!$C$23:$M$23,Curves!$BL$16:$BV$16)</f>
        <v/>
      </c>
      <c r="N9" s="3">
        <f>SUMPRODUCT(Adds!$C$23:$N$23,Curves!$BK$16:$BV$16)</f>
        <v/>
      </c>
      <c r="O9" s="3">
        <f>SUMPRODUCT(Adds!$C$23:$O$23,Curves!$BJ$16:$BV$16)</f>
        <v/>
      </c>
      <c r="P9" s="3">
        <f>SUMPRODUCT(Adds!$C$23:$P$23,Curves!$BI$16:$BV$16)</f>
        <v/>
      </c>
      <c r="Q9" s="3">
        <f>SUMPRODUCT(Adds!$C$23:$Q$23,Curves!$BH$16:$BV$16)</f>
        <v/>
      </c>
      <c r="R9" s="3">
        <f>SUMPRODUCT(Adds!$C$23:$R$23,Curves!$BG$16:$BV$16)</f>
        <v/>
      </c>
      <c r="S9" s="3">
        <f>SUMPRODUCT(Adds!$C$23:$S$23,Curves!$BF$16:$BV$16)</f>
        <v/>
      </c>
      <c r="T9" s="3">
        <f>SUMPRODUCT(Adds!$C$23:$T$23,Curves!$BE$16:$BV$16)</f>
        <v/>
      </c>
      <c r="U9" s="3">
        <f>SUMPRODUCT(Adds!$C$23:$U$23,Curves!$BD$16:$BV$16)</f>
        <v/>
      </c>
      <c r="V9" s="3">
        <f>SUMPRODUCT(Adds!$C$23:$V$23,Curves!$BC$16:$BV$16)</f>
        <v/>
      </c>
      <c r="W9" s="3">
        <f>SUMPRODUCT(Adds!$C$23:$W$23,Curves!$BB$16:$BV$16)</f>
        <v/>
      </c>
      <c r="X9" s="3">
        <f>SUMPRODUCT(Adds!$C$23:$X$23,Curves!$BA$16:$BV$16)</f>
        <v/>
      </c>
      <c r="Y9" s="3">
        <f>SUMPRODUCT(Adds!$C$23:$Y$23,Curves!$AZ$16:$BV$16)</f>
        <v/>
      </c>
      <c r="Z9" s="3">
        <f>SUMPRODUCT(Adds!$C$23:$Z$23,Curves!$AY$16:$BV$16)</f>
        <v/>
      </c>
      <c r="AA9" s="3">
        <f>SUMPRODUCT(Adds!$C$23:$AA$23,Curves!$AX$16:$BV$16)</f>
        <v/>
      </c>
      <c r="AB9" s="3">
        <f>SUMPRODUCT(Adds!$C$23:$AB$23,Curves!$AW$16:$BV$16)</f>
        <v/>
      </c>
      <c r="AC9" s="3">
        <f>SUMPRODUCT(Adds!$C$23:$AC$23,Curves!$AV$16:$BV$16)</f>
        <v/>
      </c>
      <c r="AD9" s="3">
        <f>SUMPRODUCT(Adds!$C$23:$AD$23,Curves!$AU$16:$BV$16)</f>
        <v/>
      </c>
      <c r="AE9" s="3">
        <f>SUMPRODUCT(Adds!$C$23:$AE$23,Curves!$AT$16:$BV$16)</f>
        <v/>
      </c>
      <c r="AF9" s="3">
        <f>SUMPRODUCT(Adds!$C$23:$AF$23,Curves!$AS$16:$BV$16)</f>
        <v/>
      </c>
      <c r="AG9" s="3">
        <f>SUMPRODUCT(Adds!$C$23:$AG$23,Curves!$AR$16:$BV$16)</f>
        <v/>
      </c>
      <c r="AH9" s="3">
        <f>SUMPRODUCT(Adds!$C$23:$AH$23,Curves!$AQ$16:$BV$16)</f>
        <v/>
      </c>
      <c r="AI9" s="3">
        <f>SUMPRODUCT(Adds!$C$23:$AI$23,Curves!$AP$16:$BV$16)</f>
        <v/>
      </c>
      <c r="AJ9" s="3">
        <f>SUMPRODUCT(Adds!$C$23:$AJ$23,Curves!$AO$16:$BV$16)</f>
        <v/>
      </c>
      <c r="AK9" s="3">
        <f>SUMPRODUCT(Adds!$C$23:$AK$23,Curves!$AN$16:$BV$16)</f>
        <v/>
      </c>
      <c r="AL9" s="3">
        <f>SUMPRODUCT(Adds!$C$23:$AL$23,Curves!$AM$16:$BV$16)</f>
        <v/>
      </c>
      <c r="AM9" s="3">
        <f>SUMPRODUCT(Adds!$C$23:$AM$23,Curves!$AL$16:$BV$16)</f>
        <v/>
      </c>
      <c r="AN9" s="3">
        <f>SUMPRODUCT(Adds!$C$23:$AN$23,Curves!$AK$16:$BV$16)</f>
        <v/>
      </c>
      <c r="AO9" s="3">
        <f>SUMPRODUCT(Adds!$C$23:$AO$23,Curves!$AJ$16:$BV$16)</f>
        <v/>
      </c>
      <c r="AP9" s="3">
        <f>SUMPRODUCT(Adds!$C$23:$AP$23,Curves!$AI$16:$BV$16)</f>
        <v/>
      </c>
      <c r="AQ9" s="3">
        <f>SUMPRODUCT(Adds!$C$23:$AQ$23,Curves!$AH$16:$BV$16)</f>
        <v/>
      </c>
      <c r="AR9" s="3">
        <f>SUMPRODUCT(Adds!$C$23:$AR$23,Curves!$AG$16:$BV$16)</f>
        <v/>
      </c>
      <c r="AS9" s="3">
        <f>SUMPRODUCT(Adds!$C$23:$AS$23,Curves!$AF$16:$BV$16)</f>
        <v/>
      </c>
      <c r="AT9" s="3">
        <f>SUMPRODUCT(Adds!$C$23:$AT$23,Curves!$AE$16:$BV$16)</f>
        <v/>
      </c>
      <c r="AU9" s="3">
        <f>SUMPRODUCT(Adds!$C$23:$AU$23,Curves!$AD$16:$BV$16)</f>
        <v/>
      </c>
      <c r="AV9" s="3">
        <f>SUMPRODUCT(Adds!$C$23:$AV$23,Curves!$AC$16:$BV$16)</f>
        <v/>
      </c>
      <c r="AW9" s="3">
        <f>SUMPRODUCT(Adds!$C$23:$AW$23,Curves!$AB$16:$BV$16)</f>
        <v/>
      </c>
      <c r="AX9" s="3">
        <f>SUMPRODUCT(Adds!$C$23:$AX$23,Curves!$AA$16:$BV$16)</f>
        <v/>
      </c>
      <c r="AY9" s="3">
        <f>SUMPRODUCT(Adds!$C$23:$AY$23,Curves!$Z$16:$BV$16)</f>
        <v/>
      </c>
      <c r="AZ9" s="3">
        <f>SUMPRODUCT(Adds!$C$23:$AZ$23,Curves!$Y$16:$BV$16)</f>
        <v/>
      </c>
      <c r="BA9" s="3">
        <f>SUMPRODUCT(Adds!$C$23:$BA$23,Curves!$X$16:$BV$16)</f>
        <v/>
      </c>
      <c r="BB9" s="3">
        <f>SUMPRODUCT(Adds!$C$23:$BB$23,Curves!$W$16:$BV$16)</f>
        <v/>
      </c>
      <c r="BC9" s="3">
        <f>SUMPRODUCT(Adds!$C$23:$BC$23,Curves!$V$16:$BV$16)</f>
        <v/>
      </c>
      <c r="BD9" s="3">
        <f>SUMPRODUCT(Adds!$C$23:$BD$23,Curves!$U$16:$BV$16)</f>
        <v/>
      </c>
      <c r="BE9" s="3">
        <f>SUMPRODUCT(Adds!$C$23:$BE$23,Curves!$T$16:$BV$16)</f>
        <v/>
      </c>
      <c r="BF9" s="3">
        <f>SUMPRODUCT(Adds!$C$23:$BF$23,Curves!$S$16:$BV$16)</f>
        <v/>
      </c>
      <c r="BG9" s="3">
        <f>SUMPRODUCT(Adds!$C$23:$BG$23,Curves!$R$16:$BV$16)</f>
        <v/>
      </c>
      <c r="BH9" s="3">
        <f>SUMPRODUCT(Adds!$C$23:$BH$23,Curves!$Q$16:$BV$16)</f>
        <v/>
      </c>
      <c r="BI9" s="3">
        <f>SUMPRODUCT(Adds!$C$23:$BI$23,Curves!$P$16:$BV$16)</f>
        <v/>
      </c>
      <c r="BJ9" s="3">
        <f>SUMPRODUCT(Adds!$C$23:$BJ$23,Curves!$O$16:$BV$16)</f>
        <v/>
      </c>
      <c r="BK9" s="3">
        <f>SUMPRODUCT(Adds!$C$23:$BK$23,Curves!$N$16:$BV$16)</f>
        <v/>
      </c>
      <c r="BL9" s="3">
        <f>SUMPRODUCT(Adds!$C$23:$BL$23,Curves!$M$16:$BV$16)</f>
        <v/>
      </c>
      <c r="BM9" s="3">
        <f>SUMPRODUCT(Adds!$C$23:$BM$23,Curves!$L$16:$BV$16)</f>
        <v/>
      </c>
      <c r="BN9" s="3">
        <f>SUMPRODUCT(Adds!$C$23:$BN$23,Curves!$K$16:$BV$16)</f>
        <v/>
      </c>
      <c r="BO9" s="3">
        <f>SUMPRODUCT(Adds!$C$23:$BO$23,Curves!$J$16:$BV$16)</f>
        <v/>
      </c>
      <c r="BP9" s="3">
        <f>SUMPRODUCT(Adds!$C$23:$BP$23,Curves!$I$16:$BV$16)</f>
        <v/>
      </c>
      <c r="BQ9" s="3">
        <f>SUMPRODUCT(Adds!$C$23:$BQ$23,Curves!$H$16:$BV$16)</f>
        <v/>
      </c>
      <c r="BR9" s="3">
        <f>SUMPRODUCT(Adds!$C$23:$BR$23,Curves!$G$16:$BV$16)</f>
        <v/>
      </c>
      <c r="BS9" s="3">
        <f>SUMPRODUCT(Adds!$C$23:$BS$23,Curves!$F$16:$BV$16)</f>
        <v/>
      </c>
      <c r="BT9" s="3">
        <f>SUMPRODUCT(Adds!$C$23:$BT$23,Curves!$E$16:$BV$16)</f>
        <v/>
      </c>
      <c r="BU9" s="3">
        <f>SUMPRODUCT(Adds!$C$23:$BU$23,Curves!$D$16:$BV$16)</f>
        <v/>
      </c>
      <c r="BV9" s="3">
        <f>SUMPRODUCT(Adds!$C$23:$BV$23,Curves!$C$16:$BV$16)</f>
        <v/>
      </c>
    </row>
    <row r="11">
      <c r="A11" t="inlineStr">
        <is>
          <t>active</t>
        </is>
      </c>
      <c r="B11" t="inlineStr">
        <is>
          <t>US_CA|BASIC_M</t>
        </is>
      </c>
      <c r="C11" s="3">
        <f>Adds!$C$34*Curves!$BV$13</f>
        <v/>
      </c>
      <c r="D11" s="3">
        <f>SUMPRODUCT(Adds!$C$34:$D$34,Curves!$BU$13:$BV$13)</f>
        <v/>
      </c>
      <c r="E11" s="3">
        <f>SUMPRODUCT(Adds!$C$34:$E$34,Curves!$BT$13:$BV$13)</f>
        <v/>
      </c>
      <c r="F11" s="3">
        <f>SUMPRODUCT(Adds!$C$34:$F$34,Curves!$BS$13:$BV$13)</f>
        <v/>
      </c>
      <c r="G11" s="3">
        <f>SUMPRODUCT(Adds!$C$34:$G$34,Curves!$BR$13:$BV$13)</f>
        <v/>
      </c>
      <c r="H11" s="3">
        <f>SUMPRODUCT(Adds!$C$34:$H$34,Curves!$BQ$13:$BV$13)</f>
        <v/>
      </c>
      <c r="I11" s="3">
        <f>SUMPRODUCT(Adds!$C$34:$I$34,Curves!$BP$13:$BV$13)</f>
        <v/>
      </c>
      <c r="J11" s="3">
        <f>SUMPRODUCT(Adds!$C$34:$J$34,Curves!$BO$13:$BV$13)</f>
        <v/>
      </c>
      <c r="K11" s="3">
        <f>SUMPRODUCT(Adds!$C$34:$K$34,Curves!$BN$13:$BV$13)</f>
        <v/>
      </c>
      <c r="L11" s="3">
        <f>SUMPRODUCT(Adds!$C$34:$L$34,Curves!$BM$13:$BV$13)</f>
        <v/>
      </c>
      <c r="M11" s="3">
        <f>SUMPRODUCT(Adds!$C$34:$M$34,Curves!$BL$13:$BV$13)</f>
        <v/>
      </c>
      <c r="N11" s="3">
        <f>SUMPRODUCT(Adds!$C$34:$N$34,Curves!$BK$13:$BV$13)</f>
        <v/>
      </c>
      <c r="O11" s="3">
        <f>SUMPRODUCT(Adds!$C$34:$O$34,Curves!$BJ$13:$BV$13)</f>
        <v/>
      </c>
      <c r="P11" s="3">
        <f>SUMPRODUCT(Adds!$C$34:$P$34,Curves!$BI$13:$BV$13)</f>
        <v/>
      </c>
      <c r="Q11" s="3">
        <f>SUMPRODUCT(Adds!$C$34:$Q$34,Curves!$BH$13:$BV$13)</f>
        <v/>
      </c>
      <c r="R11" s="3">
        <f>SUMPRODUCT(Adds!$C$34:$R$34,Curves!$BG$13:$BV$13)</f>
        <v/>
      </c>
      <c r="S11" s="3">
        <f>SUMPRODUCT(Adds!$C$34:$S$34,Curves!$BF$13:$BV$13)</f>
        <v/>
      </c>
      <c r="T11" s="3">
        <f>SUMPRODUCT(Adds!$C$34:$T$34,Curves!$BE$13:$BV$13)</f>
        <v/>
      </c>
      <c r="U11" s="3">
        <f>SUMPRODUCT(Adds!$C$34:$U$34,Curves!$BD$13:$BV$13)</f>
        <v/>
      </c>
      <c r="V11" s="3">
        <f>SUMPRODUCT(Adds!$C$34:$V$34,Curves!$BC$13:$BV$13)</f>
        <v/>
      </c>
      <c r="W11" s="3">
        <f>SUMPRODUCT(Adds!$C$34:$W$34,Curves!$BB$13:$BV$13)</f>
        <v/>
      </c>
      <c r="X11" s="3">
        <f>SUMPRODUCT(Adds!$C$34:$X$34,Curves!$BA$13:$BV$13)</f>
        <v/>
      </c>
      <c r="Y11" s="3">
        <f>SUMPRODUCT(Adds!$C$34:$Y$34,Curves!$AZ$13:$BV$13)</f>
        <v/>
      </c>
      <c r="Z11" s="3">
        <f>SUMPRODUCT(Adds!$C$34:$Z$34,Curves!$AY$13:$BV$13)</f>
        <v/>
      </c>
      <c r="AA11" s="3">
        <f>SUMPRODUCT(Adds!$C$34:$AA$34,Curves!$AX$13:$BV$13)</f>
        <v/>
      </c>
      <c r="AB11" s="3">
        <f>SUMPRODUCT(Adds!$C$34:$AB$34,Curves!$AW$13:$BV$13)</f>
        <v/>
      </c>
      <c r="AC11" s="3">
        <f>SUMPRODUCT(Adds!$C$34:$AC$34,Curves!$AV$13:$BV$13)</f>
        <v/>
      </c>
      <c r="AD11" s="3">
        <f>SUMPRODUCT(Adds!$C$34:$AD$34,Curves!$AU$13:$BV$13)</f>
        <v/>
      </c>
      <c r="AE11" s="3">
        <f>SUMPRODUCT(Adds!$C$34:$AE$34,Curves!$AT$13:$BV$13)</f>
        <v/>
      </c>
      <c r="AF11" s="3">
        <f>SUMPRODUCT(Adds!$C$34:$AF$34,Curves!$AS$13:$BV$13)</f>
        <v/>
      </c>
      <c r="AG11" s="3">
        <f>SUMPRODUCT(Adds!$C$34:$AG$34,Curves!$AR$13:$BV$13)</f>
        <v/>
      </c>
      <c r="AH11" s="3">
        <f>SUMPRODUCT(Adds!$C$34:$AH$34,Curves!$AQ$13:$BV$13)</f>
        <v/>
      </c>
      <c r="AI11" s="3">
        <f>SUMPRODUCT(Adds!$C$34:$AI$34,Curves!$AP$13:$BV$13)</f>
        <v/>
      </c>
      <c r="AJ11" s="3">
        <f>SUMPRODUCT(Adds!$C$34:$AJ$34,Curves!$AO$13:$BV$13)</f>
        <v/>
      </c>
      <c r="AK11" s="3">
        <f>SUMPRODUCT(Adds!$C$34:$AK$34,Curves!$AN$13:$BV$13)</f>
        <v/>
      </c>
      <c r="AL11" s="3">
        <f>SUMPRODUCT(Adds!$C$34:$AL$34,Curves!$AM$13:$BV$13)</f>
        <v/>
      </c>
      <c r="AM11" s="3">
        <f>SUMPRODUCT(Adds!$C$34:$AM$34,Curves!$AL$13:$BV$13)</f>
        <v/>
      </c>
      <c r="AN11" s="3">
        <f>SUMPRODUCT(Adds!$C$34:$AN$34,Curves!$AK$13:$BV$13)</f>
        <v/>
      </c>
      <c r="AO11" s="3">
        <f>SUMPRODUCT(Adds!$C$34:$AO$34,Curves!$AJ$13:$BV$13)</f>
        <v/>
      </c>
      <c r="AP11" s="3">
        <f>SUMPRODUCT(Adds!$C$34:$AP$34,Curves!$AI$13:$BV$13)</f>
        <v/>
      </c>
      <c r="AQ11" s="3">
        <f>SUMPRODUCT(Adds!$C$34:$AQ$34,Curves!$AH$13:$BV$13)</f>
        <v/>
      </c>
      <c r="AR11" s="3">
        <f>SUMPRODUCT(Adds!$C$34:$AR$34,Curves!$AG$13:$BV$13)</f>
        <v/>
      </c>
      <c r="AS11" s="3">
        <f>SUMPRODUCT(Adds!$C$34:$AS$34,Curves!$AF$13:$BV$13)</f>
        <v/>
      </c>
      <c r="AT11" s="3">
        <f>SUMPRODUCT(Adds!$C$34:$AT$34,Curves!$AE$13:$BV$13)</f>
        <v/>
      </c>
      <c r="AU11" s="3">
        <f>SUMPRODUCT(Adds!$C$34:$AU$34,Curves!$AD$13:$BV$13)</f>
        <v/>
      </c>
      <c r="AV11" s="3">
        <f>SUMPRODUCT(Adds!$C$34:$AV$34,Curves!$AC$13:$BV$13)</f>
        <v/>
      </c>
      <c r="AW11" s="3">
        <f>SUMPRODUCT(Adds!$C$34:$AW$34,Curves!$AB$13:$BV$13)</f>
        <v/>
      </c>
      <c r="AX11" s="3">
        <f>SUMPRODUCT(Adds!$C$34:$AX$34,Curves!$AA$13:$BV$13)</f>
        <v/>
      </c>
      <c r="AY11" s="3">
        <f>SUMPRODUCT(Adds!$C$34:$AY$34,Curves!$Z$13:$BV$13)</f>
        <v/>
      </c>
      <c r="AZ11" s="3">
        <f>SUMPRODUCT(Adds!$C$34:$AZ$34,Curves!$Y$13:$BV$13)</f>
        <v/>
      </c>
      <c r="BA11" s="3">
        <f>SUMPRODUCT(Adds!$C$34:$BA$34,Curves!$X$13:$BV$13)</f>
        <v/>
      </c>
      <c r="BB11" s="3">
        <f>SUMPRODUCT(Adds!$C$34:$BB$34,Curves!$W$13:$BV$13)</f>
        <v/>
      </c>
      <c r="BC11" s="3">
        <f>SUMPRODUCT(Adds!$C$34:$BC$34,Curves!$V$13:$BV$13)</f>
        <v/>
      </c>
      <c r="BD11" s="3">
        <f>SUMPRODUCT(Adds!$C$34:$BD$34,Curves!$U$13:$BV$13)</f>
        <v/>
      </c>
      <c r="BE11" s="3">
        <f>SUMPRODUCT(Adds!$C$34:$BE$34,Curves!$T$13:$BV$13)</f>
        <v/>
      </c>
      <c r="BF11" s="3">
        <f>SUMPRODUCT(Adds!$C$34:$BF$34,Curves!$S$13:$BV$13)</f>
        <v/>
      </c>
      <c r="BG11" s="3">
        <f>SUMPRODUCT(Adds!$C$34:$BG$34,Curves!$R$13:$BV$13)</f>
        <v/>
      </c>
      <c r="BH11" s="3">
        <f>SUMPRODUCT(Adds!$C$34:$BH$34,Curves!$Q$13:$BV$13)</f>
        <v/>
      </c>
      <c r="BI11" s="3">
        <f>SUMPRODUCT(Adds!$C$34:$BI$34,Curves!$P$13:$BV$13)</f>
        <v/>
      </c>
      <c r="BJ11" s="3">
        <f>SUMPRODUCT(Adds!$C$34:$BJ$34,Curves!$O$13:$BV$13)</f>
        <v/>
      </c>
      <c r="BK11" s="3">
        <f>SUMPRODUCT(Adds!$C$34:$BK$34,Curves!$N$13:$BV$13)</f>
        <v/>
      </c>
      <c r="BL11" s="3">
        <f>SUMPRODUCT(Adds!$C$34:$BL$34,Curves!$M$13:$BV$13)</f>
        <v/>
      </c>
      <c r="BM11" s="3">
        <f>SUMPRODUCT(Adds!$C$34:$BM$34,Curves!$L$13:$BV$13)</f>
        <v/>
      </c>
      <c r="BN11" s="3">
        <f>SUMPRODUCT(Adds!$C$34:$BN$34,Curves!$K$13:$BV$13)</f>
        <v/>
      </c>
      <c r="BO11" s="3">
        <f>SUMPRODUCT(Adds!$C$34:$BO$34,Curves!$J$13:$BV$13)</f>
        <v/>
      </c>
      <c r="BP11" s="3">
        <f>SUMPRODUCT(Adds!$C$34:$BP$34,Curves!$I$13:$BV$13)</f>
        <v/>
      </c>
      <c r="BQ11" s="3">
        <f>SUMPRODUCT(Adds!$C$34:$BQ$34,Curves!$H$13:$BV$13)</f>
        <v/>
      </c>
      <c r="BR11" s="3">
        <f>SUMPRODUCT(Adds!$C$34:$BR$34,Curves!$G$13:$BV$13)</f>
        <v/>
      </c>
      <c r="BS11" s="3">
        <f>SUMPRODUCT(Adds!$C$34:$BS$34,Curves!$F$13:$BV$13)</f>
        <v/>
      </c>
      <c r="BT11" s="3">
        <f>SUMPRODUCT(Adds!$C$34:$BT$34,Curves!$E$13:$BV$13)</f>
        <v/>
      </c>
      <c r="BU11" s="3">
        <f>SUMPRODUCT(Adds!$C$34:$BU$34,Curves!$D$13:$BV$13)</f>
        <v/>
      </c>
      <c r="BV11" s="3">
        <f>SUMPRODUCT(Adds!$C$34:$BV$34,Curves!$C$13:$BV$13)</f>
        <v/>
      </c>
    </row>
    <row r="12">
      <c r="A12" t="inlineStr">
        <is>
          <t>active yr 1</t>
        </is>
      </c>
      <c r="B12" t="inlineStr">
        <is>
          <t>US_CA|BASIC_M</t>
        </is>
      </c>
      <c r="C12" s="3">
        <f>Adds!$C$34*Curves!$BV$20</f>
        <v/>
      </c>
      <c r="D12" s="3">
        <f>SUMPRODUCT(Adds!$C$34:$D$34,Curves!$BU$20:$BV$20)</f>
        <v/>
      </c>
      <c r="E12" s="3">
        <f>SUMPRODUCT(Adds!$C$34:$E$34,Curves!$BT$20:$BV$20)</f>
        <v/>
      </c>
      <c r="F12" s="3">
        <f>SUMPRODUCT(Adds!$C$34:$F$34,Curves!$BS$20:$BV$20)</f>
        <v/>
      </c>
      <c r="G12" s="3">
        <f>SUMPRODUCT(Adds!$C$34:$G$34,Curves!$BR$20:$BV$20)</f>
        <v/>
      </c>
      <c r="H12" s="3">
        <f>SUMPRODUCT(Adds!$C$34:$H$34,Curves!$BQ$20:$BV$20)</f>
        <v/>
      </c>
      <c r="I12" s="3">
        <f>SUMPRODUCT(Adds!$C$34:$I$34,Curves!$BP$20:$BV$20)</f>
        <v/>
      </c>
      <c r="J12" s="3">
        <f>SUMPRODUCT(Adds!$C$34:$J$34,Curves!$BO$20:$BV$20)</f>
        <v/>
      </c>
      <c r="K12" s="3">
        <f>SUMPRODUCT(Adds!$C$34:$K$34,Curves!$BN$20:$BV$20)</f>
        <v/>
      </c>
      <c r="L12" s="3">
        <f>SUMPRODUCT(Adds!$C$34:$L$34,Curves!$BM$20:$BV$20)</f>
        <v/>
      </c>
      <c r="M12" s="3">
        <f>SUMPRODUCT(Adds!$C$34:$M$34,Curves!$BL$20:$BV$20)</f>
        <v/>
      </c>
      <c r="N12" s="3">
        <f>SUMPRODUCT(Adds!$C$34:$N$34,Curves!$BK$20:$BV$20)</f>
        <v/>
      </c>
      <c r="O12" s="3">
        <f>SUMPRODUCT(Adds!$C$34:$O$34,Curves!$BJ$20:$BV$20)</f>
        <v/>
      </c>
      <c r="P12" s="3">
        <f>SUMPRODUCT(Adds!$C$34:$P$34,Curves!$BI$20:$BV$20)</f>
        <v/>
      </c>
      <c r="Q12" s="3">
        <f>SUMPRODUCT(Adds!$C$34:$Q$34,Curves!$BH$20:$BV$20)</f>
        <v/>
      </c>
      <c r="R12" s="3">
        <f>SUMPRODUCT(Adds!$C$34:$R$34,Curves!$BG$20:$BV$20)</f>
        <v/>
      </c>
      <c r="S12" s="3">
        <f>SUMPRODUCT(Adds!$C$34:$S$34,Curves!$BF$20:$BV$20)</f>
        <v/>
      </c>
      <c r="T12" s="3">
        <f>SUMPRODUCT(Adds!$C$34:$T$34,Curves!$BE$20:$BV$20)</f>
        <v/>
      </c>
      <c r="U12" s="3">
        <f>SUMPRODUCT(Adds!$C$34:$U$34,Curves!$BD$20:$BV$20)</f>
        <v/>
      </c>
      <c r="V12" s="3">
        <f>SUMPRODUCT(Adds!$C$34:$V$34,Curves!$BC$20:$BV$20)</f>
        <v/>
      </c>
      <c r="W12" s="3">
        <f>SUMPRODUCT(Adds!$C$34:$W$34,Curves!$BB$20:$BV$20)</f>
        <v/>
      </c>
      <c r="X12" s="3">
        <f>SUMPRODUCT(Adds!$C$34:$X$34,Curves!$BA$20:$BV$20)</f>
        <v/>
      </c>
      <c r="Y12" s="3">
        <f>SUMPRODUCT(Adds!$C$34:$Y$34,Curves!$AZ$20:$BV$20)</f>
        <v/>
      </c>
      <c r="Z12" s="3">
        <f>SUMPRODUCT(Adds!$C$34:$Z$34,Curves!$AY$20:$BV$20)</f>
        <v/>
      </c>
      <c r="AA12" s="3">
        <f>SUMPRODUCT(Adds!$C$34:$AA$34,Curves!$AX$20:$BV$20)</f>
        <v/>
      </c>
      <c r="AB12" s="3">
        <f>SUMPRODUCT(Adds!$C$34:$AB$34,Curves!$AW$20:$BV$20)</f>
        <v/>
      </c>
      <c r="AC12" s="3">
        <f>SUMPRODUCT(Adds!$C$34:$AC$34,Curves!$AV$20:$BV$20)</f>
        <v/>
      </c>
      <c r="AD12" s="3">
        <f>SUMPRODUCT(Adds!$C$34:$AD$34,Curves!$AU$20:$BV$20)</f>
        <v/>
      </c>
      <c r="AE12" s="3">
        <f>SUMPRODUCT(Adds!$C$34:$AE$34,Curves!$AT$20:$BV$20)</f>
        <v/>
      </c>
      <c r="AF12" s="3">
        <f>SUMPRODUCT(Adds!$C$34:$AF$34,Curves!$AS$20:$BV$20)</f>
        <v/>
      </c>
      <c r="AG12" s="3">
        <f>SUMPRODUCT(Adds!$C$34:$AG$34,Curves!$AR$20:$BV$20)</f>
        <v/>
      </c>
      <c r="AH12" s="3">
        <f>SUMPRODUCT(Adds!$C$34:$AH$34,Curves!$AQ$20:$BV$20)</f>
        <v/>
      </c>
      <c r="AI12" s="3">
        <f>SUMPRODUCT(Adds!$C$34:$AI$34,Curves!$AP$20:$BV$20)</f>
        <v/>
      </c>
      <c r="AJ12" s="3">
        <f>SUMPRODUCT(Adds!$C$34:$AJ$34,Curves!$AO$20:$BV$20)</f>
        <v/>
      </c>
      <c r="AK12" s="3">
        <f>SUMPRODUCT(Adds!$C$34:$AK$34,Curves!$AN$20:$BV$20)</f>
        <v/>
      </c>
      <c r="AL12" s="3">
        <f>SUMPRODUCT(Adds!$C$34:$AL$34,Curves!$AM$20:$BV$20)</f>
        <v/>
      </c>
      <c r="AM12" s="3">
        <f>SUMPRODUCT(Adds!$C$34:$AM$34,Curves!$AL$20:$BV$20)</f>
        <v/>
      </c>
      <c r="AN12" s="3">
        <f>SUMPRODUCT(Adds!$C$34:$AN$34,Curves!$AK$20:$BV$20)</f>
        <v/>
      </c>
      <c r="AO12" s="3">
        <f>SUMPRODUCT(Adds!$C$34:$AO$34,Curves!$AJ$20:$BV$20)</f>
        <v/>
      </c>
      <c r="AP12" s="3">
        <f>SUMPRODUCT(Adds!$C$34:$AP$34,Curves!$AI$20:$BV$20)</f>
        <v/>
      </c>
      <c r="AQ12" s="3">
        <f>SUMPRODUCT(Adds!$C$34:$AQ$34,Curves!$AH$20:$BV$20)</f>
        <v/>
      </c>
      <c r="AR12" s="3">
        <f>SUMPRODUCT(Adds!$C$34:$AR$34,Curves!$AG$20:$BV$20)</f>
        <v/>
      </c>
      <c r="AS12" s="3">
        <f>SUMPRODUCT(Adds!$C$34:$AS$34,Curves!$AF$20:$BV$20)</f>
        <v/>
      </c>
      <c r="AT12" s="3">
        <f>SUMPRODUCT(Adds!$C$34:$AT$34,Curves!$AE$20:$BV$20)</f>
        <v/>
      </c>
      <c r="AU12" s="3">
        <f>SUMPRODUCT(Adds!$C$34:$AU$34,Curves!$AD$20:$BV$20)</f>
        <v/>
      </c>
      <c r="AV12" s="3">
        <f>SUMPRODUCT(Adds!$C$34:$AV$34,Curves!$AC$20:$BV$20)</f>
        <v/>
      </c>
      <c r="AW12" s="3">
        <f>SUMPRODUCT(Adds!$C$34:$AW$34,Curves!$AB$20:$BV$20)</f>
        <v/>
      </c>
      <c r="AX12" s="3">
        <f>SUMPRODUCT(Adds!$C$34:$AX$34,Curves!$AA$20:$BV$20)</f>
        <v/>
      </c>
      <c r="AY12" s="3">
        <f>SUMPRODUCT(Adds!$C$34:$AY$34,Curves!$Z$20:$BV$20)</f>
        <v/>
      </c>
      <c r="AZ12" s="3">
        <f>SUMPRODUCT(Adds!$C$34:$AZ$34,Curves!$Y$20:$BV$20)</f>
        <v/>
      </c>
      <c r="BA12" s="3">
        <f>SUMPRODUCT(Adds!$C$34:$BA$34,Curves!$X$20:$BV$20)</f>
        <v/>
      </c>
      <c r="BB12" s="3">
        <f>SUMPRODUCT(Adds!$C$34:$BB$34,Curves!$W$20:$BV$20)</f>
        <v/>
      </c>
      <c r="BC12" s="3">
        <f>SUMPRODUCT(Adds!$C$34:$BC$34,Curves!$V$20:$BV$20)</f>
        <v/>
      </c>
      <c r="BD12" s="3">
        <f>SUMPRODUCT(Adds!$C$34:$BD$34,Curves!$U$20:$BV$20)</f>
        <v/>
      </c>
      <c r="BE12" s="3">
        <f>SUMPRODUCT(Adds!$C$34:$BE$34,Curves!$T$20:$BV$20)</f>
        <v/>
      </c>
      <c r="BF12" s="3">
        <f>SUMPRODUCT(Adds!$C$34:$BF$34,Curves!$S$20:$BV$20)</f>
        <v/>
      </c>
      <c r="BG12" s="3">
        <f>SUMPRODUCT(Adds!$C$34:$BG$34,Curves!$R$20:$BV$20)</f>
        <v/>
      </c>
      <c r="BH12" s="3">
        <f>SUMPRODUCT(Adds!$C$34:$BH$34,Curves!$Q$20:$BV$20)</f>
        <v/>
      </c>
      <c r="BI12" s="3">
        <f>SUMPRODUCT(Adds!$C$34:$BI$34,Curves!$P$20:$BV$20)</f>
        <v/>
      </c>
      <c r="BJ12" s="3">
        <f>SUMPRODUCT(Adds!$C$34:$BJ$34,Curves!$O$20:$BV$20)</f>
        <v/>
      </c>
      <c r="BK12" s="3">
        <f>SUMPRODUCT(Adds!$C$34:$BK$34,Curves!$N$20:$BV$20)</f>
        <v/>
      </c>
      <c r="BL12" s="3">
        <f>SUMPRODUCT(Adds!$C$34:$BL$34,Curves!$M$20:$BV$20)</f>
        <v/>
      </c>
      <c r="BM12" s="3">
        <f>SUMPRODUCT(Adds!$C$34:$BM$34,Curves!$L$20:$BV$20)</f>
        <v/>
      </c>
      <c r="BN12" s="3">
        <f>SUMPRODUCT(Adds!$C$34:$BN$34,Curves!$K$20:$BV$20)</f>
        <v/>
      </c>
      <c r="BO12" s="3">
        <f>SUMPRODUCT(Adds!$C$34:$BO$34,Curves!$J$20:$BV$20)</f>
        <v/>
      </c>
      <c r="BP12" s="3">
        <f>SUMPRODUCT(Adds!$C$34:$BP$34,Curves!$I$20:$BV$20)</f>
        <v/>
      </c>
      <c r="BQ12" s="3">
        <f>SUMPRODUCT(Adds!$C$34:$BQ$34,Curves!$H$20:$BV$20)</f>
        <v/>
      </c>
      <c r="BR12" s="3">
        <f>SUMPRODUCT(Adds!$C$34:$BR$34,Curves!$G$20:$BV$20)</f>
        <v/>
      </c>
      <c r="BS12" s="3">
        <f>SUMPRODUCT(Adds!$C$34:$BS$34,Curves!$F$20:$BV$20)</f>
        <v/>
      </c>
      <c r="BT12" s="3">
        <f>SUMPRODUCT(Adds!$C$34:$BT$34,Curves!$E$20:$BV$20)</f>
        <v/>
      </c>
      <c r="BU12" s="3">
        <f>SUMPRODUCT(Adds!$C$34:$BU$34,Curves!$D$20:$BV$20)</f>
        <v/>
      </c>
      <c r="BV12" s="3">
        <f>SUMPRODUCT(Adds!$C$34:$BV$34,Curves!$C$20:$BV$20)</f>
        <v/>
      </c>
    </row>
    <row r="13">
      <c r="A13" t="inlineStr">
        <is>
          <t>churned</t>
        </is>
      </c>
      <c r="B13" t="inlineStr">
        <is>
          <t>US_CA|BASIC_M</t>
        </is>
      </c>
      <c r="C13" s="3">
        <f>Adds!$C$34*Curves!$BV$15</f>
        <v/>
      </c>
      <c r="D13" s="3">
        <f>SUMPRODUCT(Adds!$C$34:$D$34,Curves!$BU$15:$BV$15)</f>
        <v/>
      </c>
      <c r="E13" s="3">
        <f>SUMPRODUCT(Adds!$C$34:$E$34,Curves!$BT$15:$BV$15)</f>
        <v/>
      </c>
      <c r="F13" s="3">
        <f>SUMPRODUCT(Adds!$C$34:$F$34,Curves!$BS$15:$BV$15)</f>
        <v/>
      </c>
      <c r="G13" s="3">
        <f>SUMPRODUCT(Adds!$C$34:$G$34,Curves!$BR$15:$BV$15)</f>
        <v/>
      </c>
      <c r="H13" s="3">
        <f>SUMPRODUCT(Adds!$C$34:$H$34,Curves!$BQ$15:$BV$15)</f>
        <v/>
      </c>
      <c r="I13" s="3">
        <f>SUMPRODUCT(Adds!$C$34:$I$34,Curves!$BP$15:$BV$15)</f>
        <v/>
      </c>
      <c r="J13" s="3">
        <f>SUMPRODUCT(Adds!$C$34:$J$34,Curves!$BO$15:$BV$15)</f>
        <v/>
      </c>
      <c r="K13" s="3">
        <f>SUMPRODUCT(Adds!$C$34:$K$34,Curves!$BN$15:$BV$15)</f>
        <v/>
      </c>
      <c r="L13" s="3">
        <f>SUMPRODUCT(Adds!$C$34:$L$34,Curves!$BM$15:$BV$15)</f>
        <v/>
      </c>
      <c r="M13" s="3">
        <f>SUMPRODUCT(Adds!$C$34:$M$34,Curves!$BL$15:$BV$15)</f>
        <v/>
      </c>
      <c r="N13" s="3">
        <f>SUMPRODUCT(Adds!$C$34:$N$34,Curves!$BK$15:$BV$15)</f>
        <v/>
      </c>
      <c r="O13" s="3">
        <f>SUMPRODUCT(Adds!$C$34:$O$34,Curves!$BJ$15:$BV$15)</f>
        <v/>
      </c>
      <c r="P13" s="3">
        <f>SUMPRODUCT(Adds!$C$34:$P$34,Curves!$BI$15:$BV$15)</f>
        <v/>
      </c>
      <c r="Q13" s="3">
        <f>SUMPRODUCT(Adds!$C$34:$Q$34,Curves!$BH$15:$BV$15)</f>
        <v/>
      </c>
      <c r="R13" s="3">
        <f>SUMPRODUCT(Adds!$C$34:$R$34,Curves!$BG$15:$BV$15)</f>
        <v/>
      </c>
      <c r="S13" s="3">
        <f>SUMPRODUCT(Adds!$C$34:$S$34,Curves!$BF$15:$BV$15)</f>
        <v/>
      </c>
      <c r="T13" s="3">
        <f>SUMPRODUCT(Adds!$C$34:$T$34,Curves!$BE$15:$BV$15)</f>
        <v/>
      </c>
      <c r="U13" s="3">
        <f>SUMPRODUCT(Adds!$C$34:$U$34,Curves!$BD$15:$BV$15)</f>
        <v/>
      </c>
      <c r="V13" s="3">
        <f>SUMPRODUCT(Adds!$C$34:$V$34,Curves!$BC$15:$BV$15)</f>
        <v/>
      </c>
      <c r="W13" s="3">
        <f>SUMPRODUCT(Adds!$C$34:$W$34,Curves!$BB$15:$BV$15)</f>
        <v/>
      </c>
      <c r="X13" s="3">
        <f>SUMPRODUCT(Adds!$C$34:$X$34,Curves!$BA$15:$BV$15)</f>
        <v/>
      </c>
      <c r="Y13" s="3">
        <f>SUMPRODUCT(Adds!$C$34:$Y$34,Curves!$AZ$15:$BV$15)</f>
        <v/>
      </c>
      <c r="Z13" s="3">
        <f>SUMPRODUCT(Adds!$C$34:$Z$34,Curves!$AY$15:$BV$15)</f>
        <v/>
      </c>
      <c r="AA13" s="3">
        <f>SUMPRODUCT(Adds!$C$34:$AA$34,Curves!$AX$15:$BV$15)</f>
        <v/>
      </c>
      <c r="AB13" s="3">
        <f>SUMPRODUCT(Adds!$C$34:$AB$34,Curves!$AW$15:$BV$15)</f>
        <v/>
      </c>
      <c r="AC13" s="3">
        <f>SUMPRODUCT(Adds!$C$34:$AC$34,Curves!$AV$15:$BV$15)</f>
        <v/>
      </c>
      <c r="AD13" s="3">
        <f>SUMPRODUCT(Adds!$C$34:$AD$34,Curves!$AU$15:$BV$15)</f>
        <v/>
      </c>
      <c r="AE13" s="3">
        <f>SUMPRODUCT(Adds!$C$34:$AE$34,Curves!$AT$15:$BV$15)</f>
        <v/>
      </c>
      <c r="AF13" s="3">
        <f>SUMPRODUCT(Adds!$C$34:$AF$34,Curves!$AS$15:$BV$15)</f>
        <v/>
      </c>
      <c r="AG13" s="3">
        <f>SUMPRODUCT(Adds!$C$34:$AG$34,Curves!$AR$15:$BV$15)</f>
        <v/>
      </c>
      <c r="AH13" s="3">
        <f>SUMPRODUCT(Adds!$C$34:$AH$34,Curves!$AQ$15:$BV$15)</f>
        <v/>
      </c>
      <c r="AI13" s="3">
        <f>SUMPRODUCT(Adds!$C$34:$AI$34,Curves!$AP$15:$BV$15)</f>
        <v/>
      </c>
      <c r="AJ13" s="3">
        <f>SUMPRODUCT(Adds!$C$34:$AJ$34,Curves!$AO$15:$BV$15)</f>
        <v/>
      </c>
      <c r="AK13" s="3">
        <f>SUMPRODUCT(Adds!$C$34:$AK$34,Curves!$AN$15:$BV$15)</f>
        <v/>
      </c>
      <c r="AL13" s="3">
        <f>SUMPRODUCT(Adds!$C$34:$AL$34,Curves!$AM$15:$BV$15)</f>
        <v/>
      </c>
      <c r="AM13" s="3">
        <f>SUMPRODUCT(Adds!$C$34:$AM$34,Curves!$AL$15:$BV$15)</f>
        <v/>
      </c>
      <c r="AN13" s="3">
        <f>SUMPRODUCT(Adds!$C$34:$AN$34,Curves!$AK$15:$BV$15)</f>
        <v/>
      </c>
      <c r="AO13" s="3">
        <f>SUMPRODUCT(Adds!$C$34:$AO$34,Curves!$AJ$15:$BV$15)</f>
        <v/>
      </c>
      <c r="AP13" s="3">
        <f>SUMPRODUCT(Adds!$C$34:$AP$34,Curves!$AI$15:$BV$15)</f>
        <v/>
      </c>
      <c r="AQ13" s="3">
        <f>SUMPRODUCT(Adds!$C$34:$AQ$34,Curves!$AH$15:$BV$15)</f>
        <v/>
      </c>
      <c r="AR13" s="3">
        <f>SUMPRODUCT(Adds!$C$34:$AR$34,Curves!$AG$15:$BV$15)</f>
        <v/>
      </c>
      <c r="AS13" s="3">
        <f>SUMPRODUCT(Adds!$C$34:$AS$34,Curves!$AF$15:$BV$15)</f>
        <v/>
      </c>
      <c r="AT13" s="3">
        <f>SUMPRODUCT(Adds!$C$34:$AT$34,Curves!$AE$15:$BV$15)</f>
        <v/>
      </c>
      <c r="AU13" s="3">
        <f>SUMPRODUCT(Adds!$C$34:$AU$34,Curves!$AD$15:$BV$15)</f>
        <v/>
      </c>
      <c r="AV13" s="3">
        <f>SUMPRODUCT(Adds!$C$34:$AV$34,Curves!$AC$15:$BV$15)</f>
        <v/>
      </c>
      <c r="AW13" s="3">
        <f>SUMPRODUCT(Adds!$C$34:$AW$34,Curves!$AB$15:$BV$15)</f>
        <v/>
      </c>
      <c r="AX13" s="3">
        <f>SUMPRODUCT(Adds!$C$34:$AX$34,Curves!$AA$15:$BV$15)</f>
        <v/>
      </c>
      <c r="AY13" s="3">
        <f>SUMPRODUCT(Adds!$C$34:$AY$34,Curves!$Z$15:$BV$15)</f>
        <v/>
      </c>
      <c r="AZ13" s="3">
        <f>SUMPRODUCT(Adds!$C$34:$AZ$34,Curves!$Y$15:$BV$15)</f>
        <v/>
      </c>
      <c r="BA13" s="3">
        <f>SUMPRODUCT(Adds!$C$34:$BA$34,Curves!$X$15:$BV$15)</f>
        <v/>
      </c>
      <c r="BB13" s="3">
        <f>SUMPRODUCT(Adds!$C$34:$BB$34,Curves!$W$15:$BV$15)</f>
        <v/>
      </c>
      <c r="BC13" s="3">
        <f>SUMPRODUCT(Adds!$C$34:$BC$34,Curves!$V$15:$BV$15)</f>
        <v/>
      </c>
      <c r="BD13" s="3">
        <f>SUMPRODUCT(Adds!$C$34:$BD$34,Curves!$U$15:$BV$15)</f>
        <v/>
      </c>
      <c r="BE13" s="3">
        <f>SUMPRODUCT(Adds!$C$34:$BE$34,Curves!$T$15:$BV$15)</f>
        <v/>
      </c>
      <c r="BF13" s="3">
        <f>SUMPRODUCT(Adds!$C$34:$BF$34,Curves!$S$15:$BV$15)</f>
        <v/>
      </c>
      <c r="BG13" s="3">
        <f>SUMPRODUCT(Adds!$C$34:$BG$34,Curves!$R$15:$BV$15)</f>
        <v/>
      </c>
      <c r="BH13" s="3">
        <f>SUMPRODUCT(Adds!$C$34:$BH$34,Curves!$Q$15:$BV$15)</f>
        <v/>
      </c>
      <c r="BI13" s="3">
        <f>SUMPRODUCT(Adds!$C$34:$BI$34,Curves!$P$15:$BV$15)</f>
        <v/>
      </c>
      <c r="BJ13" s="3">
        <f>SUMPRODUCT(Adds!$C$34:$BJ$34,Curves!$O$15:$BV$15)</f>
        <v/>
      </c>
      <c r="BK13" s="3">
        <f>SUMPRODUCT(Adds!$C$34:$BK$34,Curves!$N$15:$BV$15)</f>
        <v/>
      </c>
      <c r="BL13" s="3">
        <f>SUMPRODUCT(Adds!$C$34:$BL$34,Curves!$M$15:$BV$15)</f>
        <v/>
      </c>
      <c r="BM13" s="3">
        <f>SUMPRODUCT(Adds!$C$34:$BM$34,Curves!$L$15:$BV$15)</f>
        <v/>
      </c>
      <c r="BN13" s="3">
        <f>SUMPRODUCT(Adds!$C$34:$BN$34,Curves!$K$15:$BV$15)</f>
        <v/>
      </c>
      <c r="BO13" s="3">
        <f>SUMPRODUCT(Adds!$C$34:$BO$34,Curves!$J$15:$BV$15)</f>
        <v/>
      </c>
      <c r="BP13" s="3">
        <f>SUMPRODUCT(Adds!$C$34:$BP$34,Curves!$I$15:$BV$15)</f>
        <v/>
      </c>
      <c r="BQ13" s="3">
        <f>SUMPRODUCT(Adds!$C$34:$BQ$34,Curves!$H$15:$BV$15)</f>
        <v/>
      </c>
      <c r="BR13" s="3">
        <f>SUMPRODUCT(Adds!$C$34:$BR$34,Curves!$G$15:$BV$15)</f>
        <v/>
      </c>
      <c r="BS13" s="3">
        <f>SUMPRODUCT(Adds!$C$34:$BS$34,Curves!$F$15:$BV$15)</f>
        <v/>
      </c>
      <c r="BT13" s="3">
        <f>SUMPRODUCT(Adds!$C$34:$BT$34,Curves!$E$15:$BV$15)</f>
        <v/>
      </c>
      <c r="BU13" s="3">
        <f>SUMPRODUCT(Adds!$C$34:$BU$34,Curves!$D$15:$BV$15)</f>
        <v/>
      </c>
      <c r="BV13" s="3">
        <f>SUMPRODUCT(Adds!$C$34:$BV$34,Curves!$C$15:$BV$15)</f>
        <v/>
      </c>
    </row>
    <row r="15">
      <c r="A15" t="inlineStr">
        <is>
          <t>active</t>
        </is>
      </c>
      <c r="B15" t="inlineStr">
        <is>
          <t>US_CA|BASIC_A</t>
        </is>
      </c>
      <c r="C15" s="3">
        <f>Adds!$C$45*Curves!$BV$14</f>
        <v/>
      </c>
      <c r="D15" s="3">
        <f>SUMPRODUCT(Adds!$C$45:$D$45,Curves!$BU$14:$BV$14)</f>
        <v/>
      </c>
      <c r="E15" s="3">
        <f>SUMPRODUCT(Adds!$C$45:$E$45,Curves!$BT$14:$BV$14)</f>
        <v/>
      </c>
      <c r="F15" s="3">
        <f>SUMPRODUCT(Adds!$C$45:$F$45,Curves!$BS$14:$BV$14)</f>
        <v/>
      </c>
      <c r="G15" s="3">
        <f>SUMPRODUCT(Adds!$C$45:$G$45,Curves!$BR$14:$BV$14)</f>
        <v/>
      </c>
      <c r="H15" s="3">
        <f>SUMPRODUCT(Adds!$C$45:$H$45,Curves!$BQ$14:$BV$14)</f>
        <v/>
      </c>
      <c r="I15" s="3">
        <f>SUMPRODUCT(Adds!$C$45:$I$45,Curves!$BP$14:$BV$14)</f>
        <v/>
      </c>
      <c r="J15" s="3">
        <f>SUMPRODUCT(Adds!$C$45:$J$45,Curves!$BO$14:$BV$14)</f>
        <v/>
      </c>
      <c r="K15" s="3">
        <f>SUMPRODUCT(Adds!$C$45:$K$45,Curves!$BN$14:$BV$14)</f>
        <v/>
      </c>
      <c r="L15" s="3">
        <f>SUMPRODUCT(Adds!$C$45:$L$45,Curves!$BM$14:$BV$14)</f>
        <v/>
      </c>
      <c r="M15" s="3">
        <f>SUMPRODUCT(Adds!$C$45:$M$45,Curves!$BL$14:$BV$14)</f>
        <v/>
      </c>
      <c r="N15" s="3">
        <f>SUMPRODUCT(Adds!$C$45:$N$45,Curves!$BK$14:$BV$14)</f>
        <v/>
      </c>
      <c r="O15" s="3">
        <f>SUMPRODUCT(Adds!$C$45:$O$45,Curves!$BJ$14:$BV$14)</f>
        <v/>
      </c>
      <c r="P15" s="3">
        <f>SUMPRODUCT(Adds!$C$45:$P$45,Curves!$BI$14:$BV$14)</f>
        <v/>
      </c>
      <c r="Q15" s="3">
        <f>SUMPRODUCT(Adds!$C$45:$Q$45,Curves!$BH$14:$BV$14)</f>
        <v/>
      </c>
      <c r="R15" s="3">
        <f>SUMPRODUCT(Adds!$C$45:$R$45,Curves!$BG$14:$BV$14)</f>
        <v/>
      </c>
      <c r="S15" s="3">
        <f>SUMPRODUCT(Adds!$C$45:$S$45,Curves!$BF$14:$BV$14)</f>
        <v/>
      </c>
      <c r="T15" s="3">
        <f>SUMPRODUCT(Adds!$C$45:$T$45,Curves!$BE$14:$BV$14)</f>
        <v/>
      </c>
      <c r="U15" s="3">
        <f>SUMPRODUCT(Adds!$C$45:$U$45,Curves!$BD$14:$BV$14)</f>
        <v/>
      </c>
      <c r="V15" s="3">
        <f>SUMPRODUCT(Adds!$C$45:$V$45,Curves!$BC$14:$BV$14)</f>
        <v/>
      </c>
      <c r="W15" s="3">
        <f>SUMPRODUCT(Adds!$C$45:$W$45,Curves!$BB$14:$BV$14)</f>
        <v/>
      </c>
      <c r="X15" s="3">
        <f>SUMPRODUCT(Adds!$C$45:$X$45,Curves!$BA$14:$BV$14)</f>
        <v/>
      </c>
      <c r="Y15" s="3">
        <f>SUMPRODUCT(Adds!$C$45:$Y$45,Curves!$AZ$14:$BV$14)</f>
        <v/>
      </c>
      <c r="Z15" s="3">
        <f>SUMPRODUCT(Adds!$C$45:$Z$45,Curves!$AY$14:$BV$14)</f>
        <v/>
      </c>
      <c r="AA15" s="3">
        <f>SUMPRODUCT(Adds!$C$45:$AA$45,Curves!$AX$14:$BV$14)</f>
        <v/>
      </c>
      <c r="AB15" s="3">
        <f>SUMPRODUCT(Adds!$C$45:$AB$45,Curves!$AW$14:$BV$14)</f>
        <v/>
      </c>
      <c r="AC15" s="3">
        <f>SUMPRODUCT(Adds!$C$45:$AC$45,Curves!$AV$14:$BV$14)</f>
        <v/>
      </c>
      <c r="AD15" s="3">
        <f>SUMPRODUCT(Adds!$C$45:$AD$45,Curves!$AU$14:$BV$14)</f>
        <v/>
      </c>
      <c r="AE15" s="3">
        <f>SUMPRODUCT(Adds!$C$45:$AE$45,Curves!$AT$14:$BV$14)</f>
        <v/>
      </c>
      <c r="AF15" s="3">
        <f>SUMPRODUCT(Adds!$C$45:$AF$45,Curves!$AS$14:$BV$14)</f>
        <v/>
      </c>
      <c r="AG15" s="3">
        <f>SUMPRODUCT(Adds!$C$45:$AG$45,Curves!$AR$14:$BV$14)</f>
        <v/>
      </c>
      <c r="AH15" s="3">
        <f>SUMPRODUCT(Adds!$C$45:$AH$45,Curves!$AQ$14:$BV$14)</f>
        <v/>
      </c>
      <c r="AI15" s="3">
        <f>SUMPRODUCT(Adds!$C$45:$AI$45,Curves!$AP$14:$BV$14)</f>
        <v/>
      </c>
      <c r="AJ15" s="3">
        <f>SUMPRODUCT(Adds!$C$45:$AJ$45,Curves!$AO$14:$BV$14)</f>
        <v/>
      </c>
      <c r="AK15" s="3">
        <f>SUMPRODUCT(Adds!$C$45:$AK$45,Curves!$AN$14:$BV$14)</f>
        <v/>
      </c>
      <c r="AL15" s="3">
        <f>SUMPRODUCT(Adds!$C$45:$AL$45,Curves!$AM$14:$BV$14)</f>
        <v/>
      </c>
      <c r="AM15" s="3">
        <f>SUMPRODUCT(Adds!$C$45:$AM$45,Curves!$AL$14:$BV$14)</f>
        <v/>
      </c>
      <c r="AN15" s="3">
        <f>SUMPRODUCT(Adds!$C$45:$AN$45,Curves!$AK$14:$BV$14)</f>
        <v/>
      </c>
      <c r="AO15" s="3">
        <f>SUMPRODUCT(Adds!$C$45:$AO$45,Curves!$AJ$14:$BV$14)</f>
        <v/>
      </c>
      <c r="AP15" s="3">
        <f>SUMPRODUCT(Adds!$C$45:$AP$45,Curves!$AI$14:$BV$14)</f>
        <v/>
      </c>
      <c r="AQ15" s="3">
        <f>SUMPRODUCT(Adds!$C$45:$AQ$45,Curves!$AH$14:$BV$14)</f>
        <v/>
      </c>
      <c r="AR15" s="3">
        <f>SUMPRODUCT(Adds!$C$45:$AR$45,Curves!$AG$14:$BV$14)</f>
        <v/>
      </c>
      <c r="AS15" s="3">
        <f>SUMPRODUCT(Adds!$C$45:$AS$45,Curves!$AF$14:$BV$14)</f>
        <v/>
      </c>
      <c r="AT15" s="3">
        <f>SUMPRODUCT(Adds!$C$45:$AT$45,Curves!$AE$14:$BV$14)</f>
        <v/>
      </c>
      <c r="AU15" s="3">
        <f>SUMPRODUCT(Adds!$C$45:$AU$45,Curves!$AD$14:$BV$14)</f>
        <v/>
      </c>
      <c r="AV15" s="3">
        <f>SUMPRODUCT(Adds!$C$45:$AV$45,Curves!$AC$14:$BV$14)</f>
        <v/>
      </c>
      <c r="AW15" s="3">
        <f>SUMPRODUCT(Adds!$C$45:$AW$45,Curves!$AB$14:$BV$14)</f>
        <v/>
      </c>
      <c r="AX15" s="3">
        <f>SUMPRODUCT(Adds!$C$45:$AX$45,Curves!$AA$14:$BV$14)</f>
        <v/>
      </c>
      <c r="AY15" s="3">
        <f>SUMPRODUCT(Adds!$C$45:$AY$45,Curves!$Z$14:$BV$14)</f>
        <v/>
      </c>
      <c r="AZ15" s="3">
        <f>SUMPRODUCT(Adds!$C$45:$AZ$45,Curves!$Y$14:$BV$14)</f>
        <v/>
      </c>
      <c r="BA15" s="3">
        <f>SUMPRODUCT(Adds!$C$45:$BA$45,Curves!$X$14:$BV$14)</f>
        <v/>
      </c>
      <c r="BB15" s="3">
        <f>SUMPRODUCT(Adds!$C$45:$BB$45,Curves!$W$14:$BV$14)</f>
        <v/>
      </c>
      <c r="BC15" s="3">
        <f>SUMPRODUCT(Adds!$C$45:$BC$45,Curves!$V$14:$BV$14)</f>
        <v/>
      </c>
      <c r="BD15" s="3">
        <f>SUMPRODUCT(Adds!$C$45:$BD$45,Curves!$U$14:$BV$14)</f>
        <v/>
      </c>
      <c r="BE15" s="3">
        <f>SUMPRODUCT(Adds!$C$45:$BE$45,Curves!$T$14:$BV$14)</f>
        <v/>
      </c>
      <c r="BF15" s="3">
        <f>SUMPRODUCT(Adds!$C$45:$BF$45,Curves!$S$14:$BV$14)</f>
        <v/>
      </c>
      <c r="BG15" s="3">
        <f>SUMPRODUCT(Adds!$C$45:$BG$45,Curves!$R$14:$BV$14)</f>
        <v/>
      </c>
      <c r="BH15" s="3">
        <f>SUMPRODUCT(Adds!$C$45:$BH$45,Curves!$Q$14:$BV$14)</f>
        <v/>
      </c>
      <c r="BI15" s="3">
        <f>SUMPRODUCT(Adds!$C$45:$BI$45,Curves!$P$14:$BV$14)</f>
        <v/>
      </c>
      <c r="BJ15" s="3">
        <f>SUMPRODUCT(Adds!$C$45:$BJ$45,Curves!$O$14:$BV$14)</f>
        <v/>
      </c>
      <c r="BK15" s="3">
        <f>SUMPRODUCT(Adds!$C$45:$BK$45,Curves!$N$14:$BV$14)</f>
        <v/>
      </c>
      <c r="BL15" s="3">
        <f>SUMPRODUCT(Adds!$C$45:$BL$45,Curves!$M$14:$BV$14)</f>
        <v/>
      </c>
      <c r="BM15" s="3">
        <f>SUMPRODUCT(Adds!$C$45:$BM$45,Curves!$L$14:$BV$14)</f>
        <v/>
      </c>
      <c r="BN15" s="3">
        <f>SUMPRODUCT(Adds!$C$45:$BN$45,Curves!$K$14:$BV$14)</f>
        <v/>
      </c>
      <c r="BO15" s="3">
        <f>SUMPRODUCT(Adds!$C$45:$BO$45,Curves!$J$14:$BV$14)</f>
        <v/>
      </c>
      <c r="BP15" s="3">
        <f>SUMPRODUCT(Adds!$C$45:$BP$45,Curves!$I$14:$BV$14)</f>
        <v/>
      </c>
      <c r="BQ15" s="3">
        <f>SUMPRODUCT(Adds!$C$45:$BQ$45,Curves!$H$14:$BV$14)</f>
        <v/>
      </c>
      <c r="BR15" s="3">
        <f>SUMPRODUCT(Adds!$C$45:$BR$45,Curves!$G$14:$BV$14)</f>
        <v/>
      </c>
      <c r="BS15" s="3">
        <f>SUMPRODUCT(Adds!$C$45:$BS$45,Curves!$F$14:$BV$14)</f>
        <v/>
      </c>
      <c r="BT15" s="3">
        <f>SUMPRODUCT(Adds!$C$45:$BT$45,Curves!$E$14:$BV$14)</f>
        <v/>
      </c>
      <c r="BU15" s="3">
        <f>SUMPRODUCT(Adds!$C$45:$BU$45,Curves!$D$14:$BV$14)</f>
        <v/>
      </c>
      <c r="BV15" s="3">
        <f>SUMPRODUCT(Adds!$C$45:$BV$45,Curves!$C$14:$BV$14)</f>
        <v/>
      </c>
    </row>
    <row r="16">
      <c r="A16" t="inlineStr">
        <is>
          <t>active yr 1</t>
        </is>
      </c>
      <c r="B16" t="inlineStr">
        <is>
          <t>US_CA|BASIC_A</t>
        </is>
      </c>
      <c r="C16" s="3">
        <f>Adds!$C$45*Curves!$BV$21</f>
        <v/>
      </c>
      <c r="D16" s="3">
        <f>SUMPRODUCT(Adds!$C$45:$D$45,Curves!$BU$21:$BV$21)</f>
        <v/>
      </c>
      <c r="E16" s="3">
        <f>SUMPRODUCT(Adds!$C$45:$E$45,Curves!$BT$21:$BV$21)</f>
        <v/>
      </c>
      <c r="F16" s="3">
        <f>SUMPRODUCT(Adds!$C$45:$F$45,Curves!$BS$21:$BV$21)</f>
        <v/>
      </c>
      <c r="G16" s="3">
        <f>SUMPRODUCT(Adds!$C$45:$G$45,Curves!$BR$21:$BV$21)</f>
        <v/>
      </c>
      <c r="H16" s="3">
        <f>SUMPRODUCT(Adds!$C$45:$H$45,Curves!$BQ$21:$BV$21)</f>
        <v/>
      </c>
      <c r="I16" s="3">
        <f>SUMPRODUCT(Adds!$C$45:$I$45,Curves!$BP$21:$BV$21)</f>
        <v/>
      </c>
      <c r="J16" s="3">
        <f>SUMPRODUCT(Adds!$C$45:$J$45,Curves!$BO$21:$BV$21)</f>
        <v/>
      </c>
      <c r="K16" s="3">
        <f>SUMPRODUCT(Adds!$C$45:$K$45,Curves!$BN$21:$BV$21)</f>
        <v/>
      </c>
      <c r="L16" s="3">
        <f>SUMPRODUCT(Adds!$C$45:$L$45,Curves!$BM$21:$BV$21)</f>
        <v/>
      </c>
      <c r="M16" s="3">
        <f>SUMPRODUCT(Adds!$C$45:$M$45,Curves!$BL$21:$BV$21)</f>
        <v/>
      </c>
      <c r="N16" s="3">
        <f>SUMPRODUCT(Adds!$C$45:$N$45,Curves!$BK$21:$BV$21)</f>
        <v/>
      </c>
      <c r="O16" s="3">
        <f>SUMPRODUCT(Adds!$C$45:$O$45,Curves!$BJ$21:$BV$21)</f>
        <v/>
      </c>
      <c r="P16" s="3">
        <f>SUMPRODUCT(Adds!$C$45:$P$45,Curves!$BI$21:$BV$21)</f>
        <v/>
      </c>
      <c r="Q16" s="3">
        <f>SUMPRODUCT(Adds!$C$45:$Q$45,Curves!$BH$21:$BV$21)</f>
        <v/>
      </c>
      <c r="R16" s="3">
        <f>SUMPRODUCT(Adds!$C$45:$R$45,Curves!$BG$21:$BV$21)</f>
        <v/>
      </c>
      <c r="S16" s="3">
        <f>SUMPRODUCT(Adds!$C$45:$S$45,Curves!$BF$21:$BV$21)</f>
        <v/>
      </c>
      <c r="T16" s="3">
        <f>SUMPRODUCT(Adds!$C$45:$T$45,Curves!$BE$21:$BV$21)</f>
        <v/>
      </c>
      <c r="U16" s="3">
        <f>SUMPRODUCT(Adds!$C$45:$U$45,Curves!$BD$21:$BV$21)</f>
        <v/>
      </c>
      <c r="V16" s="3">
        <f>SUMPRODUCT(Adds!$C$45:$V$45,Curves!$BC$21:$BV$21)</f>
        <v/>
      </c>
      <c r="W16" s="3">
        <f>SUMPRODUCT(Adds!$C$45:$W$45,Curves!$BB$21:$BV$21)</f>
        <v/>
      </c>
      <c r="X16" s="3">
        <f>SUMPRODUCT(Adds!$C$45:$X$45,Curves!$BA$21:$BV$21)</f>
        <v/>
      </c>
      <c r="Y16" s="3">
        <f>SUMPRODUCT(Adds!$C$45:$Y$45,Curves!$AZ$21:$BV$21)</f>
        <v/>
      </c>
      <c r="Z16" s="3">
        <f>SUMPRODUCT(Adds!$C$45:$Z$45,Curves!$AY$21:$BV$21)</f>
        <v/>
      </c>
      <c r="AA16" s="3">
        <f>SUMPRODUCT(Adds!$C$45:$AA$45,Curves!$AX$21:$BV$21)</f>
        <v/>
      </c>
      <c r="AB16" s="3">
        <f>SUMPRODUCT(Adds!$C$45:$AB$45,Curves!$AW$21:$BV$21)</f>
        <v/>
      </c>
      <c r="AC16" s="3">
        <f>SUMPRODUCT(Adds!$C$45:$AC$45,Curves!$AV$21:$BV$21)</f>
        <v/>
      </c>
      <c r="AD16" s="3">
        <f>SUMPRODUCT(Adds!$C$45:$AD$45,Curves!$AU$21:$BV$21)</f>
        <v/>
      </c>
      <c r="AE16" s="3">
        <f>SUMPRODUCT(Adds!$C$45:$AE$45,Curves!$AT$21:$BV$21)</f>
        <v/>
      </c>
      <c r="AF16" s="3">
        <f>SUMPRODUCT(Adds!$C$45:$AF$45,Curves!$AS$21:$BV$21)</f>
        <v/>
      </c>
      <c r="AG16" s="3">
        <f>SUMPRODUCT(Adds!$C$45:$AG$45,Curves!$AR$21:$BV$21)</f>
        <v/>
      </c>
      <c r="AH16" s="3">
        <f>SUMPRODUCT(Adds!$C$45:$AH$45,Curves!$AQ$21:$BV$21)</f>
        <v/>
      </c>
      <c r="AI16" s="3">
        <f>SUMPRODUCT(Adds!$C$45:$AI$45,Curves!$AP$21:$BV$21)</f>
        <v/>
      </c>
      <c r="AJ16" s="3">
        <f>SUMPRODUCT(Adds!$C$45:$AJ$45,Curves!$AO$21:$BV$21)</f>
        <v/>
      </c>
      <c r="AK16" s="3">
        <f>SUMPRODUCT(Adds!$C$45:$AK$45,Curves!$AN$21:$BV$21)</f>
        <v/>
      </c>
      <c r="AL16" s="3">
        <f>SUMPRODUCT(Adds!$C$45:$AL$45,Curves!$AM$21:$BV$21)</f>
        <v/>
      </c>
      <c r="AM16" s="3">
        <f>SUMPRODUCT(Adds!$C$45:$AM$45,Curves!$AL$21:$BV$21)</f>
        <v/>
      </c>
      <c r="AN16" s="3">
        <f>SUMPRODUCT(Adds!$C$45:$AN$45,Curves!$AK$21:$BV$21)</f>
        <v/>
      </c>
      <c r="AO16" s="3">
        <f>SUMPRODUCT(Adds!$C$45:$AO$45,Curves!$AJ$21:$BV$21)</f>
        <v/>
      </c>
      <c r="AP16" s="3">
        <f>SUMPRODUCT(Adds!$C$45:$AP$45,Curves!$AI$21:$BV$21)</f>
        <v/>
      </c>
      <c r="AQ16" s="3">
        <f>SUMPRODUCT(Adds!$C$45:$AQ$45,Curves!$AH$21:$BV$21)</f>
        <v/>
      </c>
      <c r="AR16" s="3">
        <f>SUMPRODUCT(Adds!$C$45:$AR$45,Curves!$AG$21:$BV$21)</f>
        <v/>
      </c>
      <c r="AS16" s="3">
        <f>SUMPRODUCT(Adds!$C$45:$AS$45,Curves!$AF$21:$BV$21)</f>
        <v/>
      </c>
      <c r="AT16" s="3">
        <f>SUMPRODUCT(Adds!$C$45:$AT$45,Curves!$AE$21:$BV$21)</f>
        <v/>
      </c>
      <c r="AU16" s="3">
        <f>SUMPRODUCT(Adds!$C$45:$AU$45,Curves!$AD$21:$BV$21)</f>
        <v/>
      </c>
      <c r="AV16" s="3">
        <f>SUMPRODUCT(Adds!$C$45:$AV$45,Curves!$AC$21:$BV$21)</f>
        <v/>
      </c>
      <c r="AW16" s="3">
        <f>SUMPRODUCT(Adds!$C$45:$AW$45,Curves!$AB$21:$BV$21)</f>
        <v/>
      </c>
      <c r="AX16" s="3">
        <f>SUMPRODUCT(Adds!$C$45:$AX$45,Curves!$AA$21:$BV$21)</f>
        <v/>
      </c>
      <c r="AY16" s="3">
        <f>SUMPRODUCT(Adds!$C$45:$AY$45,Curves!$Z$21:$BV$21)</f>
        <v/>
      </c>
      <c r="AZ16" s="3">
        <f>SUMPRODUCT(Adds!$C$45:$AZ$45,Curves!$Y$21:$BV$21)</f>
        <v/>
      </c>
      <c r="BA16" s="3">
        <f>SUMPRODUCT(Adds!$C$45:$BA$45,Curves!$X$21:$BV$21)</f>
        <v/>
      </c>
      <c r="BB16" s="3">
        <f>SUMPRODUCT(Adds!$C$45:$BB$45,Curves!$W$21:$BV$21)</f>
        <v/>
      </c>
      <c r="BC16" s="3">
        <f>SUMPRODUCT(Adds!$C$45:$BC$45,Curves!$V$21:$BV$21)</f>
        <v/>
      </c>
      <c r="BD16" s="3">
        <f>SUMPRODUCT(Adds!$C$45:$BD$45,Curves!$U$21:$BV$21)</f>
        <v/>
      </c>
      <c r="BE16" s="3">
        <f>SUMPRODUCT(Adds!$C$45:$BE$45,Curves!$T$21:$BV$21)</f>
        <v/>
      </c>
      <c r="BF16" s="3">
        <f>SUMPRODUCT(Adds!$C$45:$BF$45,Curves!$S$21:$BV$21)</f>
        <v/>
      </c>
      <c r="BG16" s="3">
        <f>SUMPRODUCT(Adds!$C$45:$BG$45,Curves!$R$21:$BV$21)</f>
        <v/>
      </c>
      <c r="BH16" s="3">
        <f>SUMPRODUCT(Adds!$C$45:$BH$45,Curves!$Q$21:$BV$21)</f>
        <v/>
      </c>
      <c r="BI16" s="3">
        <f>SUMPRODUCT(Adds!$C$45:$BI$45,Curves!$P$21:$BV$21)</f>
        <v/>
      </c>
      <c r="BJ16" s="3">
        <f>SUMPRODUCT(Adds!$C$45:$BJ$45,Curves!$O$21:$BV$21)</f>
        <v/>
      </c>
      <c r="BK16" s="3">
        <f>SUMPRODUCT(Adds!$C$45:$BK$45,Curves!$N$21:$BV$21)</f>
        <v/>
      </c>
      <c r="BL16" s="3">
        <f>SUMPRODUCT(Adds!$C$45:$BL$45,Curves!$M$21:$BV$21)</f>
        <v/>
      </c>
      <c r="BM16" s="3">
        <f>SUMPRODUCT(Adds!$C$45:$BM$45,Curves!$L$21:$BV$21)</f>
        <v/>
      </c>
      <c r="BN16" s="3">
        <f>SUMPRODUCT(Adds!$C$45:$BN$45,Curves!$K$21:$BV$21)</f>
        <v/>
      </c>
      <c r="BO16" s="3">
        <f>SUMPRODUCT(Adds!$C$45:$BO$45,Curves!$J$21:$BV$21)</f>
        <v/>
      </c>
      <c r="BP16" s="3">
        <f>SUMPRODUCT(Adds!$C$45:$BP$45,Curves!$I$21:$BV$21)</f>
        <v/>
      </c>
      <c r="BQ16" s="3">
        <f>SUMPRODUCT(Adds!$C$45:$BQ$45,Curves!$H$21:$BV$21)</f>
        <v/>
      </c>
      <c r="BR16" s="3">
        <f>SUMPRODUCT(Adds!$C$45:$BR$45,Curves!$G$21:$BV$21)</f>
        <v/>
      </c>
      <c r="BS16" s="3">
        <f>SUMPRODUCT(Adds!$C$45:$BS$45,Curves!$F$21:$BV$21)</f>
        <v/>
      </c>
      <c r="BT16" s="3">
        <f>SUMPRODUCT(Adds!$C$45:$BT$45,Curves!$E$21:$BV$21)</f>
        <v/>
      </c>
      <c r="BU16" s="3">
        <f>SUMPRODUCT(Adds!$C$45:$BU$45,Curves!$D$21:$BV$21)</f>
        <v/>
      </c>
      <c r="BV16" s="3">
        <f>SUMPRODUCT(Adds!$C$45:$BV$45,Curves!$C$21:$BV$21)</f>
        <v/>
      </c>
    </row>
    <row r="17">
      <c r="A17" t="inlineStr">
        <is>
          <t>churned</t>
        </is>
      </c>
      <c r="B17" t="inlineStr">
        <is>
          <t>US_CA|BASIC_A</t>
        </is>
      </c>
      <c r="C17" s="3">
        <f>Adds!$C$45*Curves!$BV$16</f>
        <v/>
      </c>
      <c r="D17" s="3">
        <f>SUMPRODUCT(Adds!$C$45:$D$45,Curves!$BU$16:$BV$16)</f>
        <v/>
      </c>
      <c r="E17" s="3">
        <f>SUMPRODUCT(Adds!$C$45:$E$45,Curves!$BT$16:$BV$16)</f>
        <v/>
      </c>
      <c r="F17" s="3">
        <f>SUMPRODUCT(Adds!$C$45:$F$45,Curves!$BS$16:$BV$16)</f>
        <v/>
      </c>
      <c r="G17" s="3">
        <f>SUMPRODUCT(Adds!$C$45:$G$45,Curves!$BR$16:$BV$16)</f>
        <v/>
      </c>
      <c r="H17" s="3">
        <f>SUMPRODUCT(Adds!$C$45:$H$45,Curves!$BQ$16:$BV$16)</f>
        <v/>
      </c>
      <c r="I17" s="3">
        <f>SUMPRODUCT(Adds!$C$45:$I$45,Curves!$BP$16:$BV$16)</f>
        <v/>
      </c>
      <c r="J17" s="3">
        <f>SUMPRODUCT(Adds!$C$45:$J$45,Curves!$BO$16:$BV$16)</f>
        <v/>
      </c>
      <c r="K17" s="3">
        <f>SUMPRODUCT(Adds!$C$45:$K$45,Curves!$BN$16:$BV$16)</f>
        <v/>
      </c>
      <c r="L17" s="3">
        <f>SUMPRODUCT(Adds!$C$45:$L$45,Curves!$BM$16:$BV$16)</f>
        <v/>
      </c>
      <c r="M17" s="3">
        <f>SUMPRODUCT(Adds!$C$45:$M$45,Curves!$BL$16:$BV$16)</f>
        <v/>
      </c>
      <c r="N17" s="3">
        <f>SUMPRODUCT(Adds!$C$45:$N$45,Curves!$BK$16:$BV$16)</f>
        <v/>
      </c>
      <c r="O17" s="3">
        <f>SUMPRODUCT(Adds!$C$45:$O$45,Curves!$BJ$16:$BV$16)</f>
        <v/>
      </c>
      <c r="P17" s="3">
        <f>SUMPRODUCT(Adds!$C$45:$P$45,Curves!$BI$16:$BV$16)</f>
        <v/>
      </c>
      <c r="Q17" s="3">
        <f>SUMPRODUCT(Adds!$C$45:$Q$45,Curves!$BH$16:$BV$16)</f>
        <v/>
      </c>
      <c r="R17" s="3">
        <f>SUMPRODUCT(Adds!$C$45:$R$45,Curves!$BG$16:$BV$16)</f>
        <v/>
      </c>
      <c r="S17" s="3">
        <f>SUMPRODUCT(Adds!$C$45:$S$45,Curves!$BF$16:$BV$16)</f>
        <v/>
      </c>
      <c r="T17" s="3">
        <f>SUMPRODUCT(Adds!$C$45:$T$45,Curves!$BE$16:$BV$16)</f>
        <v/>
      </c>
      <c r="U17" s="3">
        <f>SUMPRODUCT(Adds!$C$45:$U$45,Curves!$BD$16:$BV$16)</f>
        <v/>
      </c>
      <c r="V17" s="3">
        <f>SUMPRODUCT(Adds!$C$45:$V$45,Curves!$BC$16:$BV$16)</f>
        <v/>
      </c>
      <c r="W17" s="3">
        <f>SUMPRODUCT(Adds!$C$45:$W$45,Curves!$BB$16:$BV$16)</f>
        <v/>
      </c>
      <c r="X17" s="3">
        <f>SUMPRODUCT(Adds!$C$45:$X$45,Curves!$BA$16:$BV$16)</f>
        <v/>
      </c>
      <c r="Y17" s="3">
        <f>SUMPRODUCT(Adds!$C$45:$Y$45,Curves!$AZ$16:$BV$16)</f>
        <v/>
      </c>
      <c r="Z17" s="3">
        <f>SUMPRODUCT(Adds!$C$45:$Z$45,Curves!$AY$16:$BV$16)</f>
        <v/>
      </c>
      <c r="AA17" s="3">
        <f>SUMPRODUCT(Adds!$C$45:$AA$45,Curves!$AX$16:$BV$16)</f>
        <v/>
      </c>
      <c r="AB17" s="3">
        <f>SUMPRODUCT(Adds!$C$45:$AB$45,Curves!$AW$16:$BV$16)</f>
        <v/>
      </c>
      <c r="AC17" s="3">
        <f>SUMPRODUCT(Adds!$C$45:$AC$45,Curves!$AV$16:$BV$16)</f>
        <v/>
      </c>
      <c r="AD17" s="3">
        <f>SUMPRODUCT(Adds!$C$45:$AD$45,Curves!$AU$16:$BV$16)</f>
        <v/>
      </c>
      <c r="AE17" s="3">
        <f>SUMPRODUCT(Adds!$C$45:$AE$45,Curves!$AT$16:$BV$16)</f>
        <v/>
      </c>
      <c r="AF17" s="3">
        <f>SUMPRODUCT(Adds!$C$45:$AF$45,Curves!$AS$16:$BV$16)</f>
        <v/>
      </c>
      <c r="AG17" s="3">
        <f>SUMPRODUCT(Adds!$C$45:$AG$45,Curves!$AR$16:$BV$16)</f>
        <v/>
      </c>
      <c r="AH17" s="3">
        <f>SUMPRODUCT(Adds!$C$45:$AH$45,Curves!$AQ$16:$BV$16)</f>
        <v/>
      </c>
      <c r="AI17" s="3">
        <f>SUMPRODUCT(Adds!$C$45:$AI$45,Curves!$AP$16:$BV$16)</f>
        <v/>
      </c>
      <c r="AJ17" s="3">
        <f>SUMPRODUCT(Adds!$C$45:$AJ$45,Curves!$AO$16:$BV$16)</f>
        <v/>
      </c>
      <c r="AK17" s="3">
        <f>SUMPRODUCT(Adds!$C$45:$AK$45,Curves!$AN$16:$BV$16)</f>
        <v/>
      </c>
      <c r="AL17" s="3">
        <f>SUMPRODUCT(Adds!$C$45:$AL$45,Curves!$AM$16:$BV$16)</f>
        <v/>
      </c>
      <c r="AM17" s="3">
        <f>SUMPRODUCT(Adds!$C$45:$AM$45,Curves!$AL$16:$BV$16)</f>
        <v/>
      </c>
      <c r="AN17" s="3">
        <f>SUMPRODUCT(Adds!$C$45:$AN$45,Curves!$AK$16:$BV$16)</f>
        <v/>
      </c>
      <c r="AO17" s="3">
        <f>SUMPRODUCT(Adds!$C$45:$AO$45,Curves!$AJ$16:$BV$16)</f>
        <v/>
      </c>
      <c r="AP17" s="3">
        <f>SUMPRODUCT(Adds!$C$45:$AP$45,Curves!$AI$16:$BV$16)</f>
        <v/>
      </c>
      <c r="AQ17" s="3">
        <f>SUMPRODUCT(Adds!$C$45:$AQ$45,Curves!$AH$16:$BV$16)</f>
        <v/>
      </c>
      <c r="AR17" s="3">
        <f>SUMPRODUCT(Adds!$C$45:$AR$45,Curves!$AG$16:$BV$16)</f>
        <v/>
      </c>
      <c r="AS17" s="3">
        <f>SUMPRODUCT(Adds!$C$45:$AS$45,Curves!$AF$16:$BV$16)</f>
        <v/>
      </c>
      <c r="AT17" s="3">
        <f>SUMPRODUCT(Adds!$C$45:$AT$45,Curves!$AE$16:$BV$16)</f>
        <v/>
      </c>
      <c r="AU17" s="3">
        <f>SUMPRODUCT(Adds!$C$45:$AU$45,Curves!$AD$16:$BV$16)</f>
        <v/>
      </c>
      <c r="AV17" s="3">
        <f>SUMPRODUCT(Adds!$C$45:$AV$45,Curves!$AC$16:$BV$16)</f>
        <v/>
      </c>
      <c r="AW17" s="3">
        <f>SUMPRODUCT(Adds!$C$45:$AW$45,Curves!$AB$16:$BV$16)</f>
        <v/>
      </c>
      <c r="AX17" s="3">
        <f>SUMPRODUCT(Adds!$C$45:$AX$45,Curves!$AA$16:$BV$16)</f>
        <v/>
      </c>
      <c r="AY17" s="3">
        <f>SUMPRODUCT(Adds!$C$45:$AY$45,Curves!$Z$16:$BV$16)</f>
        <v/>
      </c>
      <c r="AZ17" s="3">
        <f>SUMPRODUCT(Adds!$C$45:$AZ$45,Curves!$Y$16:$BV$16)</f>
        <v/>
      </c>
      <c r="BA17" s="3">
        <f>SUMPRODUCT(Adds!$C$45:$BA$45,Curves!$X$16:$BV$16)</f>
        <v/>
      </c>
      <c r="BB17" s="3">
        <f>SUMPRODUCT(Adds!$C$45:$BB$45,Curves!$W$16:$BV$16)</f>
        <v/>
      </c>
      <c r="BC17" s="3">
        <f>SUMPRODUCT(Adds!$C$45:$BC$45,Curves!$V$16:$BV$16)</f>
        <v/>
      </c>
      <c r="BD17" s="3">
        <f>SUMPRODUCT(Adds!$C$45:$BD$45,Curves!$U$16:$BV$16)</f>
        <v/>
      </c>
      <c r="BE17" s="3">
        <f>SUMPRODUCT(Adds!$C$45:$BE$45,Curves!$T$16:$BV$16)</f>
        <v/>
      </c>
      <c r="BF17" s="3">
        <f>SUMPRODUCT(Adds!$C$45:$BF$45,Curves!$S$16:$BV$16)</f>
        <v/>
      </c>
      <c r="BG17" s="3">
        <f>SUMPRODUCT(Adds!$C$45:$BG$45,Curves!$R$16:$BV$16)</f>
        <v/>
      </c>
      <c r="BH17" s="3">
        <f>SUMPRODUCT(Adds!$C$45:$BH$45,Curves!$Q$16:$BV$16)</f>
        <v/>
      </c>
      <c r="BI17" s="3">
        <f>SUMPRODUCT(Adds!$C$45:$BI$45,Curves!$P$16:$BV$16)</f>
        <v/>
      </c>
      <c r="BJ17" s="3">
        <f>SUMPRODUCT(Adds!$C$45:$BJ$45,Curves!$O$16:$BV$16)</f>
        <v/>
      </c>
      <c r="BK17" s="3">
        <f>SUMPRODUCT(Adds!$C$45:$BK$45,Curves!$N$16:$BV$16)</f>
        <v/>
      </c>
      <c r="BL17" s="3">
        <f>SUMPRODUCT(Adds!$C$45:$BL$45,Curves!$M$16:$BV$16)</f>
        <v/>
      </c>
      <c r="BM17" s="3">
        <f>SUMPRODUCT(Adds!$C$45:$BM$45,Curves!$L$16:$BV$16)</f>
        <v/>
      </c>
      <c r="BN17" s="3">
        <f>SUMPRODUCT(Adds!$C$45:$BN$45,Curves!$K$16:$BV$16)</f>
        <v/>
      </c>
      <c r="BO17" s="3">
        <f>SUMPRODUCT(Adds!$C$45:$BO$45,Curves!$J$16:$BV$16)</f>
        <v/>
      </c>
      <c r="BP17" s="3">
        <f>SUMPRODUCT(Adds!$C$45:$BP$45,Curves!$I$16:$BV$16)</f>
        <v/>
      </c>
      <c r="BQ17" s="3">
        <f>SUMPRODUCT(Adds!$C$45:$BQ$45,Curves!$H$16:$BV$16)</f>
        <v/>
      </c>
      <c r="BR17" s="3">
        <f>SUMPRODUCT(Adds!$C$45:$BR$45,Curves!$G$16:$BV$16)</f>
        <v/>
      </c>
      <c r="BS17" s="3">
        <f>SUMPRODUCT(Adds!$C$45:$BS$45,Curves!$F$16:$BV$16)</f>
        <v/>
      </c>
      <c r="BT17" s="3">
        <f>SUMPRODUCT(Adds!$C$45:$BT$45,Curves!$E$16:$BV$16)</f>
        <v/>
      </c>
      <c r="BU17" s="3">
        <f>SUMPRODUCT(Adds!$C$45:$BU$45,Curves!$D$16:$BV$16)</f>
        <v/>
      </c>
      <c r="BV17" s="3">
        <f>SUMPRODUCT(Adds!$C$45:$BV$45,Curves!$C$16:$BV$16)</f>
        <v/>
      </c>
    </row>
    <row r="19">
      <c r="A19" t="inlineStr">
        <is>
          <t>active</t>
        </is>
      </c>
      <c r="B19" t="inlineStr">
        <is>
          <t>EUROPE|NITRO_M</t>
        </is>
      </c>
      <c r="C19" s="3">
        <f>Adds!$C$56*Curves!$BV$13</f>
        <v/>
      </c>
      <c r="D19" s="3">
        <f>SUMPRODUCT(Adds!$C$56:$D$56,Curves!$BU$13:$BV$13)</f>
        <v/>
      </c>
      <c r="E19" s="3">
        <f>SUMPRODUCT(Adds!$C$56:$E$56,Curves!$BT$13:$BV$13)</f>
        <v/>
      </c>
      <c r="F19" s="3">
        <f>SUMPRODUCT(Adds!$C$56:$F$56,Curves!$BS$13:$BV$13)</f>
        <v/>
      </c>
      <c r="G19" s="3">
        <f>SUMPRODUCT(Adds!$C$56:$G$56,Curves!$BR$13:$BV$13)</f>
        <v/>
      </c>
      <c r="H19" s="3">
        <f>SUMPRODUCT(Adds!$C$56:$H$56,Curves!$BQ$13:$BV$13)</f>
        <v/>
      </c>
      <c r="I19" s="3">
        <f>SUMPRODUCT(Adds!$C$56:$I$56,Curves!$BP$13:$BV$13)</f>
        <v/>
      </c>
      <c r="J19" s="3">
        <f>SUMPRODUCT(Adds!$C$56:$J$56,Curves!$BO$13:$BV$13)</f>
        <v/>
      </c>
      <c r="K19" s="3">
        <f>SUMPRODUCT(Adds!$C$56:$K$56,Curves!$BN$13:$BV$13)</f>
        <v/>
      </c>
      <c r="L19" s="3">
        <f>SUMPRODUCT(Adds!$C$56:$L$56,Curves!$BM$13:$BV$13)</f>
        <v/>
      </c>
      <c r="M19" s="3">
        <f>SUMPRODUCT(Adds!$C$56:$M$56,Curves!$BL$13:$BV$13)</f>
        <v/>
      </c>
      <c r="N19" s="3">
        <f>SUMPRODUCT(Adds!$C$56:$N$56,Curves!$BK$13:$BV$13)</f>
        <v/>
      </c>
      <c r="O19" s="3">
        <f>SUMPRODUCT(Adds!$C$56:$O$56,Curves!$BJ$13:$BV$13)</f>
        <v/>
      </c>
      <c r="P19" s="3">
        <f>SUMPRODUCT(Adds!$C$56:$P$56,Curves!$BI$13:$BV$13)</f>
        <v/>
      </c>
      <c r="Q19" s="3">
        <f>SUMPRODUCT(Adds!$C$56:$Q$56,Curves!$BH$13:$BV$13)</f>
        <v/>
      </c>
      <c r="R19" s="3">
        <f>SUMPRODUCT(Adds!$C$56:$R$56,Curves!$BG$13:$BV$13)</f>
        <v/>
      </c>
      <c r="S19" s="3">
        <f>SUMPRODUCT(Adds!$C$56:$S$56,Curves!$BF$13:$BV$13)</f>
        <v/>
      </c>
      <c r="T19" s="3">
        <f>SUMPRODUCT(Adds!$C$56:$T$56,Curves!$BE$13:$BV$13)</f>
        <v/>
      </c>
      <c r="U19" s="3">
        <f>SUMPRODUCT(Adds!$C$56:$U$56,Curves!$BD$13:$BV$13)</f>
        <v/>
      </c>
      <c r="V19" s="3">
        <f>SUMPRODUCT(Adds!$C$56:$V$56,Curves!$BC$13:$BV$13)</f>
        <v/>
      </c>
      <c r="W19" s="3">
        <f>SUMPRODUCT(Adds!$C$56:$W$56,Curves!$BB$13:$BV$13)</f>
        <v/>
      </c>
      <c r="X19" s="3">
        <f>SUMPRODUCT(Adds!$C$56:$X$56,Curves!$BA$13:$BV$13)</f>
        <v/>
      </c>
      <c r="Y19" s="3">
        <f>SUMPRODUCT(Adds!$C$56:$Y$56,Curves!$AZ$13:$BV$13)</f>
        <v/>
      </c>
      <c r="Z19" s="3">
        <f>SUMPRODUCT(Adds!$C$56:$Z$56,Curves!$AY$13:$BV$13)</f>
        <v/>
      </c>
      <c r="AA19" s="3">
        <f>SUMPRODUCT(Adds!$C$56:$AA$56,Curves!$AX$13:$BV$13)</f>
        <v/>
      </c>
      <c r="AB19" s="3">
        <f>SUMPRODUCT(Adds!$C$56:$AB$56,Curves!$AW$13:$BV$13)</f>
        <v/>
      </c>
      <c r="AC19" s="3">
        <f>SUMPRODUCT(Adds!$C$56:$AC$56,Curves!$AV$13:$BV$13)</f>
        <v/>
      </c>
      <c r="AD19" s="3">
        <f>SUMPRODUCT(Adds!$C$56:$AD$56,Curves!$AU$13:$BV$13)</f>
        <v/>
      </c>
      <c r="AE19" s="3">
        <f>SUMPRODUCT(Adds!$C$56:$AE$56,Curves!$AT$13:$BV$13)</f>
        <v/>
      </c>
      <c r="AF19" s="3">
        <f>SUMPRODUCT(Adds!$C$56:$AF$56,Curves!$AS$13:$BV$13)</f>
        <v/>
      </c>
      <c r="AG19" s="3">
        <f>SUMPRODUCT(Adds!$C$56:$AG$56,Curves!$AR$13:$BV$13)</f>
        <v/>
      </c>
      <c r="AH19" s="3">
        <f>SUMPRODUCT(Adds!$C$56:$AH$56,Curves!$AQ$13:$BV$13)</f>
        <v/>
      </c>
      <c r="AI19" s="3">
        <f>SUMPRODUCT(Adds!$C$56:$AI$56,Curves!$AP$13:$BV$13)</f>
        <v/>
      </c>
      <c r="AJ19" s="3">
        <f>SUMPRODUCT(Adds!$C$56:$AJ$56,Curves!$AO$13:$BV$13)</f>
        <v/>
      </c>
      <c r="AK19" s="3">
        <f>SUMPRODUCT(Adds!$C$56:$AK$56,Curves!$AN$13:$BV$13)</f>
        <v/>
      </c>
      <c r="AL19" s="3">
        <f>SUMPRODUCT(Adds!$C$56:$AL$56,Curves!$AM$13:$BV$13)</f>
        <v/>
      </c>
      <c r="AM19" s="3">
        <f>SUMPRODUCT(Adds!$C$56:$AM$56,Curves!$AL$13:$BV$13)</f>
        <v/>
      </c>
      <c r="AN19" s="3">
        <f>SUMPRODUCT(Adds!$C$56:$AN$56,Curves!$AK$13:$BV$13)</f>
        <v/>
      </c>
      <c r="AO19" s="3">
        <f>SUMPRODUCT(Adds!$C$56:$AO$56,Curves!$AJ$13:$BV$13)</f>
        <v/>
      </c>
      <c r="AP19" s="3">
        <f>SUMPRODUCT(Adds!$C$56:$AP$56,Curves!$AI$13:$BV$13)</f>
        <v/>
      </c>
      <c r="AQ19" s="3">
        <f>SUMPRODUCT(Adds!$C$56:$AQ$56,Curves!$AH$13:$BV$13)</f>
        <v/>
      </c>
      <c r="AR19" s="3">
        <f>SUMPRODUCT(Adds!$C$56:$AR$56,Curves!$AG$13:$BV$13)</f>
        <v/>
      </c>
      <c r="AS19" s="3">
        <f>SUMPRODUCT(Adds!$C$56:$AS$56,Curves!$AF$13:$BV$13)</f>
        <v/>
      </c>
      <c r="AT19" s="3">
        <f>SUMPRODUCT(Adds!$C$56:$AT$56,Curves!$AE$13:$BV$13)</f>
        <v/>
      </c>
      <c r="AU19" s="3">
        <f>SUMPRODUCT(Adds!$C$56:$AU$56,Curves!$AD$13:$BV$13)</f>
        <v/>
      </c>
      <c r="AV19" s="3">
        <f>SUMPRODUCT(Adds!$C$56:$AV$56,Curves!$AC$13:$BV$13)</f>
        <v/>
      </c>
      <c r="AW19" s="3">
        <f>SUMPRODUCT(Adds!$C$56:$AW$56,Curves!$AB$13:$BV$13)</f>
        <v/>
      </c>
      <c r="AX19" s="3">
        <f>SUMPRODUCT(Adds!$C$56:$AX$56,Curves!$AA$13:$BV$13)</f>
        <v/>
      </c>
      <c r="AY19" s="3">
        <f>SUMPRODUCT(Adds!$C$56:$AY$56,Curves!$Z$13:$BV$13)</f>
        <v/>
      </c>
      <c r="AZ19" s="3">
        <f>SUMPRODUCT(Adds!$C$56:$AZ$56,Curves!$Y$13:$BV$13)</f>
        <v/>
      </c>
      <c r="BA19" s="3">
        <f>SUMPRODUCT(Adds!$C$56:$BA$56,Curves!$X$13:$BV$13)</f>
        <v/>
      </c>
      <c r="BB19" s="3">
        <f>SUMPRODUCT(Adds!$C$56:$BB$56,Curves!$W$13:$BV$13)</f>
        <v/>
      </c>
      <c r="BC19" s="3">
        <f>SUMPRODUCT(Adds!$C$56:$BC$56,Curves!$V$13:$BV$13)</f>
        <v/>
      </c>
      <c r="BD19" s="3">
        <f>SUMPRODUCT(Adds!$C$56:$BD$56,Curves!$U$13:$BV$13)</f>
        <v/>
      </c>
      <c r="BE19" s="3">
        <f>SUMPRODUCT(Adds!$C$56:$BE$56,Curves!$T$13:$BV$13)</f>
        <v/>
      </c>
      <c r="BF19" s="3">
        <f>SUMPRODUCT(Adds!$C$56:$BF$56,Curves!$S$13:$BV$13)</f>
        <v/>
      </c>
      <c r="BG19" s="3">
        <f>SUMPRODUCT(Adds!$C$56:$BG$56,Curves!$R$13:$BV$13)</f>
        <v/>
      </c>
      <c r="BH19" s="3">
        <f>SUMPRODUCT(Adds!$C$56:$BH$56,Curves!$Q$13:$BV$13)</f>
        <v/>
      </c>
      <c r="BI19" s="3">
        <f>SUMPRODUCT(Adds!$C$56:$BI$56,Curves!$P$13:$BV$13)</f>
        <v/>
      </c>
      <c r="BJ19" s="3">
        <f>SUMPRODUCT(Adds!$C$56:$BJ$56,Curves!$O$13:$BV$13)</f>
        <v/>
      </c>
      <c r="BK19" s="3">
        <f>SUMPRODUCT(Adds!$C$56:$BK$56,Curves!$N$13:$BV$13)</f>
        <v/>
      </c>
      <c r="BL19" s="3">
        <f>SUMPRODUCT(Adds!$C$56:$BL$56,Curves!$M$13:$BV$13)</f>
        <v/>
      </c>
      <c r="BM19" s="3">
        <f>SUMPRODUCT(Adds!$C$56:$BM$56,Curves!$L$13:$BV$13)</f>
        <v/>
      </c>
      <c r="BN19" s="3">
        <f>SUMPRODUCT(Adds!$C$56:$BN$56,Curves!$K$13:$BV$13)</f>
        <v/>
      </c>
      <c r="BO19" s="3">
        <f>SUMPRODUCT(Adds!$C$56:$BO$56,Curves!$J$13:$BV$13)</f>
        <v/>
      </c>
      <c r="BP19" s="3">
        <f>SUMPRODUCT(Adds!$C$56:$BP$56,Curves!$I$13:$BV$13)</f>
        <v/>
      </c>
      <c r="BQ19" s="3">
        <f>SUMPRODUCT(Adds!$C$56:$BQ$56,Curves!$H$13:$BV$13)</f>
        <v/>
      </c>
      <c r="BR19" s="3">
        <f>SUMPRODUCT(Adds!$C$56:$BR$56,Curves!$G$13:$BV$13)</f>
        <v/>
      </c>
      <c r="BS19" s="3">
        <f>SUMPRODUCT(Adds!$C$56:$BS$56,Curves!$F$13:$BV$13)</f>
        <v/>
      </c>
      <c r="BT19" s="3">
        <f>SUMPRODUCT(Adds!$C$56:$BT$56,Curves!$E$13:$BV$13)</f>
        <v/>
      </c>
      <c r="BU19" s="3">
        <f>SUMPRODUCT(Adds!$C$56:$BU$56,Curves!$D$13:$BV$13)</f>
        <v/>
      </c>
      <c r="BV19" s="3">
        <f>SUMPRODUCT(Adds!$C$56:$BV$56,Curves!$C$13:$BV$13)</f>
        <v/>
      </c>
    </row>
    <row r="20">
      <c r="A20" t="inlineStr">
        <is>
          <t>active yr 1</t>
        </is>
      </c>
      <c r="B20" t="inlineStr">
        <is>
          <t>EUROPE|NITRO_M</t>
        </is>
      </c>
      <c r="C20" s="3">
        <f>Adds!$C$56*Curves!$BV$20</f>
        <v/>
      </c>
      <c r="D20" s="3">
        <f>SUMPRODUCT(Adds!$C$56:$D$56,Curves!$BU$20:$BV$20)</f>
        <v/>
      </c>
      <c r="E20" s="3">
        <f>SUMPRODUCT(Adds!$C$56:$E$56,Curves!$BT$20:$BV$20)</f>
        <v/>
      </c>
      <c r="F20" s="3">
        <f>SUMPRODUCT(Adds!$C$56:$F$56,Curves!$BS$20:$BV$20)</f>
        <v/>
      </c>
      <c r="G20" s="3">
        <f>SUMPRODUCT(Adds!$C$56:$G$56,Curves!$BR$20:$BV$20)</f>
        <v/>
      </c>
      <c r="H20" s="3">
        <f>SUMPRODUCT(Adds!$C$56:$H$56,Curves!$BQ$20:$BV$20)</f>
        <v/>
      </c>
      <c r="I20" s="3">
        <f>SUMPRODUCT(Adds!$C$56:$I$56,Curves!$BP$20:$BV$20)</f>
        <v/>
      </c>
      <c r="J20" s="3">
        <f>SUMPRODUCT(Adds!$C$56:$J$56,Curves!$BO$20:$BV$20)</f>
        <v/>
      </c>
      <c r="K20" s="3">
        <f>SUMPRODUCT(Adds!$C$56:$K$56,Curves!$BN$20:$BV$20)</f>
        <v/>
      </c>
      <c r="L20" s="3">
        <f>SUMPRODUCT(Adds!$C$56:$L$56,Curves!$BM$20:$BV$20)</f>
        <v/>
      </c>
      <c r="M20" s="3">
        <f>SUMPRODUCT(Adds!$C$56:$M$56,Curves!$BL$20:$BV$20)</f>
        <v/>
      </c>
      <c r="N20" s="3">
        <f>SUMPRODUCT(Adds!$C$56:$N$56,Curves!$BK$20:$BV$20)</f>
        <v/>
      </c>
      <c r="O20" s="3">
        <f>SUMPRODUCT(Adds!$C$56:$O$56,Curves!$BJ$20:$BV$20)</f>
        <v/>
      </c>
      <c r="P20" s="3">
        <f>SUMPRODUCT(Adds!$C$56:$P$56,Curves!$BI$20:$BV$20)</f>
        <v/>
      </c>
      <c r="Q20" s="3">
        <f>SUMPRODUCT(Adds!$C$56:$Q$56,Curves!$BH$20:$BV$20)</f>
        <v/>
      </c>
      <c r="R20" s="3">
        <f>SUMPRODUCT(Adds!$C$56:$R$56,Curves!$BG$20:$BV$20)</f>
        <v/>
      </c>
      <c r="S20" s="3">
        <f>SUMPRODUCT(Adds!$C$56:$S$56,Curves!$BF$20:$BV$20)</f>
        <v/>
      </c>
      <c r="T20" s="3">
        <f>SUMPRODUCT(Adds!$C$56:$T$56,Curves!$BE$20:$BV$20)</f>
        <v/>
      </c>
      <c r="U20" s="3">
        <f>SUMPRODUCT(Adds!$C$56:$U$56,Curves!$BD$20:$BV$20)</f>
        <v/>
      </c>
      <c r="V20" s="3">
        <f>SUMPRODUCT(Adds!$C$56:$V$56,Curves!$BC$20:$BV$20)</f>
        <v/>
      </c>
      <c r="W20" s="3">
        <f>SUMPRODUCT(Adds!$C$56:$W$56,Curves!$BB$20:$BV$20)</f>
        <v/>
      </c>
      <c r="X20" s="3">
        <f>SUMPRODUCT(Adds!$C$56:$X$56,Curves!$BA$20:$BV$20)</f>
        <v/>
      </c>
      <c r="Y20" s="3">
        <f>SUMPRODUCT(Adds!$C$56:$Y$56,Curves!$AZ$20:$BV$20)</f>
        <v/>
      </c>
      <c r="Z20" s="3">
        <f>SUMPRODUCT(Adds!$C$56:$Z$56,Curves!$AY$20:$BV$20)</f>
        <v/>
      </c>
      <c r="AA20" s="3">
        <f>SUMPRODUCT(Adds!$C$56:$AA$56,Curves!$AX$20:$BV$20)</f>
        <v/>
      </c>
      <c r="AB20" s="3">
        <f>SUMPRODUCT(Adds!$C$56:$AB$56,Curves!$AW$20:$BV$20)</f>
        <v/>
      </c>
      <c r="AC20" s="3">
        <f>SUMPRODUCT(Adds!$C$56:$AC$56,Curves!$AV$20:$BV$20)</f>
        <v/>
      </c>
      <c r="AD20" s="3">
        <f>SUMPRODUCT(Adds!$C$56:$AD$56,Curves!$AU$20:$BV$20)</f>
        <v/>
      </c>
      <c r="AE20" s="3">
        <f>SUMPRODUCT(Adds!$C$56:$AE$56,Curves!$AT$20:$BV$20)</f>
        <v/>
      </c>
      <c r="AF20" s="3">
        <f>SUMPRODUCT(Adds!$C$56:$AF$56,Curves!$AS$20:$BV$20)</f>
        <v/>
      </c>
      <c r="AG20" s="3">
        <f>SUMPRODUCT(Adds!$C$56:$AG$56,Curves!$AR$20:$BV$20)</f>
        <v/>
      </c>
      <c r="AH20" s="3">
        <f>SUMPRODUCT(Adds!$C$56:$AH$56,Curves!$AQ$20:$BV$20)</f>
        <v/>
      </c>
      <c r="AI20" s="3">
        <f>SUMPRODUCT(Adds!$C$56:$AI$56,Curves!$AP$20:$BV$20)</f>
        <v/>
      </c>
      <c r="AJ20" s="3">
        <f>SUMPRODUCT(Adds!$C$56:$AJ$56,Curves!$AO$20:$BV$20)</f>
        <v/>
      </c>
      <c r="AK20" s="3">
        <f>SUMPRODUCT(Adds!$C$56:$AK$56,Curves!$AN$20:$BV$20)</f>
        <v/>
      </c>
      <c r="AL20" s="3">
        <f>SUMPRODUCT(Adds!$C$56:$AL$56,Curves!$AM$20:$BV$20)</f>
        <v/>
      </c>
      <c r="AM20" s="3">
        <f>SUMPRODUCT(Adds!$C$56:$AM$56,Curves!$AL$20:$BV$20)</f>
        <v/>
      </c>
      <c r="AN20" s="3">
        <f>SUMPRODUCT(Adds!$C$56:$AN$56,Curves!$AK$20:$BV$20)</f>
        <v/>
      </c>
      <c r="AO20" s="3">
        <f>SUMPRODUCT(Adds!$C$56:$AO$56,Curves!$AJ$20:$BV$20)</f>
        <v/>
      </c>
      <c r="AP20" s="3">
        <f>SUMPRODUCT(Adds!$C$56:$AP$56,Curves!$AI$20:$BV$20)</f>
        <v/>
      </c>
      <c r="AQ20" s="3">
        <f>SUMPRODUCT(Adds!$C$56:$AQ$56,Curves!$AH$20:$BV$20)</f>
        <v/>
      </c>
      <c r="AR20" s="3">
        <f>SUMPRODUCT(Adds!$C$56:$AR$56,Curves!$AG$20:$BV$20)</f>
        <v/>
      </c>
      <c r="AS20" s="3">
        <f>SUMPRODUCT(Adds!$C$56:$AS$56,Curves!$AF$20:$BV$20)</f>
        <v/>
      </c>
      <c r="AT20" s="3">
        <f>SUMPRODUCT(Adds!$C$56:$AT$56,Curves!$AE$20:$BV$20)</f>
        <v/>
      </c>
      <c r="AU20" s="3">
        <f>SUMPRODUCT(Adds!$C$56:$AU$56,Curves!$AD$20:$BV$20)</f>
        <v/>
      </c>
      <c r="AV20" s="3">
        <f>SUMPRODUCT(Adds!$C$56:$AV$56,Curves!$AC$20:$BV$20)</f>
        <v/>
      </c>
      <c r="AW20" s="3">
        <f>SUMPRODUCT(Adds!$C$56:$AW$56,Curves!$AB$20:$BV$20)</f>
        <v/>
      </c>
      <c r="AX20" s="3">
        <f>SUMPRODUCT(Adds!$C$56:$AX$56,Curves!$AA$20:$BV$20)</f>
        <v/>
      </c>
      <c r="AY20" s="3">
        <f>SUMPRODUCT(Adds!$C$56:$AY$56,Curves!$Z$20:$BV$20)</f>
        <v/>
      </c>
      <c r="AZ20" s="3">
        <f>SUMPRODUCT(Adds!$C$56:$AZ$56,Curves!$Y$20:$BV$20)</f>
        <v/>
      </c>
      <c r="BA20" s="3">
        <f>SUMPRODUCT(Adds!$C$56:$BA$56,Curves!$X$20:$BV$20)</f>
        <v/>
      </c>
      <c r="BB20" s="3">
        <f>SUMPRODUCT(Adds!$C$56:$BB$56,Curves!$W$20:$BV$20)</f>
        <v/>
      </c>
      <c r="BC20" s="3">
        <f>SUMPRODUCT(Adds!$C$56:$BC$56,Curves!$V$20:$BV$20)</f>
        <v/>
      </c>
      <c r="BD20" s="3">
        <f>SUMPRODUCT(Adds!$C$56:$BD$56,Curves!$U$20:$BV$20)</f>
        <v/>
      </c>
      <c r="BE20" s="3">
        <f>SUMPRODUCT(Adds!$C$56:$BE$56,Curves!$T$20:$BV$20)</f>
        <v/>
      </c>
      <c r="BF20" s="3">
        <f>SUMPRODUCT(Adds!$C$56:$BF$56,Curves!$S$20:$BV$20)</f>
        <v/>
      </c>
      <c r="BG20" s="3">
        <f>SUMPRODUCT(Adds!$C$56:$BG$56,Curves!$R$20:$BV$20)</f>
        <v/>
      </c>
      <c r="BH20" s="3">
        <f>SUMPRODUCT(Adds!$C$56:$BH$56,Curves!$Q$20:$BV$20)</f>
        <v/>
      </c>
      <c r="BI20" s="3">
        <f>SUMPRODUCT(Adds!$C$56:$BI$56,Curves!$P$20:$BV$20)</f>
        <v/>
      </c>
      <c r="BJ20" s="3">
        <f>SUMPRODUCT(Adds!$C$56:$BJ$56,Curves!$O$20:$BV$20)</f>
        <v/>
      </c>
      <c r="BK20" s="3">
        <f>SUMPRODUCT(Adds!$C$56:$BK$56,Curves!$N$20:$BV$20)</f>
        <v/>
      </c>
      <c r="BL20" s="3">
        <f>SUMPRODUCT(Adds!$C$56:$BL$56,Curves!$M$20:$BV$20)</f>
        <v/>
      </c>
      <c r="BM20" s="3">
        <f>SUMPRODUCT(Adds!$C$56:$BM$56,Curves!$L$20:$BV$20)</f>
        <v/>
      </c>
      <c r="BN20" s="3">
        <f>SUMPRODUCT(Adds!$C$56:$BN$56,Curves!$K$20:$BV$20)</f>
        <v/>
      </c>
      <c r="BO20" s="3">
        <f>SUMPRODUCT(Adds!$C$56:$BO$56,Curves!$J$20:$BV$20)</f>
        <v/>
      </c>
      <c r="BP20" s="3">
        <f>SUMPRODUCT(Adds!$C$56:$BP$56,Curves!$I$20:$BV$20)</f>
        <v/>
      </c>
      <c r="BQ20" s="3">
        <f>SUMPRODUCT(Adds!$C$56:$BQ$56,Curves!$H$20:$BV$20)</f>
        <v/>
      </c>
      <c r="BR20" s="3">
        <f>SUMPRODUCT(Adds!$C$56:$BR$56,Curves!$G$20:$BV$20)</f>
        <v/>
      </c>
      <c r="BS20" s="3">
        <f>SUMPRODUCT(Adds!$C$56:$BS$56,Curves!$F$20:$BV$20)</f>
        <v/>
      </c>
      <c r="BT20" s="3">
        <f>SUMPRODUCT(Adds!$C$56:$BT$56,Curves!$E$20:$BV$20)</f>
        <v/>
      </c>
      <c r="BU20" s="3">
        <f>SUMPRODUCT(Adds!$C$56:$BU$56,Curves!$D$20:$BV$20)</f>
        <v/>
      </c>
      <c r="BV20" s="3">
        <f>SUMPRODUCT(Adds!$C$56:$BV$56,Curves!$C$20:$BV$20)</f>
        <v/>
      </c>
    </row>
    <row r="21">
      <c r="A21" t="inlineStr">
        <is>
          <t>churned</t>
        </is>
      </c>
      <c r="B21" t="inlineStr">
        <is>
          <t>EUROPE|NITRO_M</t>
        </is>
      </c>
      <c r="C21" s="3">
        <f>Adds!$C$56*Curves!$BV$15</f>
        <v/>
      </c>
      <c r="D21" s="3">
        <f>SUMPRODUCT(Adds!$C$56:$D$56,Curves!$BU$15:$BV$15)</f>
        <v/>
      </c>
      <c r="E21" s="3">
        <f>SUMPRODUCT(Adds!$C$56:$E$56,Curves!$BT$15:$BV$15)</f>
        <v/>
      </c>
      <c r="F21" s="3">
        <f>SUMPRODUCT(Adds!$C$56:$F$56,Curves!$BS$15:$BV$15)</f>
        <v/>
      </c>
      <c r="G21" s="3">
        <f>SUMPRODUCT(Adds!$C$56:$G$56,Curves!$BR$15:$BV$15)</f>
        <v/>
      </c>
      <c r="H21" s="3">
        <f>SUMPRODUCT(Adds!$C$56:$H$56,Curves!$BQ$15:$BV$15)</f>
        <v/>
      </c>
      <c r="I21" s="3">
        <f>SUMPRODUCT(Adds!$C$56:$I$56,Curves!$BP$15:$BV$15)</f>
        <v/>
      </c>
      <c r="J21" s="3">
        <f>SUMPRODUCT(Adds!$C$56:$J$56,Curves!$BO$15:$BV$15)</f>
        <v/>
      </c>
      <c r="K21" s="3">
        <f>SUMPRODUCT(Adds!$C$56:$K$56,Curves!$BN$15:$BV$15)</f>
        <v/>
      </c>
      <c r="L21" s="3">
        <f>SUMPRODUCT(Adds!$C$56:$L$56,Curves!$BM$15:$BV$15)</f>
        <v/>
      </c>
      <c r="M21" s="3">
        <f>SUMPRODUCT(Adds!$C$56:$M$56,Curves!$BL$15:$BV$15)</f>
        <v/>
      </c>
      <c r="N21" s="3">
        <f>SUMPRODUCT(Adds!$C$56:$N$56,Curves!$BK$15:$BV$15)</f>
        <v/>
      </c>
      <c r="O21" s="3">
        <f>SUMPRODUCT(Adds!$C$56:$O$56,Curves!$BJ$15:$BV$15)</f>
        <v/>
      </c>
      <c r="P21" s="3">
        <f>SUMPRODUCT(Adds!$C$56:$P$56,Curves!$BI$15:$BV$15)</f>
        <v/>
      </c>
      <c r="Q21" s="3">
        <f>SUMPRODUCT(Adds!$C$56:$Q$56,Curves!$BH$15:$BV$15)</f>
        <v/>
      </c>
      <c r="R21" s="3">
        <f>SUMPRODUCT(Adds!$C$56:$R$56,Curves!$BG$15:$BV$15)</f>
        <v/>
      </c>
      <c r="S21" s="3">
        <f>SUMPRODUCT(Adds!$C$56:$S$56,Curves!$BF$15:$BV$15)</f>
        <v/>
      </c>
      <c r="T21" s="3">
        <f>SUMPRODUCT(Adds!$C$56:$T$56,Curves!$BE$15:$BV$15)</f>
        <v/>
      </c>
      <c r="U21" s="3">
        <f>SUMPRODUCT(Adds!$C$56:$U$56,Curves!$BD$15:$BV$15)</f>
        <v/>
      </c>
      <c r="V21" s="3">
        <f>SUMPRODUCT(Adds!$C$56:$V$56,Curves!$BC$15:$BV$15)</f>
        <v/>
      </c>
      <c r="W21" s="3">
        <f>SUMPRODUCT(Adds!$C$56:$W$56,Curves!$BB$15:$BV$15)</f>
        <v/>
      </c>
      <c r="X21" s="3">
        <f>SUMPRODUCT(Adds!$C$56:$X$56,Curves!$BA$15:$BV$15)</f>
        <v/>
      </c>
      <c r="Y21" s="3">
        <f>SUMPRODUCT(Adds!$C$56:$Y$56,Curves!$AZ$15:$BV$15)</f>
        <v/>
      </c>
      <c r="Z21" s="3">
        <f>SUMPRODUCT(Adds!$C$56:$Z$56,Curves!$AY$15:$BV$15)</f>
        <v/>
      </c>
      <c r="AA21" s="3">
        <f>SUMPRODUCT(Adds!$C$56:$AA$56,Curves!$AX$15:$BV$15)</f>
        <v/>
      </c>
      <c r="AB21" s="3">
        <f>SUMPRODUCT(Adds!$C$56:$AB$56,Curves!$AW$15:$BV$15)</f>
        <v/>
      </c>
      <c r="AC21" s="3">
        <f>SUMPRODUCT(Adds!$C$56:$AC$56,Curves!$AV$15:$BV$15)</f>
        <v/>
      </c>
      <c r="AD21" s="3">
        <f>SUMPRODUCT(Adds!$C$56:$AD$56,Curves!$AU$15:$BV$15)</f>
        <v/>
      </c>
      <c r="AE21" s="3">
        <f>SUMPRODUCT(Adds!$C$56:$AE$56,Curves!$AT$15:$BV$15)</f>
        <v/>
      </c>
      <c r="AF21" s="3">
        <f>SUMPRODUCT(Adds!$C$56:$AF$56,Curves!$AS$15:$BV$15)</f>
        <v/>
      </c>
      <c r="AG21" s="3">
        <f>SUMPRODUCT(Adds!$C$56:$AG$56,Curves!$AR$15:$BV$15)</f>
        <v/>
      </c>
      <c r="AH21" s="3">
        <f>SUMPRODUCT(Adds!$C$56:$AH$56,Curves!$AQ$15:$BV$15)</f>
        <v/>
      </c>
      <c r="AI21" s="3">
        <f>SUMPRODUCT(Adds!$C$56:$AI$56,Curves!$AP$15:$BV$15)</f>
        <v/>
      </c>
      <c r="AJ21" s="3">
        <f>SUMPRODUCT(Adds!$C$56:$AJ$56,Curves!$AO$15:$BV$15)</f>
        <v/>
      </c>
      <c r="AK21" s="3">
        <f>SUMPRODUCT(Adds!$C$56:$AK$56,Curves!$AN$15:$BV$15)</f>
        <v/>
      </c>
      <c r="AL21" s="3">
        <f>SUMPRODUCT(Adds!$C$56:$AL$56,Curves!$AM$15:$BV$15)</f>
        <v/>
      </c>
      <c r="AM21" s="3">
        <f>SUMPRODUCT(Adds!$C$56:$AM$56,Curves!$AL$15:$BV$15)</f>
        <v/>
      </c>
      <c r="AN21" s="3">
        <f>SUMPRODUCT(Adds!$C$56:$AN$56,Curves!$AK$15:$BV$15)</f>
        <v/>
      </c>
      <c r="AO21" s="3">
        <f>SUMPRODUCT(Adds!$C$56:$AO$56,Curves!$AJ$15:$BV$15)</f>
        <v/>
      </c>
      <c r="AP21" s="3">
        <f>SUMPRODUCT(Adds!$C$56:$AP$56,Curves!$AI$15:$BV$15)</f>
        <v/>
      </c>
      <c r="AQ21" s="3">
        <f>SUMPRODUCT(Adds!$C$56:$AQ$56,Curves!$AH$15:$BV$15)</f>
        <v/>
      </c>
      <c r="AR21" s="3">
        <f>SUMPRODUCT(Adds!$C$56:$AR$56,Curves!$AG$15:$BV$15)</f>
        <v/>
      </c>
      <c r="AS21" s="3">
        <f>SUMPRODUCT(Adds!$C$56:$AS$56,Curves!$AF$15:$BV$15)</f>
        <v/>
      </c>
      <c r="AT21" s="3">
        <f>SUMPRODUCT(Adds!$C$56:$AT$56,Curves!$AE$15:$BV$15)</f>
        <v/>
      </c>
      <c r="AU21" s="3">
        <f>SUMPRODUCT(Adds!$C$56:$AU$56,Curves!$AD$15:$BV$15)</f>
        <v/>
      </c>
      <c r="AV21" s="3">
        <f>SUMPRODUCT(Adds!$C$56:$AV$56,Curves!$AC$15:$BV$15)</f>
        <v/>
      </c>
      <c r="AW21" s="3">
        <f>SUMPRODUCT(Adds!$C$56:$AW$56,Curves!$AB$15:$BV$15)</f>
        <v/>
      </c>
      <c r="AX21" s="3">
        <f>SUMPRODUCT(Adds!$C$56:$AX$56,Curves!$AA$15:$BV$15)</f>
        <v/>
      </c>
      <c r="AY21" s="3">
        <f>SUMPRODUCT(Adds!$C$56:$AY$56,Curves!$Z$15:$BV$15)</f>
        <v/>
      </c>
      <c r="AZ21" s="3">
        <f>SUMPRODUCT(Adds!$C$56:$AZ$56,Curves!$Y$15:$BV$15)</f>
        <v/>
      </c>
      <c r="BA21" s="3">
        <f>SUMPRODUCT(Adds!$C$56:$BA$56,Curves!$X$15:$BV$15)</f>
        <v/>
      </c>
      <c r="BB21" s="3">
        <f>SUMPRODUCT(Adds!$C$56:$BB$56,Curves!$W$15:$BV$15)</f>
        <v/>
      </c>
      <c r="BC21" s="3">
        <f>SUMPRODUCT(Adds!$C$56:$BC$56,Curves!$V$15:$BV$15)</f>
        <v/>
      </c>
      <c r="BD21" s="3">
        <f>SUMPRODUCT(Adds!$C$56:$BD$56,Curves!$U$15:$BV$15)</f>
        <v/>
      </c>
      <c r="BE21" s="3">
        <f>SUMPRODUCT(Adds!$C$56:$BE$56,Curves!$T$15:$BV$15)</f>
        <v/>
      </c>
      <c r="BF21" s="3">
        <f>SUMPRODUCT(Adds!$C$56:$BF$56,Curves!$S$15:$BV$15)</f>
        <v/>
      </c>
      <c r="BG21" s="3">
        <f>SUMPRODUCT(Adds!$C$56:$BG$56,Curves!$R$15:$BV$15)</f>
        <v/>
      </c>
      <c r="BH21" s="3">
        <f>SUMPRODUCT(Adds!$C$56:$BH$56,Curves!$Q$15:$BV$15)</f>
        <v/>
      </c>
      <c r="BI21" s="3">
        <f>SUMPRODUCT(Adds!$C$56:$BI$56,Curves!$P$15:$BV$15)</f>
        <v/>
      </c>
      <c r="BJ21" s="3">
        <f>SUMPRODUCT(Adds!$C$56:$BJ$56,Curves!$O$15:$BV$15)</f>
        <v/>
      </c>
      <c r="BK21" s="3">
        <f>SUMPRODUCT(Adds!$C$56:$BK$56,Curves!$N$15:$BV$15)</f>
        <v/>
      </c>
      <c r="BL21" s="3">
        <f>SUMPRODUCT(Adds!$C$56:$BL$56,Curves!$M$15:$BV$15)</f>
        <v/>
      </c>
      <c r="BM21" s="3">
        <f>SUMPRODUCT(Adds!$C$56:$BM$56,Curves!$L$15:$BV$15)</f>
        <v/>
      </c>
      <c r="BN21" s="3">
        <f>SUMPRODUCT(Adds!$C$56:$BN$56,Curves!$K$15:$BV$15)</f>
        <v/>
      </c>
      <c r="BO21" s="3">
        <f>SUMPRODUCT(Adds!$C$56:$BO$56,Curves!$J$15:$BV$15)</f>
        <v/>
      </c>
      <c r="BP21" s="3">
        <f>SUMPRODUCT(Adds!$C$56:$BP$56,Curves!$I$15:$BV$15)</f>
        <v/>
      </c>
      <c r="BQ21" s="3">
        <f>SUMPRODUCT(Adds!$C$56:$BQ$56,Curves!$H$15:$BV$15)</f>
        <v/>
      </c>
      <c r="BR21" s="3">
        <f>SUMPRODUCT(Adds!$C$56:$BR$56,Curves!$G$15:$BV$15)</f>
        <v/>
      </c>
      <c r="BS21" s="3">
        <f>SUMPRODUCT(Adds!$C$56:$BS$56,Curves!$F$15:$BV$15)</f>
        <v/>
      </c>
      <c r="BT21" s="3">
        <f>SUMPRODUCT(Adds!$C$56:$BT$56,Curves!$E$15:$BV$15)</f>
        <v/>
      </c>
      <c r="BU21" s="3">
        <f>SUMPRODUCT(Adds!$C$56:$BU$56,Curves!$D$15:$BV$15)</f>
        <v/>
      </c>
      <c r="BV21" s="3">
        <f>SUMPRODUCT(Adds!$C$56:$BV$56,Curves!$C$15:$BV$15)</f>
        <v/>
      </c>
    </row>
    <row r="23">
      <c r="A23" t="inlineStr">
        <is>
          <t>active</t>
        </is>
      </c>
      <c r="B23" t="inlineStr">
        <is>
          <t>EUROPE|NITRO_A</t>
        </is>
      </c>
      <c r="C23" s="3">
        <f>Adds!$C$67*Curves!$BV$14</f>
        <v/>
      </c>
      <c r="D23" s="3">
        <f>SUMPRODUCT(Adds!$C$67:$D$67,Curves!$BU$14:$BV$14)</f>
        <v/>
      </c>
      <c r="E23" s="3">
        <f>SUMPRODUCT(Adds!$C$67:$E$67,Curves!$BT$14:$BV$14)</f>
        <v/>
      </c>
      <c r="F23" s="3">
        <f>SUMPRODUCT(Adds!$C$67:$F$67,Curves!$BS$14:$BV$14)</f>
        <v/>
      </c>
      <c r="G23" s="3">
        <f>SUMPRODUCT(Adds!$C$67:$G$67,Curves!$BR$14:$BV$14)</f>
        <v/>
      </c>
      <c r="H23" s="3">
        <f>SUMPRODUCT(Adds!$C$67:$H$67,Curves!$BQ$14:$BV$14)</f>
        <v/>
      </c>
      <c r="I23" s="3">
        <f>SUMPRODUCT(Adds!$C$67:$I$67,Curves!$BP$14:$BV$14)</f>
        <v/>
      </c>
      <c r="J23" s="3">
        <f>SUMPRODUCT(Adds!$C$67:$J$67,Curves!$BO$14:$BV$14)</f>
        <v/>
      </c>
      <c r="K23" s="3">
        <f>SUMPRODUCT(Adds!$C$67:$K$67,Curves!$BN$14:$BV$14)</f>
        <v/>
      </c>
      <c r="L23" s="3">
        <f>SUMPRODUCT(Adds!$C$67:$L$67,Curves!$BM$14:$BV$14)</f>
        <v/>
      </c>
      <c r="M23" s="3">
        <f>SUMPRODUCT(Adds!$C$67:$M$67,Curves!$BL$14:$BV$14)</f>
        <v/>
      </c>
      <c r="N23" s="3">
        <f>SUMPRODUCT(Adds!$C$67:$N$67,Curves!$BK$14:$BV$14)</f>
        <v/>
      </c>
      <c r="O23" s="3">
        <f>SUMPRODUCT(Adds!$C$67:$O$67,Curves!$BJ$14:$BV$14)</f>
        <v/>
      </c>
      <c r="P23" s="3">
        <f>SUMPRODUCT(Adds!$C$67:$P$67,Curves!$BI$14:$BV$14)</f>
        <v/>
      </c>
      <c r="Q23" s="3">
        <f>SUMPRODUCT(Adds!$C$67:$Q$67,Curves!$BH$14:$BV$14)</f>
        <v/>
      </c>
      <c r="R23" s="3">
        <f>SUMPRODUCT(Adds!$C$67:$R$67,Curves!$BG$14:$BV$14)</f>
        <v/>
      </c>
      <c r="S23" s="3">
        <f>SUMPRODUCT(Adds!$C$67:$S$67,Curves!$BF$14:$BV$14)</f>
        <v/>
      </c>
      <c r="T23" s="3">
        <f>SUMPRODUCT(Adds!$C$67:$T$67,Curves!$BE$14:$BV$14)</f>
        <v/>
      </c>
      <c r="U23" s="3">
        <f>SUMPRODUCT(Adds!$C$67:$U$67,Curves!$BD$14:$BV$14)</f>
        <v/>
      </c>
      <c r="V23" s="3">
        <f>SUMPRODUCT(Adds!$C$67:$V$67,Curves!$BC$14:$BV$14)</f>
        <v/>
      </c>
      <c r="W23" s="3">
        <f>SUMPRODUCT(Adds!$C$67:$W$67,Curves!$BB$14:$BV$14)</f>
        <v/>
      </c>
      <c r="X23" s="3">
        <f>SUMPRODUCT(Adds!$C$67:$X$67,Curves!$BA$14:$BV$14)</f>
        <v/>
      </c>
      <c r="Y23" s="3">
        <f>SUMPRODUCT(Adds!$C$67:$Y$67,Curves!$AZ$14:$BV$14)</f>
        <v/>
      </c>
      <c r="Z23" s="3">
        <f>SUMPRODUCT(Adds!$C$67:$Z$67,Curves!$AY$14:$BV$14)</f>
        <v/>
      </c>
      <c r="AA23" s="3">
        <f>SUMPRODUCT(Adds!$C$67:$AA$67,Curves!$AX$14:$BV$14)</f>
        <v/>
      </c>
      <c r="AB23" s="3">
        <f>SUMPRODUCT(Adds!$C$67:$AB$67,Curves!$AW$14:$BV$14)</f>
        <v/>
      </c>
      <c r="AC23" s="3">
        <f>SUMPRODUCT(Adds!$C$67:$AC$67,Curves!$AV$14:$BV$14)</f>
        <v/>
      </c>
      <c r="AD23" s="3">
        <f>SUMPRODUCT(Adds!$C$67:$AD$67,Curves!$AU$14:$BV$14)</f>
        <v/>
      </c>
      <c r="AE23" s="3">
        <f>SUMPRODUCT(Adds!$C$67:$AE$67,Curves!$AT$14:$BV$14)</f>
        <v/>
      </c>
      <c r="AF23" s="3">
        <f>SUMPRODUCT(Adds!$C$67:$AF$67,Curves!$AS$14:$BV$14)</f>
        <v/>
      </c>
      <c r="AG23" s="3">
        <f>SUMPRODUCT(Adds!$C$67:$AG$67,Curves!$AR$14:$BV$14)</f>
        <v/>
      </c>
      <c r="AH23" s="3">
        <f>SUMPRODUCT(Adds!$C$67:$AH$67,Curves!$AQ$14:$BV$14)</f>
        <v/>
      </c>
      <c r="AI23" s="3">
        <f>SUMPRODUCT(Adds!$C$67:$AI$67,Curves!$AP$14:$BV$14)</f>
        <v/>
      </c>
      <c r="AJ23" s="3">
        <f>SUMPRODUCT(Adds!$C$67:$AJ$67,Curves!$AO$14:$BV$14)</f>
        <v/>
      </c>
      <c r="AK23" s="3">
        <f>SUMPRODUCT(Adds!$C$67:$AK$67,Curves!$AN$14:$BV$14)</f>
        <v/>
      </c>
      <c r="AL23" s="3">
        <f>SUMPRODUCT(Adds!$C$67:$AL$67,Curves!$AM$14:$BV$14)</f>
        <v/>
      </c>
      <c r="AM23" s="3">
        <f>SUMPRODUCT(Adds!$C$67:$AM$67,Curves!$AL$14:$BV$14)</f>
        <v/>
      </c>
      <c r="AN23" s="3">
        <f>SUMPRODUCT(Adds!$C$67:$AN$67,Curves!$AK$14:$BV$14)</f>
        <v/>
      </c>
      <c r="AO23" s="3">
        <f>SUMPRODUCT(Adds!$C$67:$AO$67,Curves!$AJ$14:$BV$14)</f>
        <v/>
      </c>
      <c r="AP23" s="3">
        <f>SUMPRODUCT(Adds!$C$67:$AP$67,Curves!$AI$14:$BV$14)</f>
        <v/>
      </c>
      <c r="AQ23" s="3">
        <f>SUMPRODUCT(Adds!$C$67:$AQ$67,Curves!$AH$14:$BV$14)</f>
        <v/>
      </c>
      <c r="AR23" s="3">
        <f>SUMPRODUCT(Adds!$C$67:$AR$67,Curves!$AG$14:$BV$14)</f>
        <v/>
      </c>
      <c r="AS23" s="3">
        <f>SUMPRODUCT(Adds!$C$67:$AS$67,Curves!$AF$14:$BV$14)</f>
        <v/>
      </c>
      <c r="AT23" s="3">
        <f>SUMPRODUCT(Adds!$C$67:$AT$67,Curves!$AE$14:$BV$14)</f>
        <v/>
      </c>
      <c r="AU23" s="3">
        <f>SUMPRODUCT(Adds!$C$67:$AU$67,Curves!$AD$14:$BV$14)</f>
        <v/>
      </c>
      <c r="AV23" s="3">
        <f>SUMPRODUCT(Adds!$C$67:$AV$67,Curves!$AC$14:$BV$14)</f>
        <v/>
      </c>
      <c r="AW23" s="3">
        <f>SUMPRODUCT(Adds!$C$67:$AW$67,Curves!$AB$14:$BV$14)</f>
        <v/>
      </c>
      <c r="AX23" s="3">
        <f>SUMPRODUCT(Adds!$C$67:$AX$67,Curves!$AA$14:$BV$14)</f>
        <v/>
      </c>
      <c r="AY23" s="3">
        <f>SUMPRODUCT(Adds!$C$67:$AY$67,Curves!$Z$14:$BV$14)</f>
        <v/>
      </c>
      <c r="AZ23" s="3">
        <f>SUMPRODUCT(Adds!$C$67:$AZ$67,Curves!$Y$14:$BV$14)</f>
        <v/>
      </c>
      <c r="BA23" s="3">
        <f>SUMPRODUCT(Adds!$C$67:$BA$67,Curves!$X$14:$BV$14)</f>
        <v/>
      </c>
      <c r="BB23" s="3">
        <f>SUMPRODUCT(Adds!$C$67:$BB$67,Curves!$W$14:$BV$14)</f>
        <v/>
      </c>
      <c r="BC23" s="3">
        <f>SUMPRODUCT(Adds!$C$67:$BC$67,Curves!$V$14:$BV$14)</f>
        <v/>
      </c>
      <c r="BD23" s="3">
        <f>SUMPRODUCT(Adds!$C$67:$BD$67,Curves!$U$14:$BV$14)</f>
        <v/>
      </c>
      <c r="BE23" s="3">
        <f>SUMPRODUCT(Adds!$C$67:$BE$67,Curves!$T$14:$BV$14)</f>
        <v/>
      </c>
      <c r="BF23" s="3">
        <f>SUMPRODUCT(Adds!$C$67:$BF$67,Curves!$S$14:$BV$14)</f>
        <v/>
      </c>
      <c r="BG23" s="3">
        <f>SUMPRODUCT(Adds!$C$67:$BG$67,Curves!$R$14:$BV$14)</f>
        <v/>
      </c>
      <c r="BH23" s="3">
        <f>SUMPRODUCT(Adds!$C$67:$BH$67,Curves!$Q$14:$BV$14)</f>
        <v/>
      </c>
      <c r="BI23" s="3">
        <f>SUMPRODUCT(Adds!$C$67:$BI$67,Curves!$P$14:$BV$14)</f>
        <v/>
      </c>
      <c r="BJ23" s="3">
        <f>SUMPRODUCT(Adds!$C$67:$BJ$67,Curves!$O$14:$BV$14)</f>
        <v/>
      </c>
      <c r="BK23" s="3">
        <f>SUMPRODUCT(Adds!$C$67:$BK$67,Curves!$N$14:$BV$14)</f>
        <v/>
      </c>
      <c r="BL23" s="3">
        <f>SUMPRODUCT(Adds!$C$67:$BL$67,Curves!$M$14:$BV$14)</f>
        <v/>
      </c>
      <c r="BM23" s="3">
        <f>SUMPRODUCT(Adds!$C$67:$BM$67,Curves!$L$14:$BV$14)</f>
        <v/>
      </c>
      <c r="BN23" s="3">
        <f>SUMPRODUCT(Adds!$C$67:$BN$67,Curves!$K$14:$BV$14)</f>
        <v/>
      </c>
      <c r="BO23" s="3">
        <f>SUMPRODUCT(Adds!$C$67:$BO$67,Curves!$J$14:$BV$14)</f>
        <v/>
      </c>
      <c r="BP23" s="3">
        <f>SUMPRODUCT(Adds!$C$67:$BP$67,Curves!$I$14:$BV$14)</f>
        <v/>
      </c>
      <c r="BQ23" s="3">
        <f>SUMPRODUCT(Adds!$C$67:$BQ$67,Curves!$H$14:$BV$14)</f>
        <v/>
      </c>
      <c r="BR23" s="3">
        <f>SUMPRODUCT(Adds!$C$67:$BR$67,Curves!$G$14:$BV$14)</f>
        <v/>
      </c>
      <c r="BS23" s="3">
        <f>SUMPRODUCT(Adds!$C$67:$BS$67,Curves!$F$14:$BV$14)</f>
        <v/>
      </c>
      <c r="BT23" s="3">
        <f>SUMPRODUCT(Adds!$C$67:$BT$67,Curves!$E$14:$BV$14)</f>
        <v/>
      </c>
      <c r="BU23" s="3">
        <f>SUMPRODUCT(Adds!$C$67:$BU$67,Curves!$D$14:$BV$14)</f>
        <v/>
      </c>
      <c r="BV23" s="3">
        <f>SUMPRODUCT(Adds!$C$67:$BV$67,Curves!$C$14:$BV$14)</f>
        <v/>
      </c>
    </row>
    <row r="24">
      <c r="A24" t="inlineStr">
        <is>
          <t>active yr 1</t>
        </is>
      </c>
      <c r="B24" t="inlineStr">
        <is>
          <t>EUROPE|NITRO_A</t>
        </is>
      </c>
      <c r="C24" s="3">
        <f>Adds!$C$67*Curves!$BV$21</f>
        <v/>
      </c>
      <c r="D24" s="3">
        <f>SUMPRODUCT(Adds!$C$67:$D$67,Curves!$BU$21:$BV$21)</f>
        <v/>
      </c>
      <c r="E24" s="3">
        <f>SUMPRODUCT(Adds!$C$67:$E$67,Curves!$BT$21:$BV$21)</f>
        <v/>
      </c>
      <c r="F24" s="3">
        <f>SUMPRODUCT(Adds!$C$67:$F$67,Curves!$BS$21:$BV$21)</f>
        <v/>
      </c>
      <c r="G24" s="3">
        <f>SUMPRODUCT(Adds!$C$67:$G$67,Curves!$BR$21:$BV$21)</f>
        <v/>
      </c>
      <c r="H24" s="3">
        <f>SUMPRODUCT(Adds!$C$67:$H$67,Curves!$BQ$21:$BV$21)</f>
        <v/>
      </c>
      <c r="I24" s="3">
        <f>SUMPRODUCT(Adds!$C$67:$I$67,Curves!$BP$21:$BV$21)</f>
        <v/>
      </c>
      <c r="J24" s="3">
        <f>SUMPRODUCT(Adds!$C$67:$J$67,Curves!$BO$21:$BV$21)</f>
        <v/>
      </c>
      <c r="K24" s="3">
        <f>SUMPRODUCT(Adds!$C$67:$K$67,Curves!$BN$21:$BV$21)</f>
        <v/>
      </c>
      <c r="L24" s="3">
        <f>SUMPRODUCT(Adds!$C$67:$L$67,Curves!$BM$21:$BV$21)</f>
        <v/>
      </c>
      <c r="M24" s="3">
        <f>SUMPRODUCT(Adds!$C$67:$M$67,Curves!$BL$21:$BV$21)</f>
        <v/>
      </c>
      <c r="N24" s="3">
        <f>SUMPRODUCT(Adds!$C$67:$N$67,Curves!$BK$21:$BV$21)</f>
        <v/>
      </c>
      <c r="O24" s="3">
        <f>SUMPRODUCT(Adds!$C$67:$O$67,Curves!$BJ$21:$BV$21)</f>
        <v/>
      </c>
      <c r="P24" s="3">
        <f>SUMPRODUCT(Adds!$C$67:$P$67,Curves!$BI$21:$BV$21)</f>
        <v/>
      </c>
      <c r="Q24" s="3">
        <f>SUMPRODUCT(Adds!$C$67:$Q$67,Curves!$BH$21:$BV$21)</f>
        <v/>
      </c>
      <c r="R24" s="3">
        <f>SUMPRODUCT(Adds!$C$67:$R$67,Curves!$BG$21:$BV$21)</f>
        <v/>
      </c>
      <c r="S24" s="3">
        <f>SUMPRODUCT(Adds!$C$67:$S$67,Curves!$BF$21:$BV$21)</f>
        <v/>
      </c>
      <c r="T24" s="3">
        <f>SUMPRODUCT(Adds!$C$67:$T$67,Curves!$BE$21:$BV$21)</f>
        <v/>
      </c>
      <c r="U24" s="3">
        <f>SUMPRODUCT(Adds!$C$67:$U$67,Curves!$BD$21:$BV$21)</f>
        <v/>
      </c>
      <c r="V24" s="3">
        <f>SUMPRODUCT(Adds!$C$67:$V$67,Curves!$BC$21:$BV$21)</f>
        <v/>
      </c>
      <c r="W24" s="3">
        <f>SUMPRODUCT(Adds!$C$67:$W$67,Curves!$BB$21:$BV$21)</f>
        <v/>
      </c>
      <c r="X24" s="3">
        <f>SUMPRODUCT(Adds!$C$67:$X$67,Curves!$BA$21:$BV$21)</f>
        <v/>
      </c>
      <c r="Y24" s="3">
        <f>SUMPRODUCT(Adds!$C$67:$Y$67,Curves!$AZ$21:$BV$21)</f>
        <v/>
      </c>
      <c r="Z24" s="3">
        <f>SUMPRODUCT(Adds!$C$67:$Z$67,Curves!$AY$21:$BV$21)</f>
        <v/>
      </c>
      <c r="AA24" s="3">
        <f>SUMPRODUCT(Adds!$C$67:$AA$67,Curves!$AX$21:$BV$21)</f>
        <v/>
      </c>
      <c r="AB24" s="3">
        <f>SUMPRODUCT(Adds!$C$67:$AB$67,Curves!$AW$21:$BV$21)</f>
        <v/>
      </c>
      <c r="AC24" s="3">
        <f>SUMPRODUCT(Adds!$C$67:$AC$67,Curves!$AV$21:$BV$21)</f>
        <v/>
      </c>
      <c r="AD24" s="3">
        <f>SUMPRODUCT(Adds!$C$67:$AD$67,Curves!$AU$21:$BV$21)</f>
        <v/>
      </c>
      <c r="AE24" s="3">
        <f>SUMPRODUCT(Adds!$C$67:$AE$67,Curves!$AT$21:$BV$21)</f>
        <v/>
      </c>
      <c r="AF24" s="3">
        <f>SUMPRODUCT(Adds!$C$67:$AF$67,Curves!$AS$21:$BV$21)</f>
        <v/>
      </c>
      <c r="AG24" s="3">
        <f>SUMPRODUCT(Adds!$C$67:$AG$67,Curves!$AR$21:$BV$21)</f>
        <v/>
      </c>
      <c r="AH24" s="3">
        <f>SUMPRODUCT(Adds!$C$67:$AH$67,Curves!$AQ$21:$BV$21)</f>
        <v/>
      </c>
      <c r="AI24" s="3">
        <f>SUMPRODUCT(Adds!$C$67:$AI$67,Curves!$AP$21:$BV$21)</f>
        <v/>
      </c>
      <c r="AJ24" s="3">
        <f>SUMPRODUCT(Adds!$C$67:$AJ$67,Curves!$AO$21:$BV$21)</f>
        <v/>
      </c>
      <c r="AK24" s="3">
        <f>SUMPRODUCT(Adds!$C$67:$AK$67,Curves!$AN$21:$BV$21)</f>
        <v/>
      </c>
      <c r="AL24" s="3">
        <f>SUMPRODUCT(Adds!$C$67:$AL$67,Curves!$AM$21:$BV$21)</f>
        <v/>
      </c>
      <c r="AM24" s="3">
        <f>SUMPRODUCT(Adds!$C$67:$AM$67,Curves!$AL$21:$BV$21)</f>
        <v/>
      </c>
      <c r="AN24" s="3">
        <f>SUMPRODUCT(Adds!$C$67:$AN$67,Curves!$AK$21:$BV$21)</f>
        <v/>
      </c>
      <c r="AO24" s="3">
        <f>SUMPRODUCT(Adds!$C$67:$AO$67,Curves!$AJ$21:$BV$21)</f>
        <v/>
      </c>
      <c r="AP24" s="3">
        <f>SUMPRODUCT(Adds!$C$67:$AP$67,Curves!$AI$21:$BV$21)</f>
        <v/>
      </c>
      <c r="AQ24" s="3">
        <f>SUMPRODUCT(Adds!$C$67:$AQ$67,Curves!$AH$21:$BV$21)</f>
        <v/>
      </c>
      <c r="AR24" s="3">
        <f>SUMPRODUCT(Adds!$C$67:$AR$67,Curves!$AG$21:$BV$21)</f>
        <v/>
      </c>
      <c r="AS24" s="3">
        <f>SUMPRODUCT(Adds!$C$67:$AS$67,Curves!$AF$21:$BV$21)</f>
        <v/>
      </c>
      <c r="AT24" s="3">
        <f>SUMPRODUCT(Adds!$C$67:$AT$67,Curves!$AE$21:$BV$21)</f>
        <v/>
      </c>
      <c r="AU24" s="3">
        <f>SUMPRODUCT(Adds!$C$67:$AU$67,Curves!$AD$21:$BV$21)</f>
        <v/>
      </c>
      <c r="AV24" s="3">
        <f>SUMPRODUCT(Adds!$C$67:$AV$67,Curves!$AC$21:$BV$21)</f>
        <v/>
      </c>
      <c r="AW24" s="3">
        <f>SUMPRODUCT(Adds!$C$67:$AW$67,Curves!$AB$21:$BV$21)</f>
        <v/>
      </c>
      <c r="AX24" s="3">
        <f>SUMPRODUCT(Adds!$C$67:$AX$67,Curves!$AA$21:$BV$21)</f>
        <v/>
      </c>
      <c r="AY24" s="3">
        <f>SUMPRODUCT(Adds!$C$67:$AY$67,Curves!$Z$21:$BV$21)</f>
        <v/>
      </c>
      <c r="AZ24" s="3">
        <f>SUMPRODUCT(Adds!$C$67:$AZ$67,Curves!$Y$21:$BV$21)</f>
        <v/>
      </c>
      <c r="BA24" s="3">
        <f>SUMPRODUCT(Adds!$C$67:$BA$67,Curves!$X$21:$BV$21)</f>
        <v/>
      </c>
      <c r="BB24" s="3">
        <f>SUMPRODUCT(Adds!$C$67:$BB$67,Curves!$W$21:$BV$21)</f>
        <v/>
      </c>
      <c r="BC24" s="3">
        <f>SUMPRODUCT(Adds!$C$67:$BC$67,Curves!$V$21:$BV$21)</f>
        <v/>
      </c>
      <c r="BD24" s="3">
        <f>SUMPRODUCT(Adds!$C$67:$BD$67,Curves!$U$21:$BV$21)</f>
        <v/>
      </c>
      <c r="BE24" s="3">
        <f>SUMPRODUCT(Adds!$C$67:$BE$67,Curves!$T$21:$BV$21)</f>
        <v/>
      </c>
      <c r="BF24" s="3">
        <f>SUMPRODUCT(Adds!$C$67:$BF$67,Curves!$S$21:$BV$21)</f>
        <v/>
      </c>
      <c r="BG24" s="3">
        <f>SUMPRODUCT(Adds!$C$67:$BG$67,Curves!$R$21:$BV$21)</f>
        <v/>
      </c>
      <c r="BH24" s="3">
        <f>SUMPRODUCT(Adds!$C$67:$BH$67,Curves!$Q$21:$BV$21)</f>
        <v/>
      </c>
      <c r="BI24" s="3">
        <f>SUMPRODUCT(Adds!$C$67:$BI$67,Curves!$P$21:$BV$21)</f>
        <v/>
      </c>
      <c r="BJ24" s="3">
        <f>SUMPRODUCT(Adds!$C$67:$BJ$67,Curves!$O$21:$BV$21)</f>
        <v/>
      </c>
      <c r="BK24" s="3">
        <f>SUMPRODUCT(Adds!$C$67:$BK$67,Curves!$N$21:$BV$21)</f>
        <v/>
      </c>
      <c r="BL24" s="3">
        <f>SUMPRODUCT(Adds!$C$67:$BL$67,Curves!$M$21:$BV$21)</f>
        <v/>
      </c>
      <c r="BM24" s="3">
        <f>SUMPRODUCT(Adds!$C$67:$BM$67,Curves!$L$21:$BV$21)</f>
        <v/>
      </c>
      <c r="BN24" s="3">
        <f>SUMPRODUCT(Adds!$C$67:$BN$67,Curves!$K$21:$BV$21)</f>
        <v/>
      </c>
      <c r="BO24" s="3">
        <f>SUMPRODUCT(Adds!$C$67:$BO$67,Curves!$J$21:$BV$21)</f>
        <v/>
      </c>
      <c r="BP24" s="3">
        <f>SUMPRODUCT(Adds!$C$67:$BP$67,Curves!$I$21:$BV$21)</f>
        <v/>
      </c>
      <c r="BQ24" s="3">
        <f>SUMPRODUCT(Adds!$C$67:$BQ$67,Curves!$H$21:$BV$21)</f>
        <v/>
      </c>
      <c r="BR24" s="3">
        <f>SUMPRODUCT(Adds!$C$67:$BR$67,Curves!$G$21:$BV$21)</f>
        <v/>
      </c>
      <c r="BS24" s="3">
        <f>SUMPRODUCT(Adds!$C$67:$BS$67,Curves!$F$21:$BV$21)</f>
        <v/>
      </c>
      <c r="BT24" s="3">
        <f>SUMPRODUCT(Adds!$C$67:$BT$67,Curves!$E$21:$BV$21)</f>
        <v/>
      </c>
      <c r="BU24" s="3">
        <f>SUMPRODUCT(Adds!$C$67:$BU$67,Curves!$D$21:$BV$21)</f>
        <v/>
      </c>
      <c r="BV24" s="3">
        <f>SUMPRODUCT(Adds!$C$67:$BV$67,Curves!$C$21:$BV$21)</f>
        <v/>
      </c>
    </row>
    <row r="25">
      <c r="A25" t="inlineStr">
        <is>
          <t>churned</t>
        </is>
      </c>
      <c r="B25" t="inlineStr">
        <is>
          <t>EUROPE|NITRO_A</t>
        </is>
      </c>
      <c r="C25" s="3">
        <f>Adds!$C$67*Curves!$BV$16</f>
        <v/>
      </c>
      <c r="D25" s="3">
        <f>SUMPRODUCT(Adds!$C$67:$D$67,Curves!$BU$16:$BV$16)</f>
        <v/>
      </c>
      <c r="E25" s="3">
        <f>SUMPRODUCT(Adds!$C$67:$E$67,Curves!$BT$16:$BV$16)</f>
        <v/>
      </c>
      <c r="F25" s="3">
        <f>SUMPRODUCT(Adds!$C$67:$F$67,Curves!$BS$16:$BV$16)</f>
        <v/>
      </c>
      <c r="G25" s="3">
        <f>SUMPRODUCT(Adds!$C$67:$G$67,Curves!$BR$16:$BV$16)</f>
        <v/>
      </c>
      <c r="H25" s="3">
        <f>SUMPRODUCT(Adds!$C$67:$H$67,Curves!$BQ$16:$BV$16)</f>
        <v/>
      </c>
      <c r="I25" s="3">
        <f>SUMPRODUCT(Adds!$C$67:$I$67,Curves!$BP$16:$BV$16)</f>
        <v/>
      </c>
      <c r="J25" s="3">
        <f>SUMPRODUCT(Adds!$C$67:$J$67,Curves!$BO$16:$BV$16)</f>
        <v/>
      </c>
      <c r="K25" s="3">
        <f>SUMPRODUCT(Adds!$C$67:$K$67,Curves!$BN$16:$BV$16)</f>
        <v/>
      </c>
      <c r="L25" s="3">
        <f>SUMPRODUCT(Adds!$C$67:$L$67,Curves!$BM$16:$BV$16)</f>
        <v/>
      </c>
      <c r="M25" s="3">
        <f>SUMPRODUCT(Adds!$C$67:$M$67,Curves!$BL$16:$BV$16)</f>
        <v/>
      </c>
      <c r="N25" s="3">
        <f>SUMPRODUCT(Adds!$C$67:$N$67,Curves!$BK$16:$BV$16)</f>
        <v/>
      </c>
      <c r="O25" s="3">
        <f>SUMPRODUCT(Adds!$C$67:$O$67,Curves!$BJ$16:$BV$16)</f>
        <v/>
      </c>
      <c r="P25" s="3">
        <f>SUMPRODUCT(Adds!$C$67:$P$67,Curves!$BI$16:$BV$16)</f>
        <v/>
      </c>
      <c r="Q25" s="3">
        <f>SUMPRODUCT(Adds!$C$67:$Q$67,Curves!$BH$16:$BV$16)</f>
        <v/>
      </c>
      <c r="R25" s="3">
        <f>SUMPRODUCT(Adds!$C$67:$R$67,Curves!$BG$16:$BV$16)</f>
        <v/>
      </c>
      <c r="S25" s="3">
        <f>SUMPRODUCT(Adds!$C$67:$S$67,Curves!$BF$16:$BV$16)</f>
        <v/>
      </c>
      <c r="T25" s="3">
        <f>SUMPRODUCT(Adds!$C$67:$T$67,Curves!$BE$16:$BV$16)</f>
        <v/>
      </c>
      <c r="U25" s="3">
        <f>SUMPRODUCT(Adds!$C$67:$U$67,Curves!$BD$16:$BV$16)</f>
        <v/>
      </c>
      <c r="V25" s="3">
        <f>SUMPRODUCT(Adds!$C$67:$V$67,Curves!$BC$16:$BV$16)</f>
        <v/>
      </c>
      <c r="W25" s="3">
        <f>SUMPRODUCT(Adds!$C$67:$W$67,Curves!$BB$16:$BV$16)</f>
        <v/>
      </c>
      <c r="X25" s="3">
        <f>SUMPRODUCT(Adds!$C$67:$X$67,Curves!$BA$16:$BV$16)</f>
        <v/>
      </c>
      <c r="Y25" s="3">
        <f>SUMPRODUCT(Adds!$C$67:$Y$67,Curves!$AZ$16:$BV$16)</f>
        <v/>
      </c>
      <c r="Z25" s="3">
        <f>SUMPRODUCT(Adds!$C$67:$Z$67,Curves!$AY$16:$BV$16)</f>
        <v/>
      </c>
      <c r="AA25" s="3">
        <f>SUMPRODUCT(Adds!$C$67:$AA$67,Curves!$AX$16:$BV$16)</f>
        <v/>
      </c>
      <c r="AB25" s="3">
        <f>SUMPRODUCT(Adds!$C$67:$AB$67,Curves!$AW$16:$BV$16)</f>
        <v/>
      </c>
      <c r="AC25" s="3">
        <f>SUMPRODUCT(Adds!$C$67:$AC$67,Curves!$AV$16:$BV$16)</f>
        <v/>
      </c>
      <c r="AD25" s="3">
        <f>SUMPRODUCT(Adds!$C$67:$AD$67,Curves!$AU$16:$BV$16)</f>
        <v/>
      </c>
      <c r="AE25" s="3">
        <f>SUMPRODUCT(Adds!$C$67:$AE$67,Curves!$AT$16:$BV$16)</f>
        <v/>
      </c>
      <c r="AF25" s="3">
        <f>SUMPRODUCT(Adds!$C$67:$AF$67,Curves!$AS$16:$BV$16)</f>
        <v/>
      </c>
      <c r="AG25" s="3">
        <f>SUMPRODUCT(Adds!$C$67:$AG$67,Curves!$AR$16:$BV$16)</f>
        <v/>
      </c>
      <c r="AH25" s="3">
        <f>SUMPRODUCT(Adds!$C$67:$AH$67,Curves!$AQ$16:$BV$16)</f>
        <v/>
      </c>
      <c r="AI25" s="3">
        <f>SUMPRODUCT(Adds!$C$67:$AI$67,Curves!$AP$16:$BV$16)</f>
        <v/>
      </c>
      <c r="AJ25" s="3">
        <f>SUMPRODUCT(Adds!$C$67:$AJ$67,Curves!$AO$16:$BV$16)</f>
        <v/>
      </c>
      <c r="AK25" s="3">
        <f>SUMPRODUCT(Adds!$C$67:$AK$67,Curves!$AN$16:$BV$16)</f>
        <v/>
      </c>
      <c r="AL25" s="3">
        <f>SUMPRODUCT(Adds!$C$67:$AL$67,Curves!$AM$16:$BV$16)</f>
        <v/>
      </c>
      <c r="AM25" s="3">
        <f>SUMPRODUCT(Adds!$C$67:$AM$67,Curves!$AL$16:$BV$16)</f>
        <v/>
      </c>
      <c r="AN25" s="3">
        <f>SUMPRODUCT(Adds!$C$67:$AN$67,Curves!$AK$16:$BV$16)</f>
        <v/>
      </c>
      <c r="AO25" s="3">
        <f>SUMPRODUCT(Adds!$C$67:$AO$67,Curves!$AJ$16:$BV$16)</f>
        <v/>
      </c>
      <c r="AP25" s="3">
        <f>SUMPRODUCT(Adds!$C$67:$AP$67,Curves!$AI$16:$BV$16)</f>
        <v/>
      </c>
      <c r="AQ25" s="3">
        <f>SUMPRODUCT(Adds!$C$67:$AQ$67,Curves!$AH$16:$BV$16)</f>
        <v/>
      </c>
      <c r="AR25" s="3">
        <f>SUMPRODUCT(Adds!$C$67:$AR$67,Curves!$AG$16:$BV$16)</f>
        <v/>
      </c>
      <c r="AS25" s="3">
        <f>SUMPRODUCT(Adds!$C$67:$AS$67,Curves!$AF$16:$BV$16)</f>
        <v/>
      </c>
      <c r="AT25" s="3">
        <f>SUMPRODUCT(Adds!$C$67:$AT$67,Curves!$AE$16:$BV$16)</f>
        <v/>
      </c>
      <c r="AU25" s="3">
        <f>SUMPRODUCT(Adds!$C$67:$AU$67,Curves!$AD$16:$BV$16)</f>
        <v/>
      </c>
      <c r="AV25" s="3">
        <f>SUMPRODUCT(Adds!$C$67:$AV$67,Curves!$AC$16:$BV$16)</f>
        <v/>
      </c>
      <c r="AW25" s="3">
        <f>SUMPRODUCT(Adds!$C$67:$AW$67,Curves!$AB$16:$BV$16)</f>
        <v/>
      </c>
      <c r="AX25" s="3">
        <f>SUMPRODUCT(Adds!$C$67:$AX$67,Curves!$AA$16:$BV$16)</f>
        <v/>
      </c>
      <c r="AY25" s="3">
        <f>SUMPRODUCT(Adds!$C$67:$AY$67,Curves!$Z$16:$BV$16)</f>
        <v/>
      </c>
      <c r="AZ25" s="3">
        <f>SUMPRODUCT(Adds!$C$67:$AZ$67,Curves!$Y$16:$BV$16)</f>
        <v/>
      </c>
      <c r="BA25" s="3">
        <f>SUMPRODUCT(Adds!$C$67:$BA$67,Curves!$X$16:$BV$16)</f>
        <v/>
      </c>
      <c r="BB25" s="3">
        <f>SUMPRODUCT(Adds!$C$67:$BB$67,Curves!$W$16:$BV$16)</f>
        <v/>
      </c>
      <c r="BC25" s="3">
        <f>SUMPRODUCT(Adds!$C$67:$BC$67,Curves!$V$16:$BV$16)</f>
        <v/>
      </c>
      <c r="BD25" s="3">
        <f>SUMPRODUCT(Adds!$C$67:$BD$67,Curves!$U$16:$BV$16)</f>
        <v/>
      </c>
      <c r="BE25" s="3">
        <f>SUMPRODUCT(Adds!$C$67:$BE$67,Curves!$T$16:$BV$16)</f>
        <v/>
      </c>
      <c r="BF25" s="3">
        <f>SUMPRODUCT(Adds!$C$67:$BF$67,Curves!$S$16:$BV$16)</f>
        <v/>
      </c>
      <c r="BG25" s="3">
        <f>SUMPRODUCT(Adds!$C$67:$BG$67,Curves!$R$16:$BV$16)</f>
        <v/>
      </c>
      <c r="BH25" s="3">
        <f>SUMPRODUCT(Adds!$C$67:$BH$67,Curves!$Q$16:$BV$16)</f>
        <v/>
      </c>
      <c r="BI25" s="3">
        <f>SUMPRODUCT(Adds!$C$67:$BI$67,Curves!$P$16:$BV$16)</f>
        <v/>
      </c>
      <c r="BJ25" s="3">
        <f>SUMPRODUCT(Adds!$C$67:$BJ$67,Curves!$O$16:$BV$16)</f>
        <v/>
      </c>
      <c r="BK25" s="3">
        <f>SUMPRODUCT(Adds!$C$67:$BK$67,Curves!$N$16:$BV$16)</f>
        <v/>
      </c>
      <c r="BL25" s="3">
        <f>SUMPRODUCT(Adds!$C$67:$BL$67,Curves!$M$16:$BV$16)</f>
        <v/>
      </c>
      <c r="BM25" s="3">
        <f>SUMPRODUCT(Adds!$C$67:$BM$67,Curves!$L$16:$BV$16)</f>
        <v/>
      </c>
      <c r="BN25" s="3">
        <f>SUMPRODUCT(Adds!$C$67:$BN$67,Curves!$K$16:$BV$16)</f>
        <v/>
      </c>
      <c r="BO25" s="3">
        <f>SUMPRODUCT(Adds!$C$67:$BO$67,Curves!$J$16:$BV$16)</f>
        <v/>
      </c>
      <c r="BP25" s="3">
        <f>SUMPRODUCT(Adds!$C$67:$BP$67,Curves!$I$16:$BV$16)</f>
        <v/>
      </c>
      <c r="BQ25" s="3">
        <f>SUMPRODUCT(Adds!$C$67:$BQ$67,Curves!$H$16:$BV$16)</f>
        <v/>
      </c>
      <c r="BR25" s="3">
        <f>SUMPRODUCT(Adds!$C$67:$BR$67,Curves!$G$16:$BV$16)</f>
        <v/>
      </c>
      <c r="BS25" s="3">
        <f>SUMPRODUCT(Adds!$C$67:$BS$67,Curves!$F$16:$BV$16)</f>
        <v/>
      </c>
      <c r="BT25" s="3">
        <f>SUMPRODUCT(Adds!$C$67:$BT$67,Curves!$E$16:$BV$16)</f>
        <v/>
      </c>
      <c r="BU25" s="3">
        <f>SUMPRODUCT(Adds!$C$67:$BU$67,Curves!$D$16:$BV$16)</f>
        <v/>
      </c>
      <c r="BV25" s="3">
        <f>SUMPRODUCT(Adds!$C$67:$BV$67,Curves!$C$16:$BV$16)</f>
        <v/>
      </c>
    </row>
    <row r="27">
      <c r="A27" t="inlineStr">
        <is>
          <t>active</t>
        </is>
      </c>
      <c r="B27" t="inlineStr">
        <is>
          <t>EUROPE|BASIC_M</t>
        </is>
      </c>
      <c r="C27" s="3">
        <f>Adds!$C$78*Curves!$BV$13</f>
        <v/>
      </c>
      <c r="D27" s="3">
        <f>SUMPRODUCT(Adds!$C$78:$D$78,Curves!$BU$13:$BV$13)</f>
        <v/>
      </c>
      <c r="E27" s="3">
        <f>SUMPRODUCT(Adds!$C$78:$E$78,Curves!$BT$13:$BV$13)</f>
        <v/>
      </c>
      <c r="F27" s="3">
        <f>SUMPRODUCT(Adds!$C$78:$F$78,Curves!$BS$13:$BV$13)</f>
        <v/>
      </c>
      <c r="G27" s="3">
        <f>SUMPRODUCT(Adds!$C$78:$G$78,Curves!$BR$13:$BV$13)</f>
        <v/>
      </c>
      <c r="H27" s="3">
        <f>SUMPRODUCT(Adds!$C$78:$H$78,Curves!$BQ$13:$BV$13)</f>
        <v/>
      </c>
      <c r="I27" s="3">
        <f>SUMPRODUCT(Adds!$C$78:$I$78,Curves!$BP$13:$BV$13)</f>
        <v/>
      </c>
      <c r="J27" s="3">
        <f>SUMPRODUCT(Adds!$C$78:$J$78,Curves!$BO$13:$BV$13)</f>
        <v/>
      </c>
      <c r="K27" s="3">
        <f>SUMPRODUCT(Adds!$C$78:$K$78,Curves!$BN$13:$BV$13)</f>
        <v/>
      </c>
      <c r="L27" s="3">
        <f>SUMPRODUCT(Adds!$C$78:$L$78,Curves!$BM$13:$BV$13)</f>
        <v/>
      </c>
      <c r="M27" s="3">
        <f>SUMPRODUCT(Adds!$C$78:$M$78,Curves!$BL$13:$BV$13)</f>
        <v/>
      </c>
      <c r="N27" s="3">
        <f>SUMPRODUCT(Adds!$C$78:$N$78,Curves!$BK$13:$BV$13)</f>
        <v/>
      </c>
      <c r="O27" s="3">
        <f>SUMPRODUCT(Adds!$C$78:$O$78,Curves!$BJ$13:$BV$13)</f>
        <v/>
      </c>
      <c r="P27" s="3">
        <f>SUMPRODUCT(Adds!$C$78:$P$78,Curves!$BI$13:$BV$13)</f>
        <v/>
      </c>
      <c r="Q27" s="3">
        <f>SUMPRODUCT(Adds!$C$78:$Q$78,Curves!$BH$13:$BV$13)</f>
        <v/>
      </c>
      <c r="R27" s="3">
        <f>SUMPRODUCT(Adds!$C$78:$R$78,Curves!$BG$13:$BV$13)</f>
        <v/>
      </c>
      <c r="S27" s="3">
        <f>SUMPRODUCT(Adds!$C$78:$S$78,Curves!$BF$13:$BV$13)</f>
        <v/>
      </c>
      <c r="T27" s="3">
        <f>SUMPRODUCT(Adds!$C$78:$T$78,Curves!$BE$13:$BV$13)</f>
        <v/>
      </c>
      <c r="U27" s="3">
        <f>SUMPRODUCT(Adds!$C$78:$U$78,Curves!$BD$13:$BV$13)</f>
        <v/>
      </c>
      <c r="V27" s="3">
        <f>SUMPRODUCT(Adds!$C$78:$V$78,Curves!$BC$13:$BV$13)</f>
        <v/>
      </c>
      <c r="W27" s="3">
        <f>SUMPRODUCT(Adds!$C$78:$W$78,Curves!$BB$13:$BV$13)</f>
        <v/>
      </c>
      <c r="X27" s="3">
        <f>SUMPRODUCT(Adds!$C$78:$X$78,Curves!$BA$13:$BV$13)</f>
        <v/>
      </c>
      <c r="Y27" s="3">
        <f>SUMPRODUCT(Adds!$C$78:$Y$78,Curves!$AZ$13:$BV$13)</f>
        <v/>
      </c>
      <c r="Z27" s="3">
        <f>SUMPRODUCT(Adds!$C$78:$Z$78,Curves!$AY$13:$BV$13)</f>
        <v/>
      </c>
      <c r="AA27" s="3">
        <f>SUMPRODUCT(Adds!$C$78:$AA$78,Curves!$AX$13:$BV$13)</f>
        <v/>
      </c>
      <c r="AB27" s="3">
        <f>SUMPRODUCT(Adds!$C$78:$AB$78,Curves!$AW$13:$BV$13)</f>
        <v/>
      </c>
      <c r="AC27" s="3">
        <f>SUMPRODUCT(Adds!$C$78:$AC$78,Curves!$AV$13:$BV$13)</f>
        <v/>
      </c>
      <c r="AD27" s="3">
        <f>SUMPRODUCT(Adds!$C$78:$AD$78,Curves!$AU$13:$BV$13)</f>
        <v/>
      </c>
      <c r="AE27" s="3">
        <f>SUMPRODUCT(Adds!$C$78:$AE$78,Curves!$AT$13:$BV$13)</f>
        <v/>
      </c>
      <c r="AF27" s="3">
        <f>SUMPRODUCT(Adds!$C$78:$AF$78,Curves!$AS$13:$BV$13)</f>
        <v/>
      </c>
      <c r="AG27" s="3">
        <f>SUMPRODUCT(Adds!$C$78:$AG$78,Curves!$AR$13:$BV$13)</f>
        <v/>
      </c>
      <c r="AH27" s="3">
        <f>SUMPRODUCT(Adds!$C$78:$AH$78,Curves!$AQ$13:$BV$13)</f>
        <v/>
      </c>
      <c r="AI27" s="3">
        <f>SUMPRODUCT(Adds!$C$78:$AI$78,Curves!$AP$13:$BV$13)</f>
        <v/>
      </c>
      <c r="AJ27" s="3">
        <f>SUMPRODUCT(Adds!$C$78:$AJ$78,Curves!$AO$13:$BV$13)</f>
        <v/>
      </c>
      <c r="AK27" s="3">
        <f>SUMPRODUCT(Adds!$C$78:$AK$78,Curves!$AN$13:$BV$13)</f>
        <v/>
      </c>
      <c r="AL27" s="3">
        <f>SUMPRODUCT(Adds!$C$78:$AL$78,Curves!$AM$13:$BV$13)</f>
        <v/>
      </c>
      <c r="AM27" s="3">
        <f>SUMPRODUCT(Adds!$C$78:$AM$78,Curves!$AL$13:$BV$13)</f>
        <v/>
      </c>
      <c r="AN27" s="3">
        <f>SUMPRODUCT(Adds!$C$78:$AN$78,Curves!$AK$13:$BV$13)</f>
        <v/>
      </c>
      <c r="AO27" s="3">
        <f>SUMPRODUCT(Adds!$C$78:$AO$78,Curves!$AJ$13:$BV$13)</f>
        <v/>
      </c>
      <c r="AP27" s="3">
        <f>SUMPRODUCT(Adds!$C$78:$AP$78,Curves!$AI$13:$BV$13)</f>
        <v/>
      </c>
      <c r="AQ27" s="3">
        <f>SUMPRODUCT(Adds!$C$78:$AQ$78,Curves!$AH$13:$BV$13)</f>
        <v/>
      </c>
      <c r="AR27" s="3">
        <f>SUMPRODUCT(Adds!$C$78:$AR$78,Curves!$AG$13:$BV$13)</f>
        <v/>
      </c>
      <c r="AS27" s="3">
        <f>SUMPRODUCT(Adds!$C$78:$AS$78,Curves!$AF$13:$BV$13)</f>
        <v/>
      </c>
      <c r="AT27" s="3">
        <f>SUMPRODUCT(Adds!$C$78:$AT$78,Curves!$AE$13:$BV$13)</f>
        <v/>
      </c>
      <c r="AU27" s="3">
        <f>SUMPRODUCT(Adds!$C$78:$AU$78,Curves!$AD$13:$BV$13)</f>
        <v/>
      </c>
      <c r="AV27" s="3">
        <f>SUMPRODUCT(Adds!$C$78:$AV$78,Curves!$AC$13:$BV$13)</f>
        <v/>
      </c>
      <c r="AW27" s="3">
        <f>SUMPRODUCT(Adds!$C$78:$AW$78,Curves!$AB$13:$BV$13)</f>
        <v/>
      </c>
      <c r="AX27" s="3">
        <f>SUMPRODUCT(Adds!$C$78:$AX$78,Curves!$AA$13:$BV$13)</f>
        <v/>
      </c>
      <c r="AY27" s="3">
        <f>SUMPRODUCT(Adds!$C$78:$AY$78,Curves!$Z$13:$BV$13)</f>
        <v/>
      </c>
      <c r="AZ27" s="3">
        <f>SUMPRODUCT(Adds!$C$78:$AZ$78,Curves!$Y$13:$BV$13)</f>
        <v/>
      </c>
      <c r="BA27" s="3">
        <f>SUMPRODUCT(Adds!$C$78:$BA$78,Curves!$X$13:$BV$13)</f>
        <v/>
      </c>
      <c r="BB27" s="3">
        <f>SUMPRODUCT(Adds!$C$78:$BB$78,Curves!$W$13:$BV$13)</f>
        <v/>
      </c>
      <c r="BC27" s="3">
        <f>SUMPRODUCT(Adds!$C$78:$BC$78,Curves!$V$13:$BV$13)</f>
        <v/>
      </c>
      <c r="BD27" s="3">
        <f>SUMPRODUCT(Adds!$C$78:$BD$78,Curves!$U$13:$BV$13)</f>
        <v/>
      </c>
      <c r="BE27" s="3">
        <f>SUMPRODUCT(Adds!$C$78:$BE$78,Curves!$T$13:$BV$13)</f>
        <v/>
      </c>
      <c r="BF27" s="3">
        <f>SUMPRODUCT(Adds!$C$78:$BF$78,Curves!$S$13:$BV$13)</f>
        <v/>
      </c>
      <c r="BG27" s="3">
        <f>SUMPRODUCT(Adds!$C$78:$BG$78,Curves!$R$13:$BV$13)</f>
        <v/>
      </c>
      <c r="BH27" s="3">
        <f>SUMPRODUCT(Adds!$C$78:$BH$78,Curves!$Q$13:$BV$13)</f>
        <v/>
      </c>
      <c r="BI27" s="3">
        <f>SUMPRODUCT(Adds!$C$78:$BI$78,Curves!$P$13:$BV$13)</f>
        <v/>
      </c>
      <c r="BJ27" s="3">
        <f>SUMPRODUCT(Adds!$C$78:$BJ$78,Curves!$O$13:$BV$13)</f>
        <v/>
      </c>
      <c r="BK27" s="3">
        <f>SUMPRODUCT(Adds!$C$78:$BK$78,Curves!$N$13:$BV$13)</f>
        <v/>
      </c>
      <c r="BL27" s="3">
        <f>SUMPRODUCT(Adds!$C$78:$BL$78,Curves!$M$13:$BV$13)</f>
        <v/>
      </c>
      <c r="BM27" s="3">
        <f>SUMPRODUCT(Adds!$C$78:$BM$78,Curves!$L$13:$BV$13)</f>
        <v/>
      </c>
      <c r="BN27" s="3">
        <f>SUMPRODUCT(Adds!$C$78:$BN$78,Curves!$K$13:$BV$13)</f>
        <v/>
      </c>
      <c r="BO27" s="3">
        <f>SUMPRODUCT(Adds!$C$78:$BO$78,Curves!$J$13:$BV$13)</f>
        <v/>
      </c>
      <c r="BP27" s="3">
        <f>SUMPRODUCT(Adds!$C$78:$BP$78,Curves!$I$13:$BV$13)</f>
        <v/>
      </c>
      <c r="BQ27" s="3">
        <f>SUMPRODUCT(Adds!$C$78:$BQ$78,Curves!$H$13:$BV$13)</f>
        <v/>
      </c>
      <c r="BR27" s="3">
        <f>SUMPRODUCT(Adds!$C$78:$BR$78,Curves!$G$13:$BV$13)</f>
        <v/>
      </c>
      <c r="BS27" s="3">
        <f>SUMPRODUCT(Adds!$C$78:$BS$78,Curves!$F$13:$BV$13)</f>
        <v/>
      </c>
      <c r="BT27" s="3">
        <f>SUMPRODUCT(Adds!$C$78:$BT$78,Curves!$E$13:$BV$13)</f>
        <v/>
      </c>
      <c r="BU27" s="3">
        <f>SUMPRODUCT(Adds!$C$78:$BU$78,Curves!$D$13:$BV$13)</f>
        <v/>
      </c>
      <c r="BV27" s="3">
        <f>SUMPRODUCT(Adds!$C$78:$BV$78,Curves!$C$13:$BV$13)</f>
        <v/>
      </c>
    </row>
    <row r="28">
      <c r="A28" t="inlineStr">
        <is>
          <t>active yr 1</t>
        </is>
      </c>
      <c r="B28" t="inlineStr">
        <is>
          <t>EUROPE|BASIC_M</t>
        </is>
      </c>
      <c r="C28" s="3">
        <f>Adds!$C$78*Curves!$BV$20</f>
        <v/>
      </c>
      <c r="D28" s="3">
        <f>SUMPRODUCT(Adds!$C$78:$D$78,Curves!$BU$20:$BV$20)</f>
        <v/>
      </c>
      <c r="E28" s="3">
        <f>SUMPRODUCT(Adds!$C$78:$E$78,Curves!$BT$20:$BV$20)</f>
        <v/>
      </c>
      <c r="F28" s="3">
        <f>SUMPRODUCT(Adds!$C$78:$F$78,Curves!$BS$20:$BV$20)</f>
        <v/>
      </c>
      <c r="G28" s="3">
        <f>SUMPRODUCT(Adds!$C$78:$G$78,Curves!$BR$20:$BV$20)</f>
        <v/>
      </c>
      <c r="H28" s="3">
        <f>SUMPRODUCT(Adds!$C$78:$H$78,Curves!$BQ$20:$BV$20)</f>
        <v/>
      </c>
      <c r="I28" s="3">
        <f>SUMPRODUCT(Adds!$C$78:$I$78,Curves!$BP$20:$BV$20)</f>
        <v/>
      </c>
      <c r="J28" s="3">
        <f>SUMPRODUCT(Adds!$C$78:$J$78,Curves!$BO$20:$BV$20)</f>
        <v/>
      </c>
      <c r="K28" s="3">
        <f>SUMPRODUCT(Adds!$C$78:$K$78,Curves!$BN$20:$BV$20)</f>
        <v/>
      </c>
      <c r="L28" s="3">
        <f>SUMPRODUCT(Adds!$C$78:$L$78,Curves!$BM$20:$BV$20)</f>
        <v/>
      </c>
      <c r="M28" s="3">
        <f>SUMPRODUCT(Adds!$C$78:$M$78,Curves!$BL$20:$BV$20)</f>
        <v/>
      </c>
      <c r="N28" s="3">
        <f>SUMPRODUCT(Adds!$C$78:$N$78,Curves!$BK$20:$BV$20)</f>
        <v/>
      </c>
      <c r="O28" s="3">
        <f>SUMPRODUCT(Adds!$C$78:$O$78,Curves!$BJ$20:$BV$20)</f>
        <v/>
      </c>
      <c r="P28" s="3">
        <f>SUMPRODUCT(Adds!$C$78:$P$78,Curves!$BI$20:$BV$20)</f>
        <v/>
      </c>
      <c r="Q28" s="3">
        <f>SUMPRODUCT(Adds!$C$78:$Q$78,Curves!$BH$20:$BV$20)</f>
        <v/>
      </c>
      <c r="R28" s="3">
        <f>SUMPRODUCT(Adds!$C$78:$R$78,Curves!$BG$20:$BV$20)</f>
        <v/>
      </c>
      <c r="S28" s="3">
        <f>SUMPRODUCT(Adds!$C$78:$S$78,Curves!$BF$20:$BV$20)</f>
        <v/>
      </c>
      <c r="T28" s="3">
        <f>SUMPRODUCT(Adds!$C$78:$T$78,Curves!$BE$20:$BV$20)</f>
        <v/>
      </c>
      <c r="U28" s="3">
        <f>SUMPRODUCT(Adds!$C$78:$U$78,Curves!$BD$20:$BV$20)</f>
        <v/>
      </c>
      <c r="V28" s="3">
        <f>SUMPRODUCT(Adds!$C$78:$V$78,Curves!$BC$20:$BV$20)</f>
        <v/>
      </c>
      <c r="W28" s="3">
        <f>SUMPRODUCT(Adds!$C$78:$W$78,Curves!$BB$20:$BV$20)</f>
        <v/>
      </c>
      <c r="X28" s="3">
        <f>SUMPRODUCT(Adds!$C$78:$X$78,Curves!$BA$20:$BV$20)</f>
        <v/>
      </c>
      <c r="Y28" s="3">
        <f>SUMPRODUCT(Adds!$C$78:$Y$78,Curves!$AZ$20:$BV$20)</f>
        <v/>
      </c>
      <c r="Z28" s="3">
        <f>SUMPRODUCT(Adds!$C$78:$Z$78,Curves!$AY$20:$BV$20)</f>
        <v/>
      </c>
      <c r="AA28" s="3">
        <f>SUMPRODUCT(Adds!$C$78:$AA$78,Curves!$AX$20:$BV$20)</f>
        <v/>
      </c>
      <c r="AB28" s="3">
        <f>SUMPRODUCT(Adds!$C$78:$AB$78,Curves!$AW$20:$BV$20)</f>
        <v/>
      </c>
      <c r="AC28" s="3">
        <f>SUMPRODUCT(Adds!$C$78:$AC$78,Curves!$AV$20:$BV$20)</f>
        <v/>
      </c>
      <c r="AD28" s="3">
        <f>SUMPRODUCT(Adds!$C$78:$AD$78,Curves!$AU$20:$BV$20)</f>
        <v/>
      </c>
      <c r="AE28" s="3">
        <f>SUMPRODUCT(Adds!$C$78:$AE$78,Curves!$AT$20:$BV$20)</f>
        <v/>
      </c>
      <c r="AF28" s="3">
        <f>SUMPRODUCT(Adds!$C$78:$AF$78,Curves!$AS$20:$BV$20)</f>
        <v/>
      </c>
      <c r="AG28" s="3">
        <f>SUMPRODUCT(Adds!$C$78:$AG$78,Curves!$AR$20:$BV$20)</f>
        <v/>
      </c>
      <c r="AH28" s="3">
        <f>SUMPRODUCT(Adds!$C$78:$AH$78,Curves!$AQ$20:$BV$20)</f>
        <v/>
      </c>
      <c r="AI28" s="3">
        <f>SUMPRODUCT(Adds!$C$78:$AI$78,Curves!$AP$20:$BV$20)</f>
        <v/>
      </c>
      <c r="AJ28" s="3">
        <f>SUMPRODUCT(Adds!$C$78:$AJ$78,Curves!$AO$20:$BV$20)</f>
        <v/>
      </c>
      <c r="AK28" s="3">
        <f>SUMPRODUCT(Adds!$C$78:$AK$78,Curves!$AN$20:$BV$20)</f>
        <v/>
      </c>
      <c r="AL28" s="3">
        <f>SUMPRODUCT(Adds!$C$78:$AL$78,Curves!$AM$20:$BV$20)</f>
        <v/>
      </c>
      <c r="AM28" s="3">
        <f>SUMPRODUCT(Adds!$C$78:$AM$78,Curves!$AL$20:$BV$20)</f>
        <v/>
      </c>
      <c r="AN28" s="3">
        <f>SUMPRODUCT(Adds!$C$78:$AN$78,Curves!$AK$20:$BV$20)</f>
        <v/>
      </c>
      <c r="AO28" s="3">
        <f>SUMPRODUCT(Adds!$C$78:$AO$78,Curves!$AJ$20:$BV$20)</f>
        <v/>
      </c>
      <c r="AP28" s="3">
        <f>SUMPRODUCT(Adds!$C$78:$AP$78,Curves!$AI$20:$BV$20)</f>
        <v/>
      </c>
      <c r="AQ28" s="3">
        <f>SUMPRODUCT(Adds!$C$78:$AQ$78,Curves!$AH$20:$BV$20)</f>
        <v/>
      </c>
      <c r="AR28" s="3">
        <f>SUMPRODUCT(Adds!$C$78:$AR$78,Curves!$AG$20:$BV$20)</f>
        <v/>
      </c>
      <c r="AS28" s="3">
        <f>SUMPRODUCT(Adds!$C$78:$AS$78,Curves!$AF$20:$BV$20)</f>
        <v/>
      </c>
      <c r="AT28" s="3">
        <f>SUMPRODUCT(Adds!$C$78:$AT$78,Curves!$AE$20:$BV$20)</f>
        <v/>
      </c>
      <c r="AU28" s="3">
        <f>SUMPRODUCT(Adds!$C$78:$AU$78,Curves!$AD$20:$BV$20)</f>
        <v/>
      </c>
      <c r="AV28" s="3">
        <f>SUMPRODUCT(Adds!$C$78:$AV$78,Curves!$AC$20:$BV$20)</f>
        <v/>
      </c>
      <c r="AW28" s="3">
        <f>SUMPRODUCT(Adds!$C$78:$AW$78,Curves!$AB$20:$BV$20)</f>
        <v/>
      </c>
      <c r="AX28" s="3">
        <f>SUMPRODUCT(Adds!$C$78:$AX$78,Curves!$AA$20:$BV$20)</f>
        <v/>
      </c>
      <c r="AY28" s="3">
        <f>SUMPRODUCT(Adds!$C$78:$AY$78,Curves!$Z$20:$BV$20)</f>
        <v/>
      </c>
      <c r="AZ28" s="3">
        <f>SUMPRODUCT(Adds!$C$78:$AZ$78,Curves!$Y$20:$BV$20)</f>
        <v/>
      </c>
      <c r="BA28" s="3">
        <f>SUMPRODUCT(Adds!$C$78:$BA$78,Curves!$X$20:$BV$20)</f>
        <v/>
      </c>
      <c r="BB28" s="3">
        <f>SUMPRODUCT(Adds!$C$78:$BB$78,Curves!$W$20:$BV$20)</f>
        <v/>
      </c>
      <c r="BC28" s="3">
        <f>SUMPRODUCT(Adds!$C$78:$BC$78,Curves!$V$20:$BV$20)</f>
        <v/>
      </c>
      <c r="BD28" s="3">
        <f>SUMPRODUCT(Adds!$C$78:$BD$78,Curves!$U$20:$BV$20)</f>
        <v/>
      </c>
      <c r="BE28" s="3">
        <f>SUMPRODUCT(Adds!$C$78:$BE$78,Curves!$T$20:$BV$20)</f>
        <v/>
      </c>
      <c r="BF28" s="3">
        <f>SUMPRODUCT(Adds!$C$78:$BF$78,Curves!$S$20:$BV$20)</f>
        <v/>
      </c>
      <c r="BG28" s="3">
        <f>SUMPRODUCT(Adds!$C$78:$BG$78,Curves!$R$20:$BV$20)</f>
        <v/>
      </c>
      <c r="BH28" s="3">
        <f>SUMPRODUCT(Adds!$C$78:$BH$78,Curves!$Q$20:$BV$20)</f>
        <v/>
      </c>
      <c r="BI28" s="3">
        <f>SUMPRODUCT(Adds!$C$78:$BI$78,Curves!$P$20:$BV$20)</f>
        <v/>
      </c>
      <c r="BJ28" s="3">
        <f>SUMPRODUCT(Adds!$C$78:$BJ$78,Curves!$O$20:$BV$20)</f>
        <v/>
      </c>
      <c r="BK28" s="3">
        <f>SUMPRODUCT(Adds!$C$78:$BK$78,Curves!$N$20:$BV$20)</f>
        <v/>
      </c>
      <c r="BL28" s="3">
        <f>SUMPRODUCT(Adds!$C$78:$BL$78,Curves!$M$20:$BV$20)</f>
        <v/>
      </c>
      <c r="BM28" s="3">
        <f>SUMPRODUCT(Adds!$C$78:$BM$78,Curves!$L$20:$BV$20)</f>
        <v/>
      </c>
      <c r="BN28" s="3">
        <f>SUMPRODUCT(Adds!$C$78:$BN$78,Curves!$K$20:$BV$20)</f>
        <v/>
      </c>
      <c r="BO28" s="3">
        <f>SUMPRODUCT(Adds!$C$78:$BO$78,Curves!$J$20:$BV$20)</f>
        <v/>
      </c>
      <c r="BP28" s="3">
        <f>SUMPRODUCT(Adds!$C$78:$BP$78,Curves!$I$20:$BV$20)</f>
        <v/>
      </c>
      <c r="BQ28" s="3">
        <f>SUMPRODUCT(Adds!$C$78:$BQ$78,Curves!$H$20:$BV$20)</f>
        <v/>
      </c>
      <c r="BR28" s="3">
        <f>SUMPRODUCT(Adds!$C$78:$BR$78,Curves!$G$20:$BV$20)</f>
        <v/>
      </c>
      <c r="BS28" s="3">
        <f>SUMPRODUCT(Adds!$C$78:$BS$78,Curves!$F$20:$BV$20)</f>
        <v/>
      </c>
      <c r="BT28" s="3">
        <f>SUMPRODUCT(Adds!$C$78:$BT$78,Curves!$E$20:$BV$20)</f>
        <v/>
      </c>
      <c r="BU28" s="3">
        <f>SUMPRODUCT(Adds!$C$78:$BU$78,Curves!$D$20:$BV$20)</f>
        <v/>
      </c>
      <c r="BV28" s="3">
        <f>SUMPRODUCT(Adds!$C$78:$BV$78,Curves!$C$20:$BV$20)</f>
        <v/>
      </c>
    </row>
    <row r="29">
      <c r="A29" t="inlineStr">
        <is>
          <t>churned</t>
        </is>
      </c>
      <c r="B29" t="inlineStr">
        <is>
          <t>EUROPE|BASIC_M</t>
        </is>
      </c>
      <c r="C29" s="3">
        <f>Adds!$C$78*Curves!$BV$15</f>
        <v/>
      </c>
      <c r="D29" s="3">
        <f>SUMPRODUCT(Adds!$C$78:$D$78,Curves!$BU$15:$BV$15)</f>
        <v/>
      </c>
      <c r="E29" s="3">
        <f>SUMPRODUCT(Adds!$C$78:$E$78,Curves!$BT$15:$BV$15)</f>
        <v/>
      </c>
      <c r="F29" s="3">
        <f>SUMPRODUCT(Adds!$C$78:$F$78,Curves!$BS$15:$BV$15)</f>
        <v/>
      </c>
      <c r="G29" s="3">
        <f>SUMPRODUCT(Adds!$C$78:$G$78,Curves!$BR$15:$BV$15)</f>
        <v/>
      </c>
      <c r="H29" s="3">
        <f>SUMPRODUCT(Adds!$C$78:$H$78,Curves!$BQ$15:$BV$15)</f>
        <v/>
      </c>
      <c r="I29" s="3">
        <f>SUMPRODUCT(Adds!$C$78:$I$78,Curves!$BP$15:$BV$15)</f>
        <v/>
      </c>
      <c r="J29" s="3">
        <f>SUMPRODUCT(Adds!$C$78:$J$78,Curves!$BO$15:$BV$15)</f>
        <v/>
      </c>
      <c r="K29" s="3">
        <f>SUMPRODUCT(Adds!$C$78:$K$78,Curves!$BN$15:$BV$15)</f>
        <v/>
      </c>
      <c r="L29" s="3">
        <f>SUMPRODUCT(Adds!$C$78:$L$78,Curves!$BM$15:$BV$15)</f>
        <v/>
      </c>
      <c r="M29" s="3">
        <f>SUMPRODUCT(Adds!$C$78:$M$78,Curves!$BL$15:$BV$15)</f>
        <v/>
      </c>
      <c r="N29" s="3">
        <f>SUMPRODUCT(Adds!$C$78:$N$78,Curves!$BK$15:$BV$15)</f>
        <v/>
      </c>
      <c r="O29" s="3">
        <f>SUMPRODUCT(Adds!$C$78:$O$78,Curves!$BJ$15:$BV$15)</f>
        <v/>
      </c>
      <c r="P29" s="3">
        <f>SUMPRODUCT(Adds!$C$78:$P$78,Curves!$BI$15:$BV$15)</f>
        <v/>
      </c>
      <c r="Q29" s="3">
        <f>SUMPRODUCT(Adds!$C$78:$Q$78,Curves!$BH$15:$BV$15)</f>
        <v/>
      </c>
      <c r="R29" s="3">
        <f>SUMPRODUCT(Adds!$C$78:$R$78,Curves!$BG$15:$BV$15)</f>
        <v/>
      </c>
      <c r="S29" s="3">
        <f>SUMPRODUCT(Adds!$C$78:$S$78,Curves!$BF$15:$BV$15)</f>
        <v/>
      </c>
      <c r="T29" s="3">
        <f>SUMPRODUCT(Adds!$C$78:$T$78,Curves!$BE$15:$BV$15)</f>
        <v/>
      </c>
      <c r="U29" s="3">
        <f>SUMPRODUCT(Adds!$C$78:$U$78,Curves!$BD$15:$BV$15)</f>
        <v/>
      </c>
      <c r="V29" s="3">
        <f>SUMPRODUCT(Adds!$C$78:$V$78,Curves!$BC$15:$BV$15)</f>
        <v/>
      </c>
      <c r="W29" s="3">
        <f>SUMPRODUCT(Adds!$C$78:$W$78,Curves!$BB$15:$BV$15)</f>
        <v/>
      </c>
      <c r="X29" s="3">
        <f>SUMPRODUCT(Adds!$C$78:$X$78,Curves!$BA$15:$BV$15)</f>
        <v/>
      </c>
      <c r="Y29" s="3">
        <f>SUMPRODUCT(Adds!$C$78:$Y$78,Curves!$AZ$15:$BV$15)</f>
        <v/>
      </c>
      <c r="Z29" s="3">
        <f>SUMPRODUCT(Adds!$C$78:$Z$78,Curves!$AY$15:$BV$15)</f>
        <v/>
      </c>
      <c r="AA29" s="3">
        <f>SUMPRODUCT(Adds!$C$78:$AA$78,Curves!$AX$15:$BV$15)</f>
        <v/>
      </c>
      <c r="AB29" s="3">
        <f>SUMPRODUCT(Adds!$C$78:$AB$78,Curves!$AW$15:$BV$15)</f>
        <v/>
      </c>
      <c r="AC29" s="3">
        <f>SUMPRODUCT(Adds!$C$78:$AC$78,Curves!$AV$15:$BV$15)</f>
        <v/>
      </c>
      <c r="AD29" s="3">
        <f>SUMPRODUCT(Adds!$C$78:$AD$78,Curves!$AU$15:$BV$15)</f>
        <v/>
      </c>
      <c r="AE29" s="3">
        <f>SUMPRODUCT(Adds!$C$78:$AE$78,Curves!$AT$15:$BV$15)</f>
        <v/>
      </c>
      <c r="AF29" s="3">
        <f>SUMPRODUCT(Adds!$C$78:$AF$78,Curves!$AS$15:$BV$15)</f>
        <v/>
      </c>
      <c r="AG29" s="3">
        <f>SUMPRODUCT(Adds!$C$78:$AG$78,Curves!$AR$15:$BV$15)</f>
        <v/>
      </c>
      <c r="AH29" s="3">
        <f>SUMPRODUCT(Adds!$C$78:$AH$78,Curves!$AQ$15:$BV$15)</f>
        <v/>
      </c>
      <c r="AI29" s="3">
        <f>SUMPRODUCT(Adds!$C$78:$AI$78,Curves!$AP$15:$BV$15)</f>
        <v/>
      </c>
      <c r="AJ29" s="3">
        <f>SUMPRODUCT(Adds!$C$78:$AJ$78,Curves!$AO$15:$BV$15)</f>
        <v/>
      </c>
      <c r="AK29" s="3">
        <f>SUMPRODUCT(Adds!$C$78:$AK$78,Curves!$AN$15:$BV$15)</f>
        <v/>
      </c>
      <c r="AL29" s="3">
        <f>SUMPRODUCT(Adds!$C$78:$AL$78,Curves!$AM$15:$BV$15)</f>
        <v/>
      </c>
      <c r="AM29" s="3">
        <f>SUMPRODUCT(Adds!$C$78:$AM$78,Curves!$AL$15:$BV$15)</f>
        <v/>
      </c>
      <c r="AN29" s="3">
        <f>SUMPRODUCT(Adds!$C$78:$AN$78,Curves!$AK$15:$BV$15)</f>
        <v/>
      </c>
      <c r="AO29" s="3">
        <f>SUMPRODUCT(Adds!$C$78:$AO$78,Curves!$AJ$15:$BV$15)</f>
        <v/>
      </c>
      <c r="AP29" s="3">
        <f>SUMPRODUCT(Adds!$C$78:$AP$78,Curves!$AI$15:$BV$15)</f>
        <v/>
      </c>
      <c r="AQ29" s="3">
        <f>SUMPRODUCT(Adds!$C$78:$AQ$78,Curves!$AH$15:$BV$15)</f>
        <v/>
      </c>
      <c r="AR29" s="3">
        <f>SUMPRODUCT(Adds!$C$78:$AR$78,Curves!$AG$15:$BV$15)</f>
        <v/>
      </c>
      <c r="AS29" s="3">
        <f>SUMPRODUCT(Adds!$C$78:$AS$78,Curves!$AF$15:$BV$15)</f>
        <v/>
      </c>
      <c r="AT29" s="3">
        <f>SUMPRODUCT(Adds!$C$78:$AT$78,Curves!$AE$15:$BV$15)</f>
        <v/>
      </c>
      <c r="AU29" s="3">
        <f>SUMPRODUCT(Adds!$C$78:$AU$78,Curves!$AD$15:$BV$15)</f>
        <v/>
      </c>
      <c r="AV29" s="3">
        <f>SUMPRODUCT(Adds!$C$78:$AV$78,Curves!$AC$15:$BV$15)</f>
        <v/>
      </c>
      <c r="AW29" s="3">
        <f>SUMPRODUCT(Adds!$C$78:$AW$78,Curves!$AB$15:$BV$15)</f>
        <v/>
      </c>
      <c r="AX29" s="3">
        <f>SUMPRODUCT(Adds!$C$78:$AX$78,Curves!$AA$15:$BV$15)</f>
        <v/>
      </c>
      <c r="AY29" s="3">
        <f>SUMPRODUCT(Adds!$C$78:$AY$78,Curves!$Z$15:$BV$15)</f>
        <v/>
      </c>
      <c r="AZ29" s="3">
        <f>SUMPRODUCT(Adds!$C$78:$AZ$78,Curves!$Y$15:$BV$15)</f>
        <v/>
      </c>
      <c r="BA29" s="3">
        <f>SUMPRODUCT(Adds!$C$78:$BA$78,Curves!$X$15:$BV$15)</f>
        <v/>
      </c>
      <c r="BB29" s="3">
        <f>SUMPRODUCT(Adds!$C$78:$BB$78,Curves!$W$15:$BV$15)</f>
        <v/>
      </c>
      <c r="BC29" s="3">
        <f>SUMPRODUCT(Adds!$C$78:$BC$78,Curves!$V$15:$BV$15)</f>
        <v/>
      </c>
      <c r="BD29" s="3">
        <f>SUMPRODUCT(Adds!$C$78:$BD$78,Curves!$U$15:$BV$15)</f>
        <v/>
      </c>
      <c r="BE29" s="3">
        <f>SUMPRODUCT(Adds!$C$78:$BE$78,Curves!$T$15:$BV$15)</f>
        <v/>
      </c>
      <c r="BF29" s="3">
        <f>SUMPRODUCT(Adds!$C$78:$BF$78,Curves!$S$15:$BV$15)</f>
        <v/>
      </c>
      <c r="BG29" s="3">
        <f>SUMPRODUCT(Adds!$C$78:$BG$78,Curves!$R$15:$BV$15)</f>
        <v/>
      </c>
      <c r="BH29" s="3">
        <f>SUMPRODUCT(Adds!$C$78:$BH$78,Curves!$Q$15:$BV$15)</f>
        <v/>
      </c>
      <c r="BI29" s="3">
        <f>SUMPRODUCT(Adds!$C$78:$BI$78,Curves!$P$15:$BV$15)</f>
        <v/>
      </c>
      <c r="BJ29" s="3">
        <f>SUMPRODUCT(Adds!$C$78:$BJ$78,Curves!$O$15:$BV$15)</f>
        <v/>
      </c>
      <c r="BK29" s="3">
        <f>SUMPRODUCT(Adds!$C$78:$BK$78,Curves!$N$15:$BV$15)</f>
        <v/>
      </c>
      <c r="BL29" s="3">
        <f>SUMPRODUCT(Adds!$C$78:$BL$78,Curves!$M$15:$BV$15)</f>
        <v/>
      </c>
      <c r="BM29" s="3">
        <f>SUMPRODUCT(Adds!$C$78:$BM$78,Curves!$L$15:$BV$15)</f>
        <v/>
      </c>
      <c r="BN29" s="3">
        <f>SUMPRODUCT(Adds!$C$78:$BN$78,Curves!$K$15:$BV$15)</f>
        <v/>
      </c>
      <c r="BO29" s="3">
        <f>SUMPRODUCT(Adds!$C$78:$BO$78,Curves!$J$15:$BV$15)</f>
        <v/>
      </c>
      <c r="BP29" s="3">
        <f>SUMPRODUCT(Adds!$C$78:$BP$78,Curves!$I$15:$BV$15)</f>
        <v/>
      </c>
      <c r="BQ29" s="3">
        <f>SUMPRODUCT(Adds!$C$78:$BQ$78,Curves!$H$15:$BV$15)</f>
        <v/>
      </c>
      <c r="BR29" s="3">
        <f>SUMPRODUCT(Adds!$C$78:$BR$78,Curves!$G$15:$BV$15)</f>
        <v/>
      </c>
      <c r="BS29" s="3">
        <f>SUMPRODUCT(Adds!$C$78:$BS$78,Curves!$F$15:$BV$15)</f>
        <v/>
      </c>
      <c r="BT29" s="3">
        <f>SUMPRODUCT(Adds!$C$78:$BT$78,Curves!$E$15:$BV$15)</f>
        <v/>
      </c>
      <c r="BU29" s="3">
        <f>SUMPRODUCT(Adds!$C$78:$BU$78,Curves!$D$15:$BV$15)</f>
        <v/>
      </c>
      <c r="BV29" s="3">
        <f>SUMPRODUCT(Adds!$C$78:$BV$78,Curves!$C$15:$BV$15)</f>
        <v/>
      </c>
    </row>
    <row r="31">
      <c r="A31" t="inlineStr">
        <is>
          <t>active</t>
        </is>
      </c>
      <c r="B31" t="inlineStr">
        <is>
          <t>EUROPE|BASIC_A</t>
        </is>
      </c>
      <c r="C31" s="3">
        <f>Adds!$C$89*Curves!$BV$14</f>
        <v/>
      </c>
      <c r="D31" s="3">
        <f>SUMPRODUCT(Adds!$C$89:$D$89,Curves!$BU$14:$BV$14)</f>
        <v/>
      </c>
      <c r="E31" s="3">
        <f>SUMPRODUCT(Adds!$C$89:$E$89,Curves!$BT$14:$BV$14)</f>
        <v/>
      </c>
      <c r="F31" s="3">
        <f>SUMPRODUCT(Adds!$C$89:$F$89,Curves!$BS$14:$BV$14)</f>
        <v/>
      </c>
      <c r="G31" s="3">
        <f>SUMPRODUCT(Adds!$C$89:$G$89,Curves!$BR$14:$BV$14)</f>
        <v/>
      </c>
      <c r="H31" s="3">
        <f>SUMPRODUCT(Adds!$C$89:$H$89,Curves!$BQ$14:$BV$14)</f>
        <v/>
      </c>
      <c r="I31" s="3">
        <f>SUMPRODUCT(Adds!$C$89:$I$89,Curves!$BP$14:$BV$14)</f>
        <v/>
      </c>
      <c r="J31" s="3">
        <f>SUMPRODUCT(Adds!$C$89:$J$89,Curves!$BO$14:$BV$14)</f>
        <v/>
      </c>
      <c r="K31" s="3">
        <f>SUMPRODUCT(Adds!$C$89:$K$89,Curves!$BN$14:$BV$14)</f>
        <v/>
      </c>
      <c r="L31" s="3">
        <f>SUMPRODUCT(Adds!$C$89:$L$89,Curves!$BM$14:$BV$14)</f>
        <v/>
      </c>
      <c r="M31" s="3">
        <f>SUMPRODUCT(Adds!$C$89:$M$89,Curves!$BL$14:$BV$14)</f>
        <v/>
      </c>
      <c r="N31" s="3">
        <f>SUMPRODUCT(Adds!$C$89:$N$89,Curves!$BK$14:$BV$14)</f>
        <v/>
      </c>
      <c r="O31" s="3">
        <f>SUMPRODUCT(Adds!$C$89:$O$89,Curves!$BJ$14:$BV$14)</f>
        <v/>
      </c>
      <c r="P31" s="3">
        <f>SUMPRODUCT(Adds!$C$89:$P$89,Curves!$BI$14:$BV$14)</f>
        <v/>
      </c>
      <c r="Q31" s="3">
        <f>SUMPRODUCT(Adds!$C$89:$Q$89,Curves!$BH$14:$BV$14)</f>
        <v/>
      </c>
      <c r="R31" s="3">
        <f>SUMPRODUCT(Adds!$C$89:$R$89,Curves!$BG$14:$BV$14)</f>
        <v/>
      </c>
      <c r="S31" s="3">
        <f>SUMPRODUCT(Adds!$C$89:$S$89,Curves!$BF$14:$BV$14)</f>
        <v/>
      </c>
      <c r="T31" s="3">
        <f>SUMPRODUCT(Adds!$C$89:$T$89,Curves!$BE$14:$BV$14)</f>
        <v/>
      </c>
      <c r="U31" s="3">
        <f>SUMPRODUCT(Adds!$C$89:$U$89,Curves!$BD$14:$BV$14)</f>
        <v/>
      </c>
      <c r="V31" s="3">
        <f>SUMPRODUCT(Adds!$C$89:$V$89,Curves!$BC$14:$BV$14)</f>
        <v/>
      </c>
      <c r="W31" s="3">
        <f>SUMPRODUCT(Adds!$C$89:$W$89,Curves!$BB$14:$BV$14)</f>
        <v/>
      </c>
      <c r="X31" s="3">
        <f>SUMPRODUCT(Adds!$C$89:$X$89,Curves!$BA$14:$BV$14)</f>
        <v/>
      </c>
      <c r="Y31" s="3">
        <f>SUMPRODUCT(Adds!$C$89:$Y$89,Curves!$AZ$14:$BV$14)</f>
        <v/>
      </c>
      <c r="Z31" s="3">
        <f>SUMPRODUCT(Adds!$C$89:$Z$89,Curves!$AY$14:$BV$14)</f>
        <v/>
      </c>
      <c r="AA31" s="3">
        <f>SUMPRODUCT(Adds!$C$89:$AA$89,Curves!$AX$14:$BV$14)</f>
        <v/>
      </c>
      <c r="AB31" s="3">
        <f>SUMPRODUCT(Adds!$C$89:$AB$89,Curves!$AW$14:$BV$14)</f>
        <v/>
      </c>
      <c r="AC31" s="3">
        <f>SUMPRODUCT(Adds!$C$89:$AC$89,Curves!$AV$14:$BV$14)</f>
        <v/>
      </c>
      <c r="AD31" s="3">
        <f>SUMPRODUCT(Adds!$C$89:$AD$89,Curves!$AU$14:$BV$14)</f>
        <v/>
      </c>
      <c r="AE31" s="3">
        <f>SUMPRODUCT(Adds!$C$89:$AE$89,Curves!$AT$14:$BV$14)</f>
        <v/>
      </c>
      <c r="AF31" s="3">
        <f>SUMPRODUCT(Adds!$C$89:$AF$89,Curves!$AS$14:$BV$14)</f>
        <v/>
      </c>
      <c r="AG31" s="3">
        <f>SUMPRODUCT(Adds!$C$89:$AG$89,Curves!$AR$14:$BV$14)</f>
        <v/>
      </c>
      <c r="AH31" s="3">
        <f>SUMPRODUCT(Adds!$C$89:$AH$89,Curves!$AQ$14:$BV$14)</f>
        <v/>
      </c>
      <c r="AI31" s="3">
        <f>SUMPRODUCT(Adds!$C$89:$AI$89,Curves!$AP$14:$BV$14)</f>
        <v/>
      </c>
      <c r="AJ31" s="3">
        <f>SUMPRODUCT(Adds!$C$89:$AJ$89,Curves!$AO$14:$BV$14)</f>
        <v/>
      </c>
      <c r="AK31" s="3">
        <f>SUMPRODUCT(Adds!$C$89:$AK$89,Curves!$AN$14:$BV$14)</f>
        <v/>
      </c>
      <c r="AL31" s="3">
        <f>SUMPRODUCT(Adds!$C$89:$AL$89,Curves!$AM$14:$BV$14)</f>
        <v/>
      </c>
      <c r="AM31" s="3">
        <f>SUMPRODUCT(Adds!$C$89:$AM$89,Curves!$AL$14:$BV$14)</f>
        <v/>
      </c>
      <c r="AN31" s="3">
        <f>SUMPRODUCT(Adds!$C$89:$AN$89,Curves!$AK$14:$BV$14)</f>
        <v/>
      </c>
      <c r="AO31" s="3">
        <f>SUMPRODUCT(Adds!$C$89:$AO$89,Curves!$AJ$14:$BV$14)</f>
        <v/>
      </c>
      <c r="AP31" s="3">
        <f>SUMPRODUCT(Adds!$C$89:$AP$89,Curves!$AI$14:$BV$14)</f>
        <v/>
      </c>
      <c r="AQ31" s="3">
        <f>SUMPRODUCT(Adds!$C$89:$AQ$89,Curves!$AH$14:$BV$14)</f>
        <v/>
      </c>
      <c r="AR31" s="3">
        <f>SUMPRODUCT(Adds!$C$89:$AR$89,Curves!$AG$14:$BV$14)</f>
        <v/>
      </c>
      <c r="AS31" s="3">
        <f>SUMPRODUCT(Adds!$C$89:$AS$89,Curves!$AF$14:$BV$14)</f>
        <v/>
      </c>
      <c r="AT31" s="3">
        <f>SUMPRODUCT(Adds!$C$89:$AT$89,Curves!$AE$14:$BV$14)</f>
        <v/>
      </c>
      <c r="AU31" s="3">
        <f>SUMPRODUCT(Adds!$C$89:$AU$89,Curves!$AD$14:$BV$14)</f>
        <v/>
      </c>
      <c r="AV31" s="3">
        <f>SUMPRODUCT(Adds!$C$89:$AV$89,Curves!$AC$14:$BV$14)</f>
        <v/>
      </c>
      <c r="AW31" s="3">
        <f>SUMPRODUCT(Adds!$C$89:$AW$89,Curves!$AB$14:$BV$14)</f>
        <v/>
      </c>
      <c r="AX31" s="3">
        <f>SUMPRODUCT(Adds!$C$89:$AX$89,Curves!$AA$14:$BV$14)</f>
        <v/>
      </c>
      <c r="AY31" s="3">
        <f>SUMPRODUCT(Adds!$C$89:$AY$89,Curves!$Z$14:$BV$14)</f>
        <v/>
      </c>
      <c r="AZ31" s="3">
        <f>SUMPRODUCT(Adds!$C$89:$AZ$89,Curves!$Y$14:$BV$14)</f>
        <v/>
      </c>
      <c r="BA31" s="3">
        <f>SUMPRODUCT(Adds!$C$89:$BA$89,Curves!$X$14:$BV$14)</f>
        <v/>
      </c>
      <c r="BB31" s="3">
        <f>SUMPRODUCT(Adds!$C$89:$BB$89,Curves!$W$14:$BV$14)</f>
        <v/>
      </c>
      <c r="BC31" s="3">
        <f>SUMPRODUCT(Adds!$C$89:$BC$89,Curves!$V$14:$BV$14)</f>
        <v/>
      </c>
      <c r="BD31" s="3">
        <f>SUMPRODUCT(Adds!$C$89:$BD$89,Curves!$U$14:$BV$14)</f>
        <v/>
      </c>
      <c r="BE31" s="3">
        <f>SUMPRODUCT(Adds!$C$89:$BE$89,Curves!$T$14:$BV$14)</f>
        <v/>
      </c>
      <c r="BF31" s="3">
        <f>SUMPRODUCT(Adds!$C$89:$BF$89,Curves!$S$14:$BV$14)</f>
        <v/>
      </c>
      <c r="BG31" s="3">
        <f>SUMPRODUCT(Adds!$C$89:$BG$89,Curves!$R$14:$BV$14)</f>
        <v/>
      </c>
      <c r="BH31" s="3">
        <f>SUMPRODUCT(Adds!$C$89:$BH$89,Curves!$Q$14:$BV$14)</f>
        <v/>
      </c>
      <c r="BI31" s="3">
        <f>SUMPRODUCT(Adds!$C$89:$BI$89,Curves!$P$14:$BV$14)</f>
        <v/>
      </c>
      <c r="BJ31" s="3">
        <f>SUMPRODUCT(Adds!$C$89:$BJ$89,Curves!$O$14:$BV$14)</f>
        <v/>
      </c>
      <c r="BK31" s="3">
        <f>SUMPRODUCT(Adds!$C$89:$BK$89,Curves!$N$14:$BV$14)</f>
        <v/>
      </c>
      <c r="BL31" s="3">
        <f>SUMPRODUCT(Adds!$C$89:$BL$89,Curves!$M$14:$BV$14)</f>
        <v/>
      </c>
      <c r="BM31" s="3">
        <f>SUMPRODUCT(Adds!$C$89:$BM$89,Curves!$L$14:$BV$14)</f>
        <v/>
      </c>
      <c r="BN31" s="3">
        <f>SUMPRODUCT(Adds!$C$89:$BN$89,Curves!$K$14:$BV$14)</f>
        <v/>
      </c>
      <c r="BO31" s="3">
        <f>SUMPRODUCT(Adds!$C$89:$BO$89,Curves!$J$14:$BV$14)</f>
        <v/>
      </c>
      <c r="BP31" s="3">
        <f>SUMPRODUCT(Adds!$C$89:$BP$89,Curves!$I$14:$BV$14)</f>
        <v/>
      </c>
      <c r="BQ31" s="3">
        <f>SUMPRODUCT(Adds!$C$89:$BQ$89,Curves!$H$14:$BV$14)</f>
        <v/>
      </c>
      <c r="BR31" s="3">
        <f>SUMPRODUCT(Adds!$C$89:$BR$89,Curves!$G$14:$BV$14)</f>
        <v/>
      </c>
      <c r="BS31" s="3">
        <f>SUMPRODUCT(Adds!$C$89:$BS$89,Curves!$F$14:$BV$14)</f>
        <v/>
      </c>
      <c r="BT31" s="3">
        <f>SUMPRODUCT(Adds!$C$89:$BT$89,Curves!$E$14:$BV$14)</f>
        <v/>
      </c>
      <c r="BU31" s="3">
        <f>SUMPRODUCT(Adds!$C$89:$BU$89,Curves!$D$14:$BV$14)</f>
        <v/>
      </c>
      <c r="BV31" s="3">
        <f>SUMPRODUCT(Adds!$C$89:$BV$89,Curves!$C$14:$BV$14)</f>
        <v/>
      </c>
    </row>
    <row r="32">
      <c r="A32" t="inlineStr">
        <is>
          <t>active yr 1</t>
        </is>
      </c>
      <c r="B32" t="inlineStr">
        <is>
          <t>EUROPE|BASIC_A</t>
        </is>
      </c>
      <c r="C32" s="3">
        <f>Adds!$C$89*Curves!$BV$21</f>
        <v/>
      </c>
      <c r="D32" s="3">
        <f>SUMPRODUCT(Adds!$C$89:$D$89,Curves!$BU$21:$BV$21)</f>
        <v/>
      </c>
      <c r="E32" s="3">
        <f>SUMPRODUCT(Adds!$C$89:$E$89,Curves!$BT$21:$BV$21)</f>
        <v/>
      </c>
      <c r="F32" s="3">
        <f>SUMPRODUCT(Adds!$C$89:$F$89,Curves!$BS$21:$BV$21)</f>
        <v/>
      </c>
      <c r="G32" s="3">
        <f>SUMPRODUCT(Adds!$C$89:$G$89,Curves!$BR$21:$BV$21)</f>
        <v/>
      </c>
      <c r="H32" s="3">
        <f>SUMPRODUCT(Adds!$C$89:$H$89,Curves!$BQ$21:$BV$21)</f>
        <v/>
      </c>
      <c r="I32" s="3">
        <f>SUMPRODUCT(Adds!$C$89:$I$89,Curves!$BP$21:$BV$21)</f>
        <v/>
      </c>
      <c r="J32" s="3">
        <f>SUMPRODUCT(Adds!$C$89:$J$89,Curves!$BO$21:$BV$21)</f>
        <v/>
      </c>
      <c r="K32" s="3">
        <f>SUMPRODUCT(Adds!$C$89:$K$89,Curves!$BN$21:$BV$21)</f>
        <v/>
      </c>
      <c r="L32" s="3">
        <f>SUMPRODUCT(Adds!$C$89:$L$89,Curves!$BM$21:$BV$21)</f>
        <v/>
      </c>
      <c r="M32" s="3">
        <f>SUMPRODUCT(Adds!$C$89:$M$89,Curves!$BL$21:$BV$21)</f>
        <v/>
      </c>
      <c r="N32" s="3">
        <f>SUMPRODUCT(Adds!$C$89:$N$89,Curves!$BK$21:$BV$21)</f>
        <v/>
      </c>
      <c r="O32" s="3">
        <f>SUMPRODUCT(Adds!$C$89:$O$89,Curves!$BJ$21:$BV$21)</f>
        <v/>
      </c>
      <c r="P32" s="3">
        <f>SUMPRODUCT(Adds!$C$89:$P$89,Curves!$BI$21:$BV$21)</f>
        <v/>
      </c>
      <c r="Q32" s="3">
        <f>SUMPRODUCT(Adds!$C$89:$Q$89,Curves!$BH$21:$BV$21)</f>
        <v/>
      </c>
      <c r="R32" s="3">
        <f>SUMPRODUCT(Adds!$C$89:$R$89,Curves!$BG$21:$BV$21)</f>
        <v/>
      </c>
      <c r="S32" s="3">
        <f>SUMPRODUCT(Adds!$C$89:$S$89,Curves!$BF$21:$BV$21)</f>
        <v/>
      </c>
      <c r="T32" s="3">
        <f>SUMPRODUCT(Adds!$C$89:$T$89,Curves!$BE$21:$BV$21)</f>
        <v/>
      </c>
      <c r="U32" s="3">
        <f>SUMPRODUCT(Adds!$C$89:$U$89,Curves!$BD$21:$BV$21)</f>
        <v/>
      </c>
      <c r="V32" s="3">
        <f>SUMPRODUCT(Adds!$C$89:$V$89,Curves!$BC$21:$BV$21)</f>
        <v/>
      </c>
      <c r="W32" s="3">
        <f>SUMPRODUCT(Adds!$C$89:$W$89,Curves!$BB$21:$BV$21)</f>
        <v/>
      </c>
      <c r="X32" s="3">
        <f>SUMPRODUCT(Adds!$C$89:$X$89,Curves!$BA$21:$BV$21)</f>
        <v/>
      </c>
      <c r="Y32" s="3">
        <f>SUMPRODUCT(Adds!$C$89:$Y$89,Curves!$AZ$21:$BV$21)</f>
        <v/>
      </c>
      <c r="Z32" s="3">
        <f>SUMPRODUCT(Adds!$C$89:$Z$89,Curves!$AY$21:$BV$21)</f>
        <v/>
      </c>
      <c r="AA32" s="3">
        <f>SUMPRODUCT(Adds!$C$89:$AA$89,Curves!$AX$21:$BV$21)</f>
        <v/>
      </c>
      <c r="AB32" s="3">
        <f>SUMPRODUCT(Adds!$C$89:$AB$89,Curves!$AW$21:$BV$21)</f>
        <v/>
      </c>
      <c r="AC32" s="3">
        <f>SUMPRODUCT(Adds!$C$89:$AC$89,Curves!$AV$21:$BV$21)</f>
        <v/>
      </c>
      <c r="AD32" s="3">
        <f>SUMPRODUCT(Adds!$C$89:$AD$89,Curves!$AU$21:$BV$21)</f>
        <v/>
      </c>
      <c r="AE32" s="3">
        <f>SUMPRODUCT(Adds!$C$89:$AE$89,Curves!$AT$21:$BV$21)</f>
        <v/>
      </c>
      <c r="AF32" s="3">
        <f>SUMPRODUCT(Adds!$C$89:$AF$89,Curves!$AS$21:$BV$21)</f>
        <v/>
      </c>
      <c r="AG32" s="3">
        <f>SUMPRODUCT(Adds!$C$89:$AG$89,Curves!$AR$21:$BV$21)</f>
        <v/>
      </c>
      <c r="AH32" s="3">
        <f>SUMPRODUCT(Adds!$C$89:$AH$89,Curves!$AQ$21:$BV$21)</f>
        <v/>
      </c>
      <c r="AI32" s="3">
        <f>SUMPRODUCT(Adds!$C$89:$AI$89,Curves!$AP$21:$BV$21)</f>
        <v/>
      </c>
      <c r="AJ32" s="3">
        <f>SUMPRODUCT(Adds!$C$89:$AJ$89,Curves!$AO$21:$BV$21)</f>
        <v/>
      </c>
      <c r="AK32" s="3">
        <f>SUMPRODUCT(Adds!$C$89:$AK$89,Curves!$AN$21:$BV$21)</f>
        <v/>
      </c>
      <c r="AL32" s="3">
        <f>SUMPRODUCT(Adds!$C$89:$AL$89,Curves!$AM$21:$BV$21)</f>
        <v/>
      </c>
      <c r="AM32" s="3">
        <f>SUMPRODUCT(Adds!$C$89:$AM$89,Curves!$AL$21:$BV$21)</f>
        <v/>
      </c>
      <c r="AN32" s="3">
        <f>SUMPRODUCT(Adds!$C$89:$AN$89,Curves!$AK$21:$BV$21)</f>
        <v/>
      </c>
      <c r="AO32" s="3">
        <f>SUMPRODUCT(Adds!$C$89:$AO$89,Curves!$AJ$21:$BV$21)</f>
        <v/>
      </c>
      <c r="AP32" s="3">
        <f>SUMPRODUCT(Adds!$C$89:$AP$89,Curves!$AI$21:$BV$21)</f>
        <v/>
      </c>
      <c r="AQ32" s="3">
        <f>SUMPRODUCT(Adds!$C$89:$AQ$89,Curves!$AH$21:$BV$21)</f>
        <v/>
      </c>
      <c r="AR32" s="3">
        <f>SUMPRODUCT(Adds!$C$89:$AR$89,Curves!$AG$21:$BV$21)</f>
        <v/>
      </c>
      <c r="AS32" s="3">
        <f>SUMPRODUCT(Adds!$C$89:$AS$89,Curves!$AF$21:$BV$21)</f>
        <v/>
      </c>
      <c r="AT32" s="3">
        <f>SUMPRODUCT(Adds!$C$89:$AT$89,Curves!$AE$21:$BV$21)</f>
        <v/>
      </c>
      <c r="AU32" s="3">
        <f>SUMPRODUCT(Adds!$C$89:$AU$89,Curves!$AD$21:$BV$21)</f>
        <v/>
      </c>
      <c r="AV32" s="3">
        <f>SUMPRODUCT(Adds!$C$89:$AV$89,Curves!$AC$21:$BV$21)</f>
        <v/>
      </c>
      <c r="AW32" s="3">
        <f>SUMPRODUCT(Adds!$C$89:$AW$89,Curves!$AB$21:$BV$21)</f>
        <v/>
      </c>
      <c r="AX32" s="3">
        <f>SUMPRODUCT(Adds!$C$89:$AX$89,Curves!$AA$21:$BV$21)</f>
        <v/>
      </c>
      <c r="AY32" s="3">
        <f>SUMPRODUCT(Adds!$C$89:$AY$89,Curves!$Z$21:$BV$21)</f>
        <v/>
      </c>
      <c r="AZ32" s="3">
        <f>SUMPRODUCT(Adds!$C$89:$AZ$89,Curves!$Y$21:$BV$21)</f>
        <v/>
      </c>
      <c r="BA32" s="3">
        <f>SUMPRODUCT(Adds!$C$89:$BA$89,Curves!$X$21:$BV$21)</f>
        <v/>
      </c>
      <c r="BB32" s="3">
        <f>SUMPRODUCT(Adds!$C$89:$BB$89,Curves!$W$21:$BV$21)</f>
        <v/>
      </c>
      <c r="BC32" s="3">
        <f>SUMPRODUCT(Adds!$C$89:$BC$89,Curves!$V$21:$BV$21)</f>
        <v/>
      </c>
      <c r="BD32" s="3">
        <f>SUMPRODUCT(Adds!$C$89:$BD$89,Curves!$U$21:$BV$21)</f>
        <v/>
      </c>
      <c r="BE32" s="3">
        <f>SUMPRODUCT(Adds!$C$89:$BE$89,Curves!$T$21:$BV$21)</f>
        <v/>
      </c>
      <c r="BF32" s="3">
        <f>SUMPRODUCT(Adds!$C$89:$BF$89,Curves!$S$21:$BV$21)</f>
        <v/>
      </c>
      <c r="BG32" s="3">
        <f>SUMPRODUCT(Adds!$C$89:$BG$89,Curves!$R$21:$BV$21)</f>
        <v/>
      </c>
      <c r="BH32" s="3">
        <f>SUMPRODUCT(Adds!$C$89:$BH$89,Curves!$Q$21:$BV$21)</f>
        <v/>
      </c>
      <c r="BI32" s="3">
        <f>SUMPRODUCT(Adds!$C$89:$BI$89,Curves!$P$21:$BV$21)</f>
        <v/>
      </c>
      <c r="BJ32" s="3">
        <f>SUMPRODUCT(Adds!$C$89:$BJ$89,Curves!$O$21:$BV$21)</f>
        <v/>
      </c>
      <c r="BK32" s="3">
        <f>SUMPRODUCT(Adds!$C$89:$BK$89,Curves!$N$21:$BV$21)</f>
        <v/>
      </c>
      <c r="BL32" s="3">
        <f>SUMPRODUCT(Adds!$C$89:$BL$89,Curves!$M$21:$BV$21)</f>
        <v/>
      </c>
      <c r="BM32" s="3">
        <f>SUMPRODUCT(Adds!$C$89:$BM$89,Curves!$L$21:$BV$21)</f>
        <v/>
      </c>
      <c r="BN32" s="3">
        <f>SUMPRODUCT(Adds!$C$89:$BN$89,Curves!$K$21:$BV$21)</f>
        <v/>
      </c>
      <c r="BO32" s="3">
        <f>SUMPRODUCT(Adds!$C$89:$BO$89,Curves!$J$21:$BV$21)</f>
        <v/>
      </c>
      <c r="BP32" s="3">
        <f>SUMPRODUCT(Adds!$C$89:$BP$89,Curves!$I$21:$BV$21)</f>
        <v/>
      </c>
      <c r="BQ32" s="3">
        <f>SUMPRODUCT(Adds!$C$89:$BQ$89,Curves!$H$21:$BV$21)</f>
        <v/>
      </c>
      <c r="BR32" s="3">
        <f>SUMPRODUCT(Adds!$C$89:$BR$89,Curves!$G$21:$BV$21)</f>
        <v/>
      </c>
      <c r="BS32" s="3">
        <f>SUMPRODUCT(Adds!$C$89:$BS$89,Curves!$F$21:$BV$21)</f>
        <v/>
      </c>
      <c r="BT32" s="3">
        <f>SUMPRODUCT(Adds!$C$89:$BT$89,Curves!$E$21:$BV$21)</f>
        <v/>
      </c>
      <c r="BU32" s="3">
        <f>SUMPRODUCT(Adds!$C$89:$BU$89,Curves!$D$21:$BV$21)</f>
        <v/>
      </c>
      <c r="BV32" s="3">
        <f>SUMPRODUCT(Adds!$C$89:$BV$89,Curves!$C$21:$BV$21)</f>
        <v/>
      </c>
    </row>
    <row r="33">
      <c r="A33" t="inlineStr">
        <is>
          <t>churned</t>
        </is>
      </c>
      <c r="B33" t="inlineStr">
        <is>
          <t>EUROPE|BASIC_A</t>
        </is>
      </c>
      <c r="C33" s="3">
        <f>Adds!$C$89*Curves!$BV$16</f>
        <v/>
      </c>
      <c r="D33" s="3">
        <f>SUMPRODUCT(Adds!$C$89:$D$89,Curves!$BU$16:$BV$16)</f>
        <v/>
      </c>
      <c r="E33" s="3">
        <f>SUMPRODUCT(Adds!$C$89:$E$89,Curves!$BT$16:$BV$16)</f>
        <v/>
      </c>
      <c r="F33" s="3">
        <f>SUMPRODUCT(Adds!$C$89:$F$89,Curves!$BS$16:$BV$16)</f>
        <v/>
      </c>
      <c r="G33" s="3">
        <f>SUMPRODUCT(Adds!$C$89:$G$89,Curves!$BR$16:$BV$16)</f>
        <v/>
      </c>
      <c r="H33" s="3">
        <f>SUMPRODUCT(Adds!$C$89:$H$89,Curves!$BQ$16:$BV$16)</f>
        <v/>
      </c>
      <c r="I33" s="3">
        <f>SUMPRODUCT(Adds!$C$89:$I$89,Curves!$BP$16:$BV$16)</f>
        <v/>
      </c>
      <c r="J33" s="3">
        <f>SUMPRODUCT(Adds!$C$89:$J$89,Curves!$BO$16:$BV$16)</f>
        <v/>
      </c>
      <c r="K33" s="3">
        <f>SUMPRODUCT(Adds!$C$89:$K$89,Curves!$BN$16:$BV$16)</f>
        <v/>
      </c>
      <c r="L33" s="3">
        <f>SUMPRODUCT(Adds!$C$89:$L$89,Curves!$BM$16:$BV$16)</f>
        <v/>
      </c>
      <c r="M33" s="3">
        <f>SUMPRODUCT(Adds!$C$89:$M$89,Curves!$BL$16:$BV$16)</f>
        <v/>
      </c>
      <c r="N33" s="3">
        <f>SUMPRODUCT(Adds!$C$89:$N$89,Curves!$BK$16:$BV$16)</f>
        <v/>
      </c>
      <c r="O33" s="3">
        <f>SUMPRODUCT(Adds!$C$89:$O$89,Curves!$BJ$16:$BV$16)</f>
        <v/>
      </c>
      <c r="P33" s="3">
        <f>SUMPRODUCT(Adds!$C$89:$P$89,Curves!$BI$16:$BV$16)</f>
        <v/>
      </c>
      <c r="Q33" s="3">
        <f>SUMPRODUCT(Adds!$C$89:$Q$89,Curves!$BH$16:$BV$16)</f>
        <v/>
      </c>
      <c r="R33" s="3">
        <f>SUMPRODUCT(Adds!$C$89:$R$89,Curves!$BG$16:$BV$16)</f>
        <v/>
      </c>
      <c r="S33" s="3">
        <f>SUMPRODUCT(Adds!$C$89:$S$89,Curves!$BF$16:$BV$16)</f>
        <v/>
      </c>
      <c r="T33" s="3">
        <f>SUMPRODUCT(Adds!$C$89:$T$89,Curves!$BE$16:$BV$16)</f>
        <v/>
      </c>
      <c r="U33" s="3">
        <f>SUMPRODUCT(Adds!$C$89:$U$89,Curves!$BD$16:$BV$16)</f>
        <v/>
      </c>
      <c r="V33" s="3">
        <f>SUMPRODUCT(Adds!$C$89:$V$89,Curves!$BC$16:$BV$16)</f>
        <v/>
      </c>
      <c r="W33" s="3">
        <f>SUMPRODUCT(Adds!$C$89:$W$89,Curves!$BB$16:$BV$16)</f>
        <v/>
      </c>
      <c r="X33" s="3">
        <f>SUMPRODUCT(Adds!$C$89:$X$89,Curves!$BA$16:$BV$16)</f>
        <v/>
      </c>
      <c r="Y33" s="3">
        <f>SUMPRODUCT(Adds!$C$89:$Y$89,Curves!$AZ$16:$BV$16)</f>
        <v/>
      </c>
      <c r="Z33" s="3">
        <f>SUMPRODUCT(Adds!$C$89:$Z$89,Curves!$AY$16:$BV$16)</f>
        <v/>
      </c>
      <c r="AA33" s="3">
        <f>SUMPRODUCT(Adds!$C$89:$AA$89,Curves!$AX$16:$BV$16)</f>
        <v/>
      </c>
      <c r="AB33" s="3">
        <f>SUMPRODUCT(Adds!$C$89:$AB$89,Curves!$AW$16:$BV$16)</f>
        <v/>
      </c>
      <c r="AC33" s="3">
        <f>SUMPRODUCT(Adds!$C$89:$AC$89,Curves!$AV$16:$BV$16)</f>
        <v/>
      </c>
      <c r="AD33" s="3">
        <f>SUMPRODUCT(Adds!$C$89:$AD$89,Curves!$AU$16:$BV$16)</f>
        <v/>
      </c>
      <c r="AE33" s="3">
        <f>SUMPRODUCT(Adds!$C$89:$AE$89,Curves!$AT$16:$BV$16)</f>
        <v/>
      </c>
      <c r="AF33" s="3">
        <f>SUMPRODUCT(Adds!$C$89:$AF$89,Curves!$AS$16:$BV$16)</f>
        <v/>
      </c>
      <c r="AG33" s="3">
        <f>SUMPRODUCT(Adds!$C$89:$AG$89,Curves!$AR$16:$BV$16)</f>
        <v/>
      </c>
      <c r="AH33" s="3">
        <f>SUMPRODUCT(Adds!$C$89:$AH$89,Curves!$AQ$16:$BV$16)</f>
        <v/>
      </c>
      <c r="AI33" s="3">
        <f>SUMPRODUCT(Adds!$C$89:$AI$89,Curves!$AP$16:$BV$16)</f>
        <v/>
      </c>
      <c r="AJ33" s="3">
        <f>SUMPRODUCT(Adds!$C$89:$AJ$89,Curves!$AO$16:$BV$16)</f>
        <v/>
      </c>
      <c r="AK33" s="3">
        <f>SUMPRODUCT(Adds!$C$89:$AK$89,Curves!$AN$16:$BV$16)</f>
        <v/>
      </c>
      <c r="AL33" s="3">
        <f>SUMPRODUCT(Adds!$C$89:$AL$89,Curves!$AM$16:$BV$16)</f>
        <v/>
      </c>
      <c r="AM33" s="3">
        <f>SUMPRODUCT(Adds!$C$89:$AM$89,Curves!$AL$16:$BV$16)</f>
        <v/>
      </c>
      <c r="AN33" s="3">
        <f>SUMPRODUCT(Adds!$C$89:$AN$89,Curves!$AK$16:$BV$16)</f>
        <v/>
      </c>
      <c r="AO33" s="3">
        <f>SUMPRODUCT(Adds!$C$89:$AO$89,Curves!$AJ$16:$BV$16)</f>
        <v/>
      </c>
      <c r="AP33" s="3">
        <f>SUMPRODUCT(Adds!$C$89:$AP$89,Curves!$AI$16:$BV$16)</f>
        <v/>
      </c>
      <c r="AQ33" s="3">
        <f>SUMPRODUCT(Adds!$C$89:$AQ$89,Curves!$AH$16:$BV$16)</f>
        <v/>
      </c>
      <c r="AR33" s="3">
        <f>SUMPRODUCT(Adds!$C$89:$AR$89,Curves!$AG$16:$BV$16)</f>
        <v/>
      </c>
      <c r="AS33" s="3">
        <f>SUMPRODUCT(Adds!$C$89:$AS$89,Curves!$AF$16:$BV$16)</f>
        <v/>
      </c>
      <c r="AT33" s="3">
        <f>SUMPRODUCT(Adds!$C$89:$AT$89,Curves!$AE$16:$BV$16)</f>
        <v/>
      </c>
      <c r="AU33" s="3">
        <f>SUMPRODUCT(Adds!$C$89:$AU$89,Curves!$AD$16:$BV$16)</f>
        <v/>
      </c>
      <c r="AV33" s="3">
        <f>SUMPRODUCT(Adds!$C$89:$AV$89,Curves!$AC$16:$BV$16)</f>
        <v/>
      </c>
      <c r="AW33" s="3">
        <f>SUMPRODUCT(Adds!$C$89:$AW$89,Curves!$AB$16:$BV$16)</f>
        <v/>
      </c>
      <c r="AX33" s="3">
        <f>SUMPRODUCT(Adds!$C$89:$AX$89,Curves!$AA$16:$BV$16)</f>
        <v/>
      </c>
      <c r="AY33" s="3">
        <f>SUMPRODUCT(Adds!$C$89:$AY$89,Curves!$Z$16:$BV$16)</f>
        <v/>
      </c>
      <c r="AZ33" s="3">
        <f>SUMPRODUCT(Adds!$C$89:$AZ$89,Curves!$Y$16:$BV$16)</f>
        <v/>
      </c>
      <c r="BA33" s="3">
        <f>SUMPRODUCT(Adds!$C$89:$BA$89,Curves!$X$16:$BV$16)</f>
        <v/>
      </c>
      <c r="BB33" s="3">
        <f>SUMPRODUCT(Adds!$C$89:$BB$89,Curves!$W$16:$BV$16)</f>
        <v/>
      </c>
      <c r="BC33" s="3">
        <f>SUMPRODUCT(Adds!$C$89:$BC$89,Curves!$V$16:$BV$16)</f>
        <v/>
      </c>
      <c r="BD33" s="3">
        <f>SUMPRODUCT(Adds!$C$89:$BD$89,Curves!$U$16:$BV$16)</f>
        <v/>
      </c>
      <c r="BE33" s="3">
        <f>SUMPRODUCT(Adds!$C$89:$BE$89,Curves!$T$16:$BV$16)</f>
        <v/>
      </c>
      <c r="BF33" s="3">
        <f>SUMPRODUCT(Adds!$C$89:$BF$89,Curves!$S$16:$BV$16)</f>
        <v/>
      </c>
      <c r="BG33" s="3">
        <f>SUMPRODUCT(Adds!$C$89:$BG$89,Curves!$R$16:$BV$16)</f>
        <v/>
      </c>
      <c r="BH33" s="3">
        <f>SUMPRODUCT(Adds!$C$89:$BH$89,Curves!$Q$16:$BV$16)</f>
        <v/>
      </c>
      <c r="BI33" s="3">
        <f>SUMPRODUCT(Adds!$C$89:$BI$89,Curves!$P$16:$BV$16)</f>
        <v/>
      </c>
      <c r="BJ33" s="3">
        <f>SUMPRODUCT(Adds!$C$89:$BJ$89,Curves!$O$16:$BV$16)</f>
        <v/>
      </c>
      <c r="BK33" s="3">
        <f>SUMPRODUCT(Adds!$C$89:$BK$89,Curves!$N$16:$BV$16)</f>
        <v/>
      </c>
      <c r="BL33" s="3">
        <f>SUMPRODUCT(Adds!$C$89:$BL$89,Curves!$M$16:$BV$16)</f>
        <v/>
      </c>
      <c r="BM33" s="3">
        <f>SUMPRODUCT(Adds!$C$89:$BM$89,Curves!$L$16:$BV$16)</f>
        <v/>
      </c>
      <c r="BN33" s="3">
        <f>SUMPRODUCT(Adds!$C$89:$BN$89,Curves!$K$16:$BV$16)</f>
        <v/>
      </c>
      <c r="BO33" s="3">
        <f>SUMPRODUCT(Adds!$C$89:$BO$89,Curves!$J$16:$BV$16)</f>
        <v/>
      </c>
      <c r="BP33" s="3">
        <f>SUMPRODUCT(Adds!$C$89:$BP$89,Curves!$I$16:$BV$16)</f>
        <v/>
      </c>
      <c r="BQ33" s="3">
        <f>SUMPRODUCT(Adds!$C$89:$BQ$89,Curves!$H$16:$BV$16)</f>
        <v/>
      </c>
      <c r="BR33" s="3">
        <f>SUMPRODUCT(Adds!$C$89:$BR$89,Curves!$G$16:$BV$16)</f>
        <v/>
      </c>
      <c r="BS33" s="3">
        <f>SUMPRODUCT(Adds!$C$89:$BS$89,Curves!$F$16:$BV$16)</f>
        <v/>
      </c>
      <c r="BT33" s="3">
        <f>SUMPRODUCT(Adds!$C$89:$BT$89,Curves!$E$16:$BV$16)</f>
        <v/>
      </c>
      <c r="BU33" s="3">
        <f>SUMPRODUCT(Adds!$C$89:$BU$89,Curves!$D$16:$BV$16)</f>
        <v/>
      </c>
      <c r="BV33" s="3">
        <f>SUMPRODUCT(Adds!$C$89:$BV$89,Curves!$C$16:$BV$16)</f>
        <v/>
      </c>
    </row>
    <row r="35">
      <c r="A35" t="inlineStr">
        <is>
          <t>active</t>
        </is>
      </c>
      <c r="B35" t="inlineStr">
        <is>
          <t>LATAM|NITRO_M</t>
        </is>
      </c>
      <c r="C35" s="3">
        <f>Adds!$C$100*Curves!$BV$13</f>
        <v/>
      </c>
      <c r="D35" s="3">
        <f>SUMPRODUCT(Adds!$C$100:$D$100,Curves!$BU$13:$BV$13)</f>
        <v/>
      </c>
      <c r="E35" s="3">
        <f>SUMPRODUCT(Adds!$C$100:$E$100,Curves!$BT$13:$BV$13)</f>
        <v/>
      </c>
      <c r="F35" s="3">
        <f>SUMPRODUCT(Adds!$C$100:$F$100,Curves!$BS$13:$BV$13)</f>
        <v/>
      </c>
      <c r="G35" s="3">
        <f>SUMPRODUCT(Adds!$C$100:$G$100,Curves!$BR$13:$BV$13)</f>
        <v/>
      </c>
      <c r="H35" s="3">
        <f>SUMPRODUCT(Adds!$C$100:$H$100,Curves!$BQ$13:$BV$13)</f>
        <v/>
      </c>
      <c r="I35" s="3">
        <f>SUMPRODUCT(Adds!$C$100:$I$100,Curves!$BP$13:$BV$13)</f>
        <v/>
      </c>
      <c r="J35" s="3">
        <f>SUMPRODUCT(Adds!$C$100:$J$100,Curves!$BO$13:$BV$13)</f>
        <v/>
      </c>
      <c r="K35" s="3">
        <f>SUMPRODUCT(Adds!$C$100:$K$100,Curves!$BN$13:$BV$13)</f>
        <v/>
      </c>
      <c r="L35" s="3">
        <f>SUMPRODUCT(Adds!$C$100:$L$100,Curves!$BM$13:$BV$13)</f>
        <v/>
      </c>
      <c r="M35" s="3">
        <f>SUMPRODUCT(Adds!$C$100:$M$100,Curves!$BL$13:$BV$13)</f>
        <v/>
      </c>
      <c r="N35" s="3">
        <f>SUMPRODUCT(Adds!$C$100:$N$100,Curves!$BK$13:$BV$13)</f>
        <v/>
      </c>
      <c r="O35" s="3">
        <f>SUMPRODUCT(Adds!$C$100:$O$100,Curves!$BJ$13:$BV$13)</f>
        <v/>
      </c>
      <c r="P35" s="3">
        <f>SUMPRODUCT(Adds!$C$100:$P$100,Curves!$BI$13:$BV$13)</f>
        <v/>
      </c>
      <c r="Q35" s="3">
        <f>SUMPRODUCT(Adds!$C$100:$Q$100,Curves!$BH$13:$BV$13)</f>
        <v/>
      </c>
      <c r="R35" s="3">
        <f>SUMPRODUCT(Adds!$C$100:$R$100,Curves!$BG$13:$BV$13)</f>
        <v/>
      </c>
      <c r="S35" s="3">
        <f>SUMPRODUCT(Adds!$C$100:$S$100,Curves!$BF$13:$BV$13)</f>
        <v/>
      </c>
      <c r="T35" s="3">
        <f>SUMPRODUCT(Adds!$C$100:$T$100,Curves!$BE$13:$BV$13)</f>
        <v/>
      </c>
      <c r="U35" s="3">
        <f>SUMPRODUCT(Adds!$C$100:$U$100,Curves!$BD$13:$BV$13)</f>
        <v/>
      </c>
      <c r="V35" s="3">
        <f>SUMPRODUCT(Adds!$C$100:$V$100,Curves!$BC$13:$BV$13)</f>
        <v/>
      </c>
      <c r="W35" s="3">
        <f>SUMPRODUCT(Adds!$C$100:$W$100,Curves!$BB$13:$BV$13)</f>
        <v/>
      </c>
      <c r="X35" s="3">
        <f>SUMPRODUCT(Adds!$C$100:$X$100,Curves!$BA$13:$BV$13)</f>
        <v/>
      </c>
      <c r="Y35" s="3">
        <f>SUMPRODUCT(Adds!$C$100:$Y$100,Curves!$AZ$13:$BV$13)</f>
        <v/>
      </c>
      <c r="Z35" s="3">
        <f>SUMPRODUCT(Adds!$C$100:$Z$100,Curves!$AY$13:$BV$13)</f>
        <v/>
      </c>
      <c r="AA35" s="3">
        <f>SUMPRODUCT(Adds!$C$100:$AA$100,Curves!$AX$13:$BV$13)</f>
        <v/>
      </c>
      <c r="AB35" s="3">
        <f>SUMPRODUCT(Adds!$C$100:$AB$100,Curves!$AW$13:$BV$13)</f>
        <v/>
      </c>
      <c r="AC35" s="3">
        <f>SUMPRODUCT(Adds!$C$100:$AC$100,Curves!$AV$13:$BV$13)</f>
        <v/>
      </c>
      <c r="AD35" s="3">
        <f>SUMPRODUCT(Adds!$C$100:$AD$100,Curves!$AU$13:$BV$13)</f>
        <v/>
      </c>
      <c r="AE35" s="3">
        <f>SUMPRODUCT(Adds!$C$100:$AE$100,Curves!$AT$13:$BV$13)</f>
        <v/>
      </c>
      <c r="AF35" s="3">
        <f>SUMPRODUCT(Adds!$C$100:$AF$100,Curves!$AS$13:$BV$13)</f>
        <v/>
      </c>
      <c r="AG35" s="3">
        <f>SUMPRODUCT(Adds!$C$100:$AG$100,Curves!$AR$13:$BV$13)</f>
        <v/>
      </c>
      <c r="AH35" s="3">
        <f>SUMPRODUCT(Adds!$C$100:$AH$100,Curves!$AQ$13:$BV$13)</f>
        <v/>
      </c>
      <c r="AI35" s="3">
        <f>SUMPRODUCT(Adds!$C$100:$AI$100,Curves!$AP$13:$BV$13)</f>
        <v/>
      </c>
      <c r="AJ35" s="3">
        <f>SUMPRODUCT(Adds!$C$100:$AJ$100,Curves!$AO$13:$BV$13)</f>
        <v/>
      </c>
      <c r="AK35" s="3">
        <f>SUMPRODUCT(Adds!$C$100:$AK$100,Curves!$AN$13:$BV$13)</f>
        <v/>
      </c>
      <c r="AL35" s="3">
        <f>SUMPRODUCT(Adds!$C$100:$AL$100,Curves!$AM$13:$BV$13)</f>
        <v/>
      </c>
      <c r="AM35" s="3">
        <f>SUMPRODUCT(Adds!$C$100:$AM$100,Curves!$AL$13:$BV$13)</f>
        <v/>
      </c>
      <c r="AN35" s="3">
        <f>SUMPRODUCT(Adds!$C$100:$AN$100,Curves!$AK$13:$BV$13)</f>
        <v/>
      </c>
      <c r="AO35" s="3">
        <f>SUMPRODUCT(Adds!$C$100:$AO$100,Curves!$AJ$13:$BV$13)</f>
        <v/>
      </c>
      <c r="AP35" s="3">
        <f>SUMPRODUCT(Adds!$C$100:$AP$100,Curves!$AI$13:$BV$13)</f>
        <v/>
      </c>
      <c r="AQ35" s="3">
        <f>SUMPRODUCT(Adds!$C$100:$AQ$100,Curves!$AH$13:$BV$13)</f>
        <v/>
      </c>
      <c r="AR35" s="3">
        <f>SUMPRODUCT(Adds!$C$100:$AR$100,Curves!$AG$13:$BV$13)</f>
        <v/>
      </c>
      <c r="AS35" s="3">
        <f>SUMPRODUCT(Adds!$C$100:$AS$100,Curves!$AF$13:$BV$13)</f>
        <v/>
      </c>
      <c r="AT35" s="3">
        <f>SUMPRODUCT(Adds!$C$100:$AT$100,Curves!$AE$13:$BV$13)</f>
        <v/>
      </c>
      <c r="AU35" s="3">
        <f>SUMPRODUCT(Adds!$C$100:$AU$100,Curves!$AD$13:$BV$13)</f>
        <v/>
      </c>
      <c r="AV35" s="3">
        <f>SUMPRODUCT(Adds!$C$100:$AV$100,Curves!$AC$13:$BV$13)</f>
        <v/>
      </c>
      <c r="AW35" s="3">
        <f>SUMPRODUCT(Adds!$C$100:$AW$100,Curves!$AB$13:$BV$13)</f>
        <v/>
      </c>
      <c r="AX35" s="3">
        <f>SUMPRODUCT(Adds!$C$100:$AX$100,Curves!$AA$13:$BV$13)</f>
        <v/>
      </c>
      <c r="AY35" s="3">
        <f>SUMPRODUCT(Adds!$C$100:$AY$100,Curves!$Z$13:$BV$13)</f>
        <v/>
      </c>
      <c r="AZ35" s="3">
        <f>SUMPRODUCT(Adds!$C$100:$AZ$100,Curves!$Y$13:$BV$13)</f>
        <v/>
      </c>
      <c r="BA35" s="3">
        <f>SUMPRODUCT(Adds!$C$100:$BA$100,Curves!$X$13:$BV$13)</f>
        <v/>
      </c>
      <c r="BB35" s="3">
        <f>SUMPRODUCT(Adds!$C$100:$BB$100,Curves!$W$13:$BV$13)</f>
        <v/>
      </c>
      <c r="BC35" s="3">
        <f>SUMPRODUCT(Adds!$C$100:$BC$100,Curves!$V$13:$BV$13)</f>
        <v/>
      </c>
      <c r="BD35" s="3">
        <f>SUMPRODUCT(Adds!$C$100:$BD$100,Curves!$U$13:$BV$13)</f>
        <v/>
      </c>
      <c r="BE35" s="3">
        <f>SUMPRODUCT(Adds!$C$100:$BE$100,Curves!$T$13:$BV$13)</f>
        <v/>
      </c>
      <c r="BF35" s="3">
        <f>SUMPRODUCT(Adds!$C$100:$BF$100,Curves!$S$13:$BV$13)</f>
        <v/>
      </c>
      <c r="BG35" s="3">
        <f>SUMPRODUCT(Adds!$C$100:$BG$100,Curves!$R$13:$BV$13)</f>
        <v/>
      </c>
      <c r="BH35" s="3">
        <f>SUMPRODUCT(Adds!$C$100:$BH$100,Curves!$Q$13:$BV$13)</f>
        <v/>
      </c>
      <c r="BI35" s="3">
        <f>SUMPRODUCT(Adds!$C$100:$BI$100,Curves!$P$13:$BV$13)</f>
        <v/>
      </c>
      <c r="BJ35" s="3">
        <f>SUMPRODUCT(Adds!$C$100:$BJ$100,Curves!$O$13:$BV$13)</f>
        <v/>
      </c>
      <c r="BK35" s="3">
        <f>SUMPRODUCT(Adds!$C$100:$BK$100,Curves!$N$13:$BV$13)</f>
        <v/>
      </c>
      <c r="BL35" s="3">
        <f>SUMPRODUCT(Adds!$C$100:$BL$100,Curves!$M$13:$BV$13)</f>
        <v/>
      </c>
      <c r="BM35" s="3">
        <f>SUMPRODUCT(Adds!$C$100:$BM$100,Curves!$L$13:$BV$13)</f>
        <v/>
      </c>
      <c r="BN35" s="3">
        <f>SUMPRODUCT(Adds!$C$100:$BN$100,Curves!$K$13:$BV$13)</f>
        <v/>
      </c>
      <c r="BO35" s="3">
        <f>SUMPRODUCT(Adds!$C$100:$BO$100,Curves!$J$13:$BV$13)</f>
        <v/>
      </c>
      <c r="BP35" s="3">
        <f>SUMPRODUCT(Adds!$C$100:$BP$100,Curves!$I$13:$BV$13)</f>
        <v/>
      </c>
      <c r="BQ35" s="3">
        <f>SUMPRODUCT(Adds!$C$100:$BQ$100,Curves!$H$13:$BV$13)</f>
        <v/>
      </c>
      <c r="BR35" s="3">
        <f>SUMPRODUCT(Adds!$C$100:$BR$100,Curves!$G$13:$BV$13)</f>
        <v/>
      </c>
      <c r="BS35" s="3">
        <f>SUMPRODUCT(Adds!$C$100:$BS$100,Curves!$F$13:$BV$13)</f>
        <v/>
      </c>
      <c r="BT35" s="3">
        <f>SUMPRODUCT(Adds!$C$100:$BT$100,Curves!$E$13:$BV$13)</f>
        <v/>
      </c>
      <c r="BU35" s="3">
        <f>SUMPRODUCT(Adds!$C$100:$BU$100,Curves!$D$13:$BV$13)</f>
        <v/>
      </c>
      <c r="BV35" s="3">
        <f>SUMPRODUCT(Adds!$C$100:$BV$100,Curves!$C$13:$BV$13)</f>
        <v/>
      </c>
    </row>
    <row r="36">
      <c r="A36" t="inlineStr">
        <is>
          <t>active yr 1</t>
        </is>
      </c>
      <c r="B36" t="inlineStr">
        <is>
          <t>LATAM|NITRO_M</t>
        </is>
      </c>
      <c r="C36" s="3">
        <f>Adds!$C$100*Curves!$BV$20</f>
        <v/>
      </c>
      <c r="D36" s="3">
        <f>SUMPRODUCT(Adds!$C$100:$D$100,Curves!$BU$20:$BV$20)</f>
        <v/>
      </c>
      <c r="E36" s="3">
        <f>SUMPRODUCT(Adds!$C$100:$E$100,Curves!$BT$20:$BV$20)</f>
        <v/>
      </c>
      <c r="F36" s="3">
        <f>SUMPRODUCT(Adds!$C$100:$F$100,Curves!$BS$20:$BV$20)</f>
        <v/>
      </c>
      <c r="G36" s="3">
        <f>SUMPRODUCT(Adds!$C$100:$G$100,Curves!$BR$20:$BV$20)</f>
        <v/>
      </c>
      <c r="H36" s="3">
        <f>SUMPRODUCT(Adds!$C$100:$H$100,Curves!$BQ$20:$BV$20)</f>
        <v/>
      </c>
      <c r="I36" s="3">
        <f>SUMPRODUCT(Adds!$C$100:$I$100,Curves!$BP$20:$BV$20)</f>
        <v/>
      </c>
      <c r="J36" s="3">
        <f>SUMPRODUCT(Adds!$C$100:$J$100,Curves!$BO$20:$BV$20)</f>
        <v/>
      </c>
      <c r="K36" s="3">
        <f>SUMPRODUCT(Adds!$C$100:$K$100,Curves!$BN$20:$BV$20)</f>
        <v/>
      </c>
      <c r="L36" s="3">
        <f>SUMPRODUCT(Adds!$C$100:$L$100,Curves!$BM$20:$BV$20)</f>
        <v/>
      </c>
      <c r="M36" s="3">
        <f>SUMPRODUCT(Adds!$C$100:$M$100,Curves!$BL$20:$BV$20)</f>
        <v/>
      </c>
      <c r="N36" s="3">
        <f>SUMPRODUCT(Adds!$C$100:$N$100,Curves!$BK$20:$BV$20)</f>
        <v/>
      </c>
      <c r="O36" s="3">
        <f>SUMPRODUCT(Adds!$C$100:$O$100,Curves!$BJ$20:$BV$20)</f>
        <v/>
      </c>
      <c r="P36" s="3">
        <f>SUMPRODUCT(Adds!$C$100:$P$100,Curves!$BI$20:$BV$20)</f>
        <v/>
      </c>
      <c r="Q36" s="3">
        <f>SUMPRODUCT(Adds!$C$100:$Q$100,Curves!$BH$20:$BV$20)</f>
        <v/>
      </c>
      <c r="R36" s="3">
        <f>SUMPRODUCT(Adds!$C$100:$R$100,Curves!$BG$20:$BV$20)</f>
        <v/>
      </c>
      <c r="S36" s="3">
        <f>SUMPRODUCT(Adds!$C$100:$S$100,Curves!$BF$20:$BV$20)</f>
        <v/>
      </c>
      <c r="T36" s="3">
        <f>SUMPRODUCT(Adds!$C$100:$T$100,Curves!$BE$20:$BV$20)</f>
        <v/>
      </c>
      <c r="U36" s="3">
        <f>SUMPRODUCT(Adds!$C$100:$U$100,Curves!$BD$20:$BV$20)</f>
        <v/>
      </c>
      <c r="V36" s="3">
        <f>SUMPRODUCT(Adds!$C$100:$V$100,Curves!$BC$20:$BV$20)</f>
        <v/>
      </c>
      <c r="W36" s="3">
        <f>SUMPRODUCT(Adds!$C$100:$W$100,Curves!$BB$20:$BV$20)</f>
        <v/>
      </c>
      <c r="X36" s="3">
        <f>SUMPRODUCT(Adds!$C$100:$X$100,Curves!$BA$20:$BV$20)</f>
        <v/>
      </c>
      <c r="Y36" s="3">
        <f>SUMPRODUCT(Adds!$C$100:$Y$100,Curves!$AZ$20:$BV$20)</f>
        <v/>
      </c>
      <c r="Z36" s="3">
        <f>SUMPRODUCT(Adds!$C$100:$Z$100,Curves!$AY$20:$BV$20)</f>
        <v/>
      </c>
      <c r="AA36" s="3">
        <f>SUMPRODUCT(Adds!$C$100:$AA$100,Curves!$AX$20:$BV$20)</f>
        <v/>
      </c>
      <c r="AB36" s="3">
        <f>SUMPRODUCT(Adds!$C$100:$AB$100,Curves!$AW$20:$BV$20)</f>
        <v/>
      </c>
      <c r="AC36" s="3">
        <f>SUMPRODUCT(Adds!$C$100:$AC$100,Curves!$AV$20:$BV$20)</f>
        <v/>
      </c>
      <c r="AD36" s="3">
        <f>SUMPRODUCT(Adds!$C$100:$AD$100,Curves!$AU$20:$BV$20)</f>
        <v/>
      </c>
      <c r="AE36" s="3">
        <f>SUMPRODUCT(Adds!$C$100:$AE$100,Curves!$AT$20:$BV$20)</f>
        <v/>
      </c>
      <c r="AF36" s="3">
        <f>SUMPRODUCT(Adds!$C$100:$AF$100,Curves!$AS$20:$BV$20)</f>
        <v/>
      </c>
      <c r="AG36" s="3">
        <f>SUMPRODUCT(Adds!$C$100:$AG$100,Curves!$AR$20:$BV$20)</f>
        <v/>
      </c>
      <c r="AH36" s="3">
        <f>SUMPRODUCT(Adds!$C$100:$AH$100,Curves!$AQ$20:$BV$20)</f>
        <v/>
      </c>
      <c r="AI36" s="3">
        <f>SUMPRODUCT(Adds!$C$100:$AI$100,Curves!$AP$20:$BV$20)</f>
        <v/>
      </c>
      <c r="AJ36" s="3">
        <f>SUMPRODUCT(Adds!$C$100:$AJ$100,Curves!$AO$20:$BV$20)</f>
        <v/>
      </c>
      <c r="AK36" s="3">
        <f>SUMPRODUCT(Adds!$C$100:$AK$100,Curves!$AN$20:$BV$20)</f>
        <v/>
      </c>
      <c r="AL36" s="3">
        <f>SUMPRODUCT(Adds!$C$100:$AL$100,Curves!$AM$20:$BV$20)</f>
        <v/>
      </c>
      <c r="AM36" s="3">
        <f>SUMPRODUCT(Adds!$C$100:$AM$100,Curves!$AL$20:$BV$20)</f>
        <v/>
      </c>
      <c r="AN36" s="3">
        <f>SUMPRODUCT(Adds!$C$100:$AN$100,Curves!$AK$20:$BV$20)</f>
        <v/>
      </c>
      <c r="AO36" s="3">
        <f>SUMPRODUCT(Adds!$C$100:$AO$100,Curves!$AJ$20:$BV$20)</f>
        <v/>
      </c>
      <c r="AP36" s="3">
        <f>SUMPRODUCT(Adds!$C$100:$AP$100,Curves!$AI$20:$BV$20)</f>
        <v/>
      </c>
      <c r="AQ36" s="3">
        <f>SUMPRODUCT(Adds!$C$100:$AQ$100,Curves!$AH$20:$BV$20)</f>
        <v/>
      </c>
      <c r="AR36" s="3">
        <f>SUMPRODUCT(Adds!$C$100:$AR$100,Curves!$AG$20:$BV$20)</f>
        <v/>
      </c>
      <c r="AS36" s="3">
        <f>SUMPRODUCT(Adds!$C$100:$AS$100,Curves!$AF$20:$BV$20)</f>
        <v/>
      </c>
      <c r="AT36" s="3">
        <f>SUMPRODUCT(Adds!$C$100:$AT$100,Curves!$AE$20:$BV$20)</f>
        <v/>
      </c>
      <c r="AU36" s="3">
        <f>SUMPRODUCT(Adds!$C$100:$AU$100,Curves!$AD$20:$BV$20)</f>
        <v/>
      </c>
      <c r="AV36" s="3">
        <f>SUMPRODUCT(Adds!$C$100:$AV$100,Curves!$AC$20:$BV$20)</f>
        <v/>
      </c>
      <c r="AW36" s="3">
        <f>SUMPRODUCT(Adds!$C$100:$AW$100,Curves!$AB$20:$BV$20)</f>
        <v/>
      </c>
      <c r="AX36" s="3">
        <f>SUMPRODUCT(Adds!$C$100:$AX$100,Curves!$AA$20:$BV$20)</f>
        <v/>
      </c>
      <c r="AY36" s="3">
        <f>SUMPRODUCT(Adds!$C$100:$AY$100,Curves!$Z$20:$BV$20)</f>
        <v/>
      </c>
      <c r="AZ36" s="3">
        <f>SUMPRODUCT(Adds!$C$100:$AZ$100,Curves!$Y$20:$BV$20)</f>
        <v/>
      </c>
      <c r="BA36" s="3">
        <f>SUMPRODUCT(Adds!$C$100:$BA$100,Curves!$X$20:$BV$20)</f>
        <v/>
      </c>
      <c r="BB36" s="3">
        <f>SUMPRODUCT(Adds!$C$100:$BB$100,Curves!$W$20:$BV$20)</f>
        <v/>
      </c>
      <c r="BC36" s="3">
        <f>SUMPRODUCT(Adds!$C$100:$BC$100,Curves!$V$20:$BV$20)</f>
        <v/>
      </c>
      <c r="BD36" s="3">
        <f>SUMPRODUCT(Adds!$C$100:$BD$100,Curves!$U$20:$BV$20)</f>
        <v/>
      </c>
      <c r="BE36" s="3">
        <f>SUMPRODUCT(Adds!$C$100:$BE$100,Curves!$T$20:$BV$20)</f>
        <v/>
      </c>
      <c r="BF36" s="3">
        <f>SUMPRODUCT(Adds!$C$100:$BF$100,Curves!$S$20:$BV$20)</f>
        <v/>
      </c>
      <c r="BG36" s="3">
        <f>SUMPRODUCT(Adds!$C$100:$BG$100,Curves!$R$20:$BV$20)</f>
        <v/>
      </c>
      <c r="BH36" s="3">
        <f>SUMPRODUCT(Adds!$C$100:$BH$100,Curves!$Q$20:$BV$20)</f>
        <v/>
      </c>
      <c r="BI36" s="3">
        <f>SUMPRODUCT(Adds!$C$100:$BI$100,Curves!$P$20:$BV$20)</f>
        <v/>
      </c>
      <c r="BJ36" s="3">
        <f>SUMPRODUCT(Adds!$C$100:$BJ$100,Curves!$O$20:$BV$20)</f>
        <v/>
      </c>
      <c r="BK36" s="3">
        <f>SUMPRODUCT(Adds!$C$100:$BK$100,Curves!$N$20:$BV$20)</f>
        <v/>
      </c>
      <c r="BL36" s="3">
        <f>SUMPRODUCT(Adds!$C$100:$BL$100,Curves!$M$20:$BV$20)</f>
        <v/>
      </c>
      <c r="BM36" s="3">
        <f>SUMPRODUCT(Adds!$C$100:$BM$100,Curves!$L$20:$BV$20)</f>
        <v/>
      </c>
      <c r="BN36" s="3">
        <f>SUMPRODUCT(Adds!$C$100:$BN$100,Curves!$K$20:$BV$20)</f>
        <v/>
      </c>
      <c r="BO36" s="3">
        <f>SUMPRODUCT(Adds!$C$100:$BO$100,Curves!$J$20:$BV$20)</f>
        <v/>
      </c>
      <c r="BP36" s="3">
        <f>SUMPRODUCT(Adds!$C$100:$BP$100,Curves!$I$20:$BV$20)</f>
        <v/>
      </c>
      <c r="BQ36" s="3">
        <f>SUMPRODUCT(Adds!$C$100:$BQ$100,Curves!$H$20:$BV$20)</f>
        <v/>
      </c>
      <c r="BR36" s="3">
        <f>SUMPRODUCT(Adds!$C$100:$BR$100,Curves!$G$20:$BV$20)</f>
        <v/>
      </c>
      <c r="BS36" s="3">
        <f>SUMPRODUCT(Adds!$C$100:$BS$100,Curves!$F$20:$BV$20)</f>
        <v/>
      </c>
      <c r="BT36" s="3">
        <f>SUMPRODUCT(Adds!$C$100:$BT$100,Curves!$E$20:$BV$20)</f>
        <v/>
      </c>
      <c r="BU36" s="3">
        <f>SUMPRODUCT(Adds!$C$100:$BU$100,Curves!$D$20:$BV$20)</f>
        <v/>
      </c>
      <c r="BV36" s="3">
        <f>SUMPRODUCT(Adds!$C$100:$BV$100,Curves!$C$20:$BV$20)</f>
        <v/>
      </c>
    </row>
    <row r="37">
      <c r="A37" t="inlineStr">
        <is>
          <t>churned</t>
        </is>
      </c>
      <c r="B37" t="inlineStr">
        <is>
          <t>LATAM|NITRO_M</t>
        </is>
      </c>
      <c r="C37" s="3">
        <f>Adds!$C$100*Curves!$BV$15</f>
        <v/>
      </c>
      <c r="D37" s="3">
        <f>SUMPRODUCT(Adds!$C$100:$D$100,Curves!$BU$15:$BV$15)</f>
        <v/>
      </c>
      <c r="E37" s="3">
        <f>SUMPRODUCT(Adds!$C$100:$E$100,Curves!$BT$15:$BV$15)</f>
        <v/>
      </c>
      <c r="F37" s="3">
        <f>SUMPRODUCT(Adds!$C$100:$F$100,Curves!$BS$15:$BV$15)</f>
        <v/>
      </c>
      <c r="G37" s="3">
        <f>SUMPRODUCT(Adds!$C$100:$G$100,Curves!$BR$15:$BV$15)</f>
        <v/>
      </c>
      <c r="H37" s="3">
        <f>SUMPRODUCT(Adds!$C$100:$H$100,Curves!$BQ$15:$BV$15)</f>
        <v/>
      </c>
      <c r="I37" s="3">
        <f>SUMPRODUCT(Adds!$C$100:$I$100,Curves!$BP$15:$BV$15)</f>
        <v/>
      </c>
      <c r="J37" s="3">
        <f>SUMPRODUCT(Adds!$C$100:$J$100,Curves!$BO$15:$BV$15)</f>
        <v/>
      </c>
      <c r="K37" s="3">
        <f>SUMPRODUCT(Adds!$C$100:$K$100,Curves!$BN$15:$BV$15)</f>
        <v/>
      </c>
      <c r="L37" s="3">
        <f>SUMPRODUCT(Adds!$C$100:$L$100,Curves!$BM$15:$BV$15)</f>
        <v/>
      </c>
      <c r="M37" s="3">
        <f>SUMPRODUCT(Adds!$C$100:$M$100,Curves!$BL$15:$BV$15)</f>
        <v/>
      </c>
      <c r="N37" s="3">
        <f>SUMPRODUCT(Adds!$C$100:$N$100,Curves!$BK$15:$BV$15)</f>
        <v/>
      </c>
      <c r="O37" s="3">
        <f>SUMPRODUCT(Adds!$C$100:$O$100,Curves!$BJ$15:$BV$15)</f>
        <v/>
      </c>
      <c r="P37" s="3">
        <f>SUMPRODUCT(Adds!$C$100:$P$100,Curves!$BI$15:$BV$15)</f>
        <v/>
      </c>
      <c r="Q37" s="3">
        <f>SUMPRODUCT(Adds!$C$100:$Q$100,Curves!$BH$15:$BV$15)</f>
        <v/>
      </c>
      <c r="R37" s="3">
        <f>SUMPRODUCT(Adds!$C$100:$R$100,Curves!$BG$15:$BV$15)</f>
        <v/>
      </c>
      <c r="S37" s="3">
        <f>SUMPRODUCT(Adds!$C$100:$S$100,Curves!$BF$15:$BV$15)</f>
        <v/>
      </c>
      <c r="T37" s="3">
        <f>SUMPRODUCT(Adds!$C$100:$T$100,Curves!$BE$15:$BV$15)</f>
        <v/>
      </c>
      <c r="U37" s="3">
        <f>SUMPRODUCT(Adds!$C$100:$U$100,Curves!$BD$15:$BV$15)</f>
        <v/>
      </c>
      <c r="V37" s="3">
        <f>SUMPRODUCT(Adds!$C$100:$V$100,Curves!$BC$15:$BV$15)</f>
        <v/>
      </c>
      <c r="W37" s="3">
        <f>SUMPRODUCT(Adds!$C$100:$W$100,Curves!$BB$15:$BV$15)</f>
        <v/>
      </c>
      <c r="X37" s="3">
        <f>SUMPRODUCT(Adds!$C$100:$X$100,Curves!$BA$15:$BV$15)</f>
        <v/>
      </c>
      <c r="Y37" s="3">
        <f>SUMPRODUCT(Adds!$C$100:$Y$100,Curves!$AZ$15:$BV$15)</f>
        <v/>
      </c>
      <c r="Z37" s="3">
        <f>SUMPRODUCT(Adds!$C$100:$Z$100,Curves!$AY$15:$BV$15)</f>
        <v/>
      </c>
      <c r="AA37" s="3">
        <f>SUMPRODUCT(Adds!$C$100:$AA$100,Curves!$AX$15:$BV$15)</f>
        <v/>
      </c>
      <c r="AB37" s="3">
        <f>SUMPRODUCT(Adds!$C$100:$AB$100,Curves!$AW$15:$BV$15)</f>
        <v/>
      </c>
      <c r="AC37" s="3">
        <f>SUMPRODUCT(Adds!$C$100:$AC$100,Curves!$AV$15:$BV$15)</f>
        <v/>
      </c>
      <c r="AD37" s="3">
        <f>SUMPRODUCT(Adds!$C$100:$AD$100,Curves!$AU$15:$BV$15)</f>
        <v/>
      </c>
      <c r="AE37" s="3">
        <f>SUMPRODUCT(Adds!$C$100:$AE$100,Curves!$AT$15:$BV$15)</f>
        <v/>
      </c>
      <c r="AF37" s="3">
        <f>SUMPRODUCT(Adds!$C$100:$AF$100,Curves!$AS$15:$BV$15)</f>
        <v/>
      </c>
      <c r="AG37" s="3">
        <f>SUMPRODUCT(Adds!$C$100:$AG$100,Curves!$AR$15:$BV$15)</f>
        <v/>
      </c>
      <c r="AH37" s="3">
        <f>SUMPRODUCT(Adds!$C$100:$AH$100,Curves!$AQ$15:$BV$15)</f>
        <v/>
      </c>
      <c r="AI37" s="3">
        <f>SUMPRODUCT(Adds!$C$100:$AI$100,Curves!$AP$15:$BV$15)</f>
        <v/>
      </c>
      <c r="AJ37" s="3">
        <f>SUMPRODUCT(Adds!$C$100:$AJ$100,Curves!$AO$15:$BV$15)</f>
        <v/>
      </c>
      <c r="AK37" s="3">
        <f>SUMPRODUCT(Adds!$C$100:$AK$100,Curves!$AN$15:$BV$15)</f>
        <v/>
      </c>
      <c r="AL37" s="3">
        <f>SUMPRODUCT(Adds!$C$100:$AL$100,Curves!$AM$15:$BV$15)</f>
        <v/>
      </c>
      <c r="AM37" s="3">
        <f>SUMPRODUCT(Adds!$C$100:$AM$100,Curves!$AL$15:$BV$15)</f>
        <v/>
      </c>
      <c r="AN37" s="3">
        <f>SUMPRODUCT(Adds!$C$100:$AN$100,Curves!$AK$15:$BV$15)</f>
        <v/>
      </c>
      <c r="AO37" s="3">
        <f>SUMPRODUCT(Adds!$C$100:$AO$100,Curves!$AJ$15:$BV$15)</f>
        <v/>
      </c>
      <c r="AP37" s="3">
        <f>SUMPRODUCT(Adds!$C$100:$AP$100,Curves!$AI$15:$BV$15)</f>
        <v/>
      </c>
      <c r="AQ37" s="3">
        <f>SUMPRODUCT(Adds!$C$100:$AQ$100,Curves!$AH$15:$BV$15)</f>
        <v/>
      </c>
      <c r="AR37" s="3">
        <f>SUMPRODUCT(Adds!$C$100:$AR$100,Curves!$AG$15:$BV$15)</f>
        <v/>
      </c>
      <c r="AS37" s="3">
        <f>SUMPRODUCT(Adds!$C$100:$AS$100,Curves!$AF$15:$BV$15)</f>
        <v/>
      </c>
      <c r="AT37" s="3">
        <f>SUMPRODUCT(Adds!$C$100:$AT$100,Curves!$AE$15:$BV$15)</f>
        <v/>
      </c>
      <c r="AU37" s="3">
        <f>SUMPRODUCT(Adds!$C$100:$AU$100,Curves!$AD$15:$BV$15)</f>
        <v/>
      </c>
      <c r="AV37" s="3">
        <f>SUMPRODUCT(Adds!$C$100:$AV$100,Curves!$AC$15:$BV$15)</f>
        <v/>
      </c>
      <c r="AW37" s="3">
        <f>SUMPRODUCT(Adds!$C$100:$AW$100,Curves!$AB$15:$BV$15)</f>
        <v/>
      </c>
      <c r="AX37" s="3">
        <f>SUMPRODUCT(Adds!$C$100:$AX$100,Curves!$AA$15:$BV$15)</f>
        <v/>
      </c>
      <c r="AY37" s="3">
        <f>SUMPRODUCT(Adds!$C$100:$AY$100,Curves!$Z$15:$BV$15)</f>
        <v/>
      </c>
      <c r="AZ37" s="3">
        <f>SUMPRODUCT(Adds!$C$100:$AZ$100,Curves!$Y$15:$BV$15)</f>
        <v/>
      </c>
      <c r="BA37" s="3">
        <f>SUMPRODUCT(Adds!$C$100:$BA$100,Curves!$X$15:$BV$15)</f>
        <v/>
      </c>
      <c r="BB37" s="3">
        <f>SUMPRODUCT(Adds!$C$100:$BB$100,Curves!$W$15:$BV$15)</f>
        <v/>
      </c>
      <c r="BC37" s="3">
        <f>SUMPRODUCT(Adds!$C$100:$BC$100,Curves!$V$15:$BV$15)</f>
        <v/>
      </c>
      <c r="BD37" s="3">
        <f>SUMPRODUCT(Adds!$C$100:$BD$100,Curves!$U$15:$BV$15)</f>
        <v/>
      </c>
      <c r="BE37" s="3">
        <f>SUMPRODUCT(Adds!$C$100:$BE$100,Curves!$T$15:$BV$15)</f>
        <v/>
      </c>
      <c r="BF37" s="3">
        <f>SUMPRODUCT(Adds!$C$100:$BF$100,Curves!$S$15:$BV$15)</f>
        <v/>
      </c>
      <c r="BG37" s="3">
        <f>SUMPRODUCT(Adds!$C$100:$BG$100,Curves!$R$15:$BV$15)</f>
        <v/>
      </c>
      <c r="BH37" s="3">
        <f>SUMPRODUCT(Adds!$C$100:$BH$100,Curves!$Q$15:$BV$15)</f>
        <v/>
      </c>
      <c r="BI37" s="3">
        <f>SUMPRODUCT(Adds!$C$100:$BI$100,Curves!$P$15:$BV$15)</f>
        <v/>
      </c>
      <c r="BJ37" s="3">
        <f>SUMPRODUCT(Adds!$C$100:$BJ$100,Curves!$O$15:$BV$15)</f>
        <v/>
      </c>
      <c r="BK37" s="3">
        <f>SUMPRODUCT(Adds!$C$100:$BK$100,Curves!$N$15:$BV$15)</f>
        <v/>
      </c>
      <c r="BL37" s="3">
        <f>SUMPRODUCT(Adds!$C$100:$BL$100,Curves!$M$15:$BV$15)</f>
        <v/>
      </c>
      <c r="BM37" s="3">
        <f>SUMPRODUCT(Adds!$C$100:$BM$100,Curves!$L$15:$BV$15)</f>
        <v/>
      </c>
      <c r="BN37" s="3">
        <f>SUMPRODUCT(Adds!$C$100:$BN$100,Curves!$K$15:$BV$15)</f>
        <v/>
      </c>
      <c r="BO37" s="3">
        <f>SUMPRODUCT(Adds!$C$100:$BO$100,Curves!$J$15:$BV$15)</f>
        <v/>
      </c>
      <c r="BP37" s="3">
        <f>SUMPRODUCT(Adds!$C$100:$BP$100,Curves!$I$15:$BV$15)</f>
        <v/>
      </c>
      <c r="BQ37" s="3">
        <f>SUMPRODUCT(Adds!$C$100:$BQ$100,Curves!$H$15:$BV$15)</f>
        <v/>
      </c>
      <c r="BR37" s="3">
        <f>SUMPRODUCT(Adds!$C$100:$BR$100,Curves!$G$15:$BV$15)</f>
        <v/>
      </c>
      <c r="BS37" s="3">
        <f>SUMPRODUCT(Adds!$C$100:$BS$100,Curves!$F$15:$BV$15)</f>
        <v/>
      </c>
      <c r="BT37" s="3">
        <f>SUMPRODUCT(Adds!$C$100:$BT$100,Curves!$E$15:$BV$15)</f>
        <v/>
      </c>
      <c r="BU37" s="3">
        <f>SUMPRODUCT(Adds!$C$100:$BU$100,Curves!$D$15:$BV$15)</f>
        <v/>
      </c>
      <c r="BV37" s="3">
        <f>SUMPRODUCT(Adds!$C$100:$BV$100,Curves!$C$15:$BV$15)</f>
        <v/>
      </c>
    </row>
    <row r="39">
      <c r="A39" t="inlineStr">
        <is>
          <t>active</t>
        </is>
      </c>
      <c r="B39" t="inlineStr">
        <is>
          <t>LATAM|NITRO_A</t>
        </is>
      </c>
      <c r="C39" s="3">
        <f>Adds!$C$111*Curves!$BV$14</f>
        <v/>
      </c>
      <c r="D39" s="3">
        <f>SUMPRODUCT(Adds!$C$111:$D$111,Curves!$BU$14:$BV$14)</f>
        <v/>
      </c>
      <c r="E39" s="3">
        <f>SUMPRODUCT(Adds!$C$111:$E$111,Curves!$BT$14:$BV$14)</f>
        <v/>
      </c>
      <c r="F39" s="3">
        <f>SUMPRODUCT(Adds!$C$111:$F$111,Curves!$BS$14:$BV$14)</f>
        <v/>
      </c>
      <c r="G39" s="3">
        <f>SUMPRODUCT(Adds!$C$111:$G$111,Curves!$BR$14:$BV$14)</f>
        <v/>
      </c>
      <c r="H39" s="3">
        <f>SUMPRODUCT(Adds!$C$111:$H$111,Curves!$BQ$14:$BV$14)</f>
        <v/>
      </c>
      <c r="I39" s="3">
        <f>SUMPRODUCT(Adds!$C$111:$I$111,Curves!$BP$14:$BV$14)</f>
        <v/>
      </c>
      <c r="J39" s="3">
        <f>SUMPRODUCT(Adds!$C$111:$J$111,Curves!$BO$14:$BV$14)</f>
        <v/>
      </c>
      <c r="K39" s="3">
        <f>SUMPRODUCT(Adds!$C$111:$K$111,Curves!$BN$14:$BV$14)</f>
        <v/>
      </c>
      <c r="L39" s="3">
        <f>SUMPRODUCT(Adds!$C$111:$L$111,Curves!$BM$14:$BV$14)</f>
        <v/>
      </c>
      <c r="M39" s="3">
        <f>SUMPRODUCT(Adds!$C$111:$M$111,Curves!$BL$14:$BV$14)</f>
        <v/>
      </c>
      <c r="N39" s="3">
        <f>SUMPRODUCT(Adds!$C$111:$N$111,Curves!$BK$14:$BV$14)</f>
        <v/>
      </c>
      <c r="O39" s="3">
        <f>SUMPRODUCT(Adds!$C$111:$O$111,Curves!$BJ$14:$BV$14)</f>
        <v/>
      </c>
      <c r="P39" s="3">
        <f>SUMPRODUCT(Adds!$C$111:$P$111,Curves!$BI$14:$BV$14)</f>
        <v/>
      </c>
      <c r="Q39" s="3">
        <f>SUMPRODUCT(Adds!$C$111:$Q$111,Curves!$BH$14:$BV$14)</f>
        <v/>
      </c>
      <c r="R39" s="3">
        <f>SUMPRODUCT(Adds!$C$111:$R$111,Curves!$BG$14:$BV$14)</f>
        <v/>
      </c>
      <c r="S39" s="3">
        <f>SUMPRODUCT(Adds!$C$111:$S$111,Curves!$BF$14:$BV$14)</f>
        <v/>
      </c>
      <c r="T39" s="3">
        <f>SUMPRODUCT(Adds!$C$111:$T$111,Curves!$BE$14:$BV$14)</f>
        <v/>
      </c>
      <c r="U39" s="3">
        <f>SUMPRODUCT(Adds!$C$111:$U$111,Curves!$BD$14:$BV$14)</f>
        <v/>
      </c>
      <c r="V39" s="3">
        <f>SUMPRODUCT(Adds!$C$111:$V$111,Curves!$BC$14:$BV$14)</f>
        <v/>
      </c>
      <c r="W39" s="3">
        <f>SUMPRODUCT(Adds!$C$111:$W$111,Curves!$BB$14:$BV$14)</f>
        <v/>
      </c>
      <c r="X39" s="3">
        <f>SUMPRODUCT(Adds!$C$111:$X$111,Curves!$BA$14:$BV$14)</f>
        <v/>
      </c>
      <c r="Y39" s="3">
        <f>SUMPRODUCT(Adds!$C$111:$Y$111,Curves!$AZ$14:$BV$14)</f>
        <v/>
      </c>
      <c r="Z39" s="3">
        <f>SUMPRODUCT(Adds!$C$111:$Z$111,Curves!$AY$14:$BV$14)</f>
        <v/>
      </c>
      <c r="AA39" s="3">
        <f>SUMPRODUCT(Adds!$C$111:$AA$111,Curves!$AX$14:$BV$14)</f>
        <v/>
      </c>
      <c r="AB39" s="3">
        <f>SUMPRODUCT(Adds!$C$111:$AB$111,Curves!$AW$14:$BV$14)</f>
        <v/>
      </c>
      <c r="AC39" s="3">
        <f>SUMPRODUCT(Adds!$C$111:$AC$111,Curves!$AV$14:$BV$14)</f>
        <v/>
      </c>
      <c r="AD39" s="3">
        <f>SUMPRODUCT(Adds!$C$111:$AD$111,Curves!$AU$14:$BV$14)</f>
        <v/>
      </c>
      <c r="AE39" s="3">
        <f>SUMPRODUCT(Adds!$C$111:$AE$111,Curves!$AT$14:$BV$14)</f>
        <v/>
      </c>
      <c r="AF39" s="3">
        <f>SUMPRODUCT(Adds!$C$111:$AF$111,Curves!$AS$14:$BV$14)</f>
        <v/>
      </c>
      <c r="AG39" s="3">
        <f>SUMPRODUCT(Adds!$C$111:$AG$111,Curves!$AR$14:$BV$14)</f>
        <v/>
      </c>
      <c r="AH39" s="3">
        <f>SUMPRODUCT(Adds!$C$111:$AH$111,Curves!$AQ$14:$BV$14)</f>
        <v/>
      </c>
      <c r="AI39" s="3">
        <f>SUMPRODUCT(Adds!$C$111:$AI$111,Curves!$AP$14:$BV$14)</f>
        <v/>
      </c>
      <c r="AJ39" s="3">
        <f>SUMPRODUCT(Adds!$C$111:$AJ$111,Curves!$AO$14:$BV$14)</f>
        <v/>
      </c>
      <c r="AK39" s="3">
        <f>SUMPRODUCT(Adds!$C$111:$AK$111,Curves!$AN$14:$BV$14)</f>
        <v/>
      </c>
      <c r="AL39" s="3">
        <f>SUMPRODUCT(Adds!$C$111:$AL$111,Curves!$AM$14:$BV$14)</f>
        <v/>
      </c>
      <c r="AM39" s="3">
        <f>SUMPRODUCT(Adds!$C$111:$AM$111,Curves!$AL$14:$BV$14)</f>
        <v/>
      </c>
      <c r="AN39" s="3">
        <f>SUMPRODUCT(Adds!$C$111:$AN$111,Curves!$AK$14:$BV$14)</f>
        <v/>
      </c>
      <c r="AO39" s="3">
        <f>SUMPRODUCT(Adds!$C$111:$AO$111,Curves!$AJ$14:$BV$14)</f>
        <v/>
      </c>
      <c r="AP39" s="3">
        <f>SUMPRODUCT(Adds!$C$111:$AP$111,Curves!$AI$14:$BV$14)</f>
        <v/>
      </c>
      <c r="AQ39" s="3">
        <f>SUMPRODUCT(Adds!$C$111:$AQ$111,Curves!$AH$14:$BV$14)</f>
        <v/>
      </c>
      <c r="AR39" s="3">
        <f>SUMPRODUCT(Adds!$C$111:$AR$111,Curves!$AG$14:$BV$14)</f>
        <v/>
      </c>
      <c r="AS39" s="3">
        <f>SUMPRODUCT(Adds!$C$111:$AS$111,Curves!$AF$14:$BV$14)</f>
        <v/>
      </c>
      <c r="AT39" s="3">
        <f>SUMPRODUCT(Adds!$C$111:$AT$111,Curves!$AE$14:$BV$14)</f>
        <v/>
      </c>
      <c r="AU39" s="3">
        <f>SUMPRODUCT(Adds!$C$111:$AU$111,Curves!$AD$14:$BV$14)</f>
        <v/>
      </c>
      <c r="AV39" s="3">
        <f>SUMPRODUCT(Adds!$C$111:$AV$111,Curves!$AC$14:$BV$14)</f>
        <v/>
      </c>
      <c r="AW39" s="3">
        <f>SUMPRODUCT(Adds!$C$111:$AW$111,Curves!$AB$14:$BV$14)</f>
        <v/>
      </c>
      <c r="AX39" s="3">
        <f>SUMPRODUCT(Adds!$C$111:$AX$111,Curves!$AA$14:$BV$14)</f>
        <v/>
      </c>
      <c r="AY39" s="3">
        <f>SUMPRODUCT(Adds!$C$111:$AY$111,Curves!$Z$14:$BV$14)</f>
        <v/>
      </c>
      <c r="AZ39" s="3">
        <f>SUMPRODUCT(Adds!$C$111:$AZ$111,Curves!$Y$14:$BV$14)</f>
        <v/>
      </c>
      <c r="BA39" s="3">
        <f>SUMPRODUCT(Adds!$C$111:$BA$111,Curves!$X$14:$BV$14)</f>
        <v/>
      </c>
      <c r="BB39" s="3">
        <f>SUMPRODUCT(Adds!$C$111:$BB$111,Curves!$W$14:$BV$14)</f>
        <v/>
      </c>
      <c r="BC39" s="3">
        <f>SUMPRODUCT(Adds!$C$111:$BC$111,Curves!$V$14:$BV$14)</f>
        <v/>
      </c>
      <c r="BD39" s="3">
        <f>SUMPRODUCT(Adds!$C$111:$BD$111,Curves!$U$14:$BV$14)</f>
        <v/>
      </c>
      <c r="BE39" s="3">
        <f>SUMPRODUCT(Adds!$C$111:$BE$111,Curves!$T$14:$BV$14)</f>
        <v/>
      </c>
      <c r="BF39" s="3">
        <f>SUMPRODUCT(Adds!$C$111:$BF$111,Curves!$S$14:$BV$14)</f>
        <v/>
      </c>
      <c r="BG39" s="3">
        <f>SUMPRODUCT(Adds!$C$111:$BG$111,Curves!$R$14:$BV$14)</f>
        <v/>
      </c>
      <c r="BH39" s="3">
        <f>SUMPRODUCT(Adds!$C$111:$BH$111,Curves!$Q$14:$BV$14)</f>
        <v/>
      </c>
      <c r="BI39" s="3">
        <f>SUMPRODUCT(Adds!$C$111:$BI$111,Curves!$P$14:$BV$14)</f>
        <v/>
      </c>
      <c r="BJ39" s="3">
        <f>SUMPRODUCT(Adds!$C$111:$BJ$111,Curves!$O$14:$BV$14)</f>
        <v/>
      </c>
      <c r="BK39" s="3">
        <f>SUMPRODUCT(Adds!$C$111:$BK$111,Curves!$N$14:$BV$14)</f>
        <v/>
      </c>
      <c r="BL39" s="3">
        <f>SUMPRODUCT(Adds!$C$111:$BL$111,Curves!$M$14:$BV$14)</f>
        <v/>
      </c>
      <c r="BM39" s="3">
        <f>SUMPRODUCT(Adds!$C$111:$BM$111,Curves!$L$14:$BV$14)</f>
        <v/>
      </c>
      <c r="BN39" s="3">
        <f>SUMPRODUCT(Adds!$C$111:$BN$111,Curves!$K$14:$BV$14)</f>
        <v/>
      </c>
      <c r="BO39" s="3">
        <f>SUMPRODUCT(Adds!$C$111:$BO$111,Curves!$J$14:$BV$14)</f>
        <v/>
      </c>
      <c r="BP39" s="3">
        <f>SUMPRODUCT(Adds!$C$111:$BP$111,Curves!$I$14:$BV$14)</f>
        <v/>
      </c>
      <c r="BQ39" s="3">
        <f>SUMPRODUCT(Adds!$C$111:$BQ$111,Curves!$H$14:$BV$14)</f>
        <v/>
      </c>
      <c r="BR39" s="3">
        <f>SUMPRODUCT(Adds!$C$111:$BR$111,Curves!$G$14:$BV$14)</f>
        <v/>
      </c>
      <c r="BS39" s="3">
        <f>SUMPRODUCT(Adds!$C$111:$BS$111,Curves!$F$14:$BV$14)</f>
        <v/>
      </c>
      <c r="BT39" s="3">
        <f>SUMPRODUCT(Adds!$C$111:$BT$111,Curves!$E$14:$BV$14)</f>
        <v/>
      </c>
      <c r="BU39" s="3">
        <f>SUMPRODUCT(Adds!$C$111:$BU$111,Curves!$D$14:$BV$14)</f>
        <v/>
      </c>
      <c r="BV39" s="3">
        <f>SUMPRODUCT(Adds!$C$111:$BV$111,Curves!$C$14:$BV$14)</f>
        <v/>
      </c>
    </row>
    <row r="40">
      <c r="A40" t="inlineStr">
        <is>
          <t>active yr 1</t>
        </is>
      </c>
      <c r="B40" t="inlineStr">
        <is>
          <t>LATAM|NITRO_A</t>
        </is>
      </c>
      <c r="C40" s="3">
        <f>Adds!$C$111*Curves!$BV$21</f>
        <v/>
      </c>
      <c r="D40" s="3">
        <f>SUMPRODUCT(Adds!$C$111:$D$111,Curves!$BU$21:$BV$21)</f>
        <v/>
      </c>
      <c r="E40" s="3">
        <f>SUMPRODUCT(Adds!$C$111:$E$111,Curves!$BT$21:$BV$21)</f>
        <v/>
      </c>
      <c r="F40" s="3">
        <f>SUMPRODUCT(Adds!$C$111:$F$111,Curves!$BS$21:$BV$21)</f>
        <v/>
      </c>
      <c r="G40" s="3">
        <f>SUMPRODUCT(Adds!$C$111:$G$111,Curves!$BR$21:$BV$21)</f>
        <v/>
      </c>
      <c r="H40" s="3">
        <f>SUMPRODUCT(Adds!$C$111:$H$111,Curves!$BQ$21:$BV$21)</f>
        <v/>
      </c>
      <c r="I40" s="3">
        <f>SUMPRODUCT(Adds!$C$111:$I$111,Curves!$BP$21:$BV$21)</f>
        <v/>
      </c>
      <c r="J40" s="3">
        <f>SUMPRODUCT(Adds!$C$111:$J$111,Curves!$BO$21:$BV$21)</f>
        <v/>
      </c>
      <c r="K40" s="3">
        <f>SUMPRODUCT(Adds!$C$111:$K$111,Curves!$BN$21:$BV$21)</f>
        <v/>
      </c>
      <c r="L40" s="3">
        <f>SUMPRODUCT(Adds!$C$111:$L$111,Curves!$BM$21:$BV$21)</f>
        <v/>
      </c>
      <c r="M40" s="3">
        <f>SUMPRODUCT(Adds!$C$111:$M$111,Curves!$BL$21:$BV$21)</f>
        <v/>
      </c>
      <c r="N40" s="3">
        <f>SUMPRODUCT(Adds!$C$111:$N$111,Curves!$BK$21:$BV$21)</f>
        <v/>
      </c>
      <c r="O40" s="3">
        <f>SUMPRODUCT(Adds!$C$111:$O$111,Curves!$BJ$21:$BV$21)</f>
        <v/>
      </c>
      <c r="P40" s="3">
        <f>SUMPRODUCT(Adds!$C$111:$P$111,Curves!$BI$21:$BV$21)</f>
        <v/>
      </c>
      <c r="Q40" s="3">
        <f>SUMPRODUCT(Adds!$C$111:$Q$111,Curves!$BH$21:$BV$21)</f>
        <v/>
      </c>
      <c r="R40" s="3">
        <f>SUMPRODUCT(Adds!$C$111:$R$111,Curves!$BG$21:$BV$21)</f>
        <v/>
      </c>
      <c r="S40" s="3">
        <f>SUMPRODUCT(Adds!$C$111:$S$111,Curves!$BF$21:$BV$21)</f>
        <v/>
      </c>
      <c r="T40" s="3">
        <f>SUMPRODUCT(Adds!$C$111:$T$111,Curves!$BE$21:$BV$21)</f>
        <v/>
      </c>
      <c r="U40" s="3">
        <f>SUMPRODUCT(Adds!$C$111:$U$111,Curves!$BD$21:$BV$21)</f>
        <v/>
      </c>
      <c r="V40" s="3">
        <f>SUMPRODUCT(Adds!$C$111:$V$111,Curves!$BC$21:$BV$21)</f>
        <v/>
      </c>
      <c r="W40" s="3">
        <f>SUMPRODUCT(Adds!$C$111:$W$111,Curves!$BB$21:$BV$21)</f>
        <v/>
      </c>
      <c r="X40" s="3">
        <f>SUMPRODUCT(Adds!$C$111:$X$111,Curves!$BA$21:$BV$21)</f>
        <v/>
      </c>
      <c r="Y40" s="3">
        <f>SUMPRODUCT(Adds!$C$111:$Y$111,Curves!$AZ$21:$BV$21)</f>
        <v/>
      </c>
      <c r="Z40" s="3">
        <f>SUMPRODUCT(Adds!$C$111:$Z$111,Curves!$AY$21:$BV$21)</f>
        <v/>
      </c>
      <c r="AA40" s="3">
        <f>SUMPRODUCT(Adds!$C$111:$AA$111,Curves!$AX$21:$BV$21)</f>
        <v/>
      </c>
      <c r="AB40" s="3">
        <f>SUMPRODUCT(Adds!$C$111:$AB$111,Curves!$AW$21:$BV$21)</f>
        <v/>
      </c>
      <c r="AC40" s="3">
        <f>SUMPRODUCT(Adds!$C$111:$AC$111,Curves!$AV$21:$BV$21)</f>
        <v/>
      </c>
      <c r="AD40" s="3">
        <f>SUMPRODUCT(Adds!$C$111:$AD$111,Curves!$AU$21:$BV$21)</f>
        <v/>
      </c>
      <c r="AE40" s="3">
        <f>SUMPRODUCT(Adds!$C$111:$AE$111,Curves!$AT$21:$BV$21)</f>
        <v/>
      </c>
      <c r="AF40" s="3">
        <f>SUMPRODUCT(Adds!$C$111:$AF$111,Curves!$AS$21:$BV$21)</f>
        <v/>
      </c>
      <c r="AG40" s="3">
        <f>SUMPRODUCT(Adds!$C$111:$AG$111,Curves!$AR$21:$BV$21)</f>
        <v/>
      </c>
      <c r="AH40" s="3">
        <f>SUMPRODUCT(Adds!$C$111:$AH$111,Curves!$AQ$21:$BV$21)</f>
        <v/>
      </c>
      <c r="AI40" s="3">
        <f>SUMPRODUCT(Adds!$C$111:$AI$111,Curves!$AP$21:$BV$21)</f>
        <v/>
      </c>
      <c r="AJ40" s="3">
        <f>SUMPRODUCT(Adds!$C$111:$AJ$111,Curves!$AO$21:$BV$21)</f>
        <v/>
      </c>
      <c r="AK40" s="3">
        <f>SUMPRODUCT(Adds!$C$111:$AK$111,Curves!$AN$21:$BV$21)</f>
        <v/>
      </c>
      <c r="AL40" s="3">
        <f>SUMPRODUCT(Adds!$C$111:$AL$111,Curves!$AM$21:$BV$21)</f>
        <v/>
      </c>
      <c r="AM40" s="3">
        <f>SUMPRODUCT(Adds!$C$111:$AM$111,Curves!$AL$21:$BV$21)</f>
        <v/>
      </c>
      <c r="AN40" s="3">
        <f>SUMPRODUCT(Adds!$C$111:$AN$111,Curves!$AK$21:$BV$21)</f>
        <v/>
      </c>
      <c r="AO40" s="3">
        <f>SUMPRODUCT(Adds!$C$111:$AO$111,Curves!$AJ$21:$BV$21)</f>
        <v/>
      </c>
      <c r="AP40" s="3">
        <f>SUMPRODUCT(Adds!$C$111:$AP$111,Curves!$AI$21:$BV$21)</f>
        <v/>
      </c>
      <c r="AQ40" s="3">
        <f>SUMPRODUCT(Adds!$C$111:$AQ$111,Curves!$AH$21:$BV$21)</f>
        <v/>
      </c>
      <c r="AR40" s="3">
        <f>SUMPRODUCT(Adds!$C$111:$AR$111,Curves!$AG$21:$BV$21)</f>
        <v/>
      </c>
      <c r="AS40" s="3">
        <f>SUMPRODUCT(Adds!$C$111:$AS$111,Curves!$AF$21:$BV$21)</f>
        <v/>
      </c>
      <c r="AT40" s="3">
        <f>SUMPRODUCT(Adds!$C$111:$AT$111,Curves!$AE$21:$BV$21)</f>
        <v/>
      </c>
      <c r="AU40" s="3">
        <f>SUMPRODUCT(Adds!$C$111:$AU$111,Curves!$AD$21:$BV$21)</f>
        <v/>
      </c>
      <c r="AV40" s="3">
        <f>SUMPRODUCT(Adds!$C$111:$AV$111,Curves!$AC$21:$BV$21)</f>
        <v/>
      </c>
      <c r="AW40" s="3">
        <f>SUMPRODUCT(Adds!$C$111:$AW$111,Curves!$AB$21:$BV$21)</f>
        <v/>
      </c>
      <c r="AX40" s="3">
        <f>SUMPRODUCT(Adds!$C$111:$AX$111,Curves!$AA$21:$BV$21)</f>
        <v/>
      </c>
      <c r="AY40" s="3">
        <f>SUMPRODUCT(Adds!$C$111:$AY$111,Curves!$Z$21:$BV$21)</f>
        <v/>
      </c>
      <c r="AZ40" s="3">
        <f>SUMPRODUCT(Adds!$C$111:$AZ$111,Curves!$Y$21:$BV$21)</f>
        <v/>
      </c>
      <c r="BA40" s="3">
        <f>SUMPRODUCT(Adds!$C$111:$BA$111,Curves!$X$21:$BV$21)</f>
        <v/>
      </c>
      <c r="BB40" s="3">
        <f>SUMPRODUCT(Adds!$C$111:$BB$111,Curves!$W$21:$BV$21)</f>
        <v/>
      </c>
      <c r="BC40" s="3">
        <f>SUMPRODUCT(Adds!$C$111:$BC$111,Curves!$V$21:$BV$21)</f>
        <v/>
      </c>
      <c r="BD40" s="3">
        <f>SUMPRODUCT(Adds!$C$111:$BD$111,Curves!$U$21:$BV$21)</f>
        <v/>
      </c>
      <c r="BE40" s="3">
        <f>SUMPRODUCT(Adds!$C$111:$BE$111,Curves!$T$21:$BV$21)</f>
        <v/>
      </c>
      <c r="BF40" s="3">
        <f>SUMPRODUCT(Adds!$C$111:$BF$111,Curves!$S$21:$BV$21)</f>
        <v/>
      </c>
      <c r="BG40" s="3">
        <f>SUMPRODUCT(Adds!$C$111:$BG$111,Curves!$R$21:$BV$21)</f>
        <v/>
      </c>
      <c r="BH40" s="3">
        <f>SUMPRODUCT(Adds!$C$111:$BH$111,Curves!$Q$21:$BV$21)</f>
        <v/>
      </c>
      <c r="BI40" s="3">
        <f>SUMPRODUCT(Adds!$C$111:$BI$111,Curves!$P$21:$BV$21)</f>
        <v/>
      </c>
      <c r="BJ40" s="3">
        <f>SUMPRODUCT(Adds!$C$111:$BJ$111,Curves!$O$21:$BV$21)</f>
        <v/>
      </c>
      <c r="BK40" s="3">
        <f>SUMPRODUCT(Adds!$C$111:$BK$111,Curves!$N$21:$BV$21)</f>
        <v/>
      </c>
      <c r="BL40" s="3">
        <f>SUMPRODUCT(Adds!$C$111:$BL$111,Curves!$M$21:$BV$21)</f>
        <v/>
      </c>
      <c r="BM40" s="3">
        <f>SUMPRODUCT(Adds!$C$111:$BM$111,Curves!$L$21:$BV$21)</f>
        <v/>
      </c>
      <c r="BN40" s="3">
        <f>SUMPRODUCT(Adds!$C$111:$BN$111,Curves!$K$21:$BV$21)</f>
        <v/>
      </c>
      <c r="BO40" s="3">
        <f>SUMPRODUCT(Adds!$C$111:$BO$111,Curves!$J$21:$BV$21)</f>
        <v/>
      </c>
      <c r="BP40" s="3">
        <f>SUMPRODUCT(Adds!$C$111:$BP$111,Curves!$I$21:$BV$21)</f>
        <v/>
      </c>
      <c r="BQ40" s="3">
        <f>SUMPRODUCT(Adds!$C$111:$BQ$111,Curves!$H$21:$BV$21)</f>
        <v/>
      </c>
      <c r="BR40" s="3">
        <f>SUMPRODUCT(Adds!$C$111:$BR$111,Curves!$G$21:$BV$21)</f>
        <v/>
      </c>
      <c r="BS40" s="3">
        <f>SUMPRODUCT(Adds!$C$111:$BS$111,Curves!$F$21:$BV$21)</f>
        <v/>
      </c>
      <c r="BT40" s="3">
        <f>SUMPRODUCT(Adds!$C$111:$BT$111,Curves!$E$21:$BV$21)</f>
        <v/>
      </c>
      <c r="BU40" s="3">
        <f>SUMPRODUCT(Adds!$C$111:$BU$111,Curves!$D$21:$BV$21)</f>
        <v/>
      </c>
      <c r="BV40" s="3">
        <f>SUMPRODUCT(Adds!$C$111:$BV$111,Curves!$C$21:$BV$21)</f>
        <v/>
      </c>
    </row>
    <row r="41">
      <c r="A41" t="inlineStr">
        <is>
          <t>churned</t>
        </is>
      </c>
      <c r="B41" t="inlineStr">
        <is>
          <t>LATAM|NITRO_A</t>
        </is>
      </c>
      <c r="C41" s="3">
        <f>Adds!$C$111*Curves!$BV$16</f>
        <v/>
      </c>
      <c r="D41" s="3">
        <f>SUMPRODUCT(Adds!$C$111:$D$111,Curves!$BU$16:$BV$16)</f>
        <v/>
      </c>
      <c r="E41" s="3">
        <f>SUMPRODUCT(Adds!$C$111:$E$111,Curves!$BT$16:$BV$16)</f>
        <v/>
      </c>
      <c r="F41" s="3">
        <f>SUMPRODUCT(Adds!$C$111:$F$111,Curves!$BS$16:$BV$16)</f>
        <v/>
      </c>
      <c r="G41" s="3">
        <f>SUMPRODUCT(Adds!$C$111:$G$111,Curves!$BR$16:$BV$16)</f>
        <v/>
      </c>
      <c r="H41" s="3">
        <f>SUMPRODUCT(Adds!$C$111:$H$111,Curves!$BQ$16:$BV$16)</f>
        <v/>
      </c>
      <c r="I41" s="3">
        <f>SUMPRODUCT(Adds!$C$111:$I$111,Curves!$BP$16:$BV$16)</f>
        <v/>
      </c>
      <c r="J41" s="3">
        <f>SUMPRODUCT(Adds!$C$111:$J$111,Curves!$BO$16:$BV$16)</f>
        <v/>
      </c>
      <c r="K41" s="3">
        <f>SUMPRODUCT(Adds!$C$111:$K$111,Curves!$BN$16:$BV$16)</f>
        <v/>
      </c>
      <c r="L41" s="3">
        <f>SUMPRODUCT(Adds!$C$111:$L$111,Curves!$BM$16:$BV$16)</f>
        <v/>
      </c>
      <c r="M41" s="3">
        <f>SUMPRODUCT(Adds!$C$111:$M$111,Curves!$BL$16:$BV$16)</f>
        <v/>
      </c>
      <c r="N41" s="3">
        <f>SUMPRODUCT(Adds!$C$111:$N$111,Curves!$BK$16:$BV$16)</f>
        <v/>
      </c>
      <c r="O41" s="3">
        <f>SUMPRODUCT(Adds!$C$111:$O$111,Curves!$BJ$16:$BV$16)</f>
        <v/>
      </c>
      <c r="P41" s="3">
        <f>SUMPRODUCT(Adds!$C$111:$P$111,Curves!$BI$16:$BV$16)</f>
        <v/>
      </c>
      <c r="Q41" s="3">
        <f>SUMPRODUCT(Adds!$C$111:$Q$111,Curves!$BH$16:$BV$16)</f>
        <v/>
      </c>
      <c r="R41" s="3">
        <f>SUMPRODUCT(Adds!$C$111:$R$111,Curves!$BG$16:$BV$16)</f>
        <v/>
      </c>
      <c r="S41" s="3">
        <f>SUMPRODUCT(Adds!$C$111:$S$111,Curves!$BF$16:$BV$16)</f>
        <v/>
      </c>
      <c r="T41" s="3">
        <f>SUMPRODUCT(Adds!$C$111:$T$111,Curves!$BE$16:$BV$16)</f>
        <v/>
      </c>
      <c r="U41" s="3">
        <f>SUMPRODUCT(Adds!$C$111:$U$111,Curves!$BD$16:$BV$16)</f>
        <v/>
      </c>
      <c r="V41" s="3">
        <f>SUMPRODUCT(Adds!$C$111:$V$111,Curves!$BC$16:$BV$16)</f>
        <v/>
      </c>
      <c r="W41" s="3">
        <f>SUMPRODUCT(Adds!$C$111:$W$111,Curves!$BB$16:$BV$16)</f>
        <v/>
      </c>
      <c r="X41" s="3">
        <f>SUMPRODUCT(Adds!$C$111:$X$111,Curves!$BA$16:$BV$16)</f>
        <v/>
      </c>
      <c r="Y41" s="3">
        <f>SUMPRODUCT(Adds!$C$111:$Y$111,Curves!$AZ$16:$BV$16)</f>
        <v/>
      </c>
      <c r="Z41" s="3">
        <f>SUMPRODUCT(Adds!$C$111:$Z$111,Curves!$AY$16:$BV$16)</f>
        <v/>
      </c>
      <c r="AA41" s="3">
        <f>SUMPRODUCT(Adds!$C$111:$AA$111,Curves!$AX$16:$BV$16)</f>
        <v/>
      </c>
      <c r="AB41" s="3">
        <f>SUMPRODUCT(Adds!$C$111:$AB$111,Curves!$AW$16:$BV$16)</f>
        <v/>
      </c>
      <c r="AC41" s="3">
        <f>SUMPRODUCT(Adds!$C$111:$AC$111,Curves!$AV$16:$BV$16)</f>
        <v/>
      </c>
      <c r="AD41" s="3">
        <f>SUMPRODUCT(Adds!$C$111:$AD$111,Curves!$AU$16:$BV$16)</f>
        <v/>
      </c>
      <c r="AE41" s="3">
        <f>SUMPRODUCT(Adds!$C$111:$AE$111,Curves!$AT$16:$BV$16)</f>
        <v/>
      </c>
      <c r="AF41" s="3">
        <f>SUMPRODUCT(Adds!$C$111:$AF$111,Curves!$AS$16:$BV$16)</f>
        <v/>
      </c>
      <c r="AG41" s="3">
        <f>SUMPRODUCT(Adds!$C$111:$AG$111,Curves!$AR$16:$BV$16)</f>
        <v/>
      </c>
      <c r="AH41" s="3">
        <f>SUMPRODUCT(Adds!$C$111:$AH$111,Curves!$AQ$16:$BV$16)</f>
        <v/>
      </c>
      <c r="AI41" s="3">
        <f>SUMPRODUCT(Adds!$C$111:$AI$111,Curves!$AP$16:$BV$16)</f>
        <v/>
      </c>
      <c r="AJ41" s="3">
        <f>SUMPRODUCT(Adds!$C$111:$AJ$111,Curves!$AO$16:$BV$16)</f>
        <v/>
      </c>
      <c r="AK41" s="3">
        <f>SUMPRODUCT(Adds!$C$111:$AK$111,Curves!$AN$16:$BV$16)</f>
        <v/>
      </c>
      <c r="AL41" s="3">
        <f>SUMPRODUCT(Adds!$C$111:$AL$111,Curves!$AM$16:$BV$16)</f>
        <v/>
      </c>
      <c r="AM41" s="3">
        <f>SUMPRODUCT(Adds!$C$111:$AM$111,Curves!$AL$16:$BV$16)</f>
        <v/>
      </c>
      <c r="AN41" s="3">
        <f>SUMPRODUCT(Adds!$C$111:$AN$111,Curves!$AK$16:$BV$16)</f>
        <v/>
      </c>
      <c r="AO41" s="3">
        <f>SUMPRODUCT(Adds!$C$111:$AO$111,Curves!$AJ$16:$BV$16)</f>
        <v/>
      </c>
      <c r="AP41" s="3">
        <f>SUMPRODUCT(Adds!$C$111:$AP$111,Curves!$AI$16:$BV$16)</f>
        <v/>
      </c>
      <c r="AQ41" s="3">
        <f>SUMPRODUCT(Adds!$C$111:$AQ$111,Curves!$AH$16:$BV$16)</f>
        <v/>
      </c>
      <c r="AR41" s="3">
        <f>SUMPRODUCT(Adds!$C$111:$AR$111,Curves!$AG$16:$BV$16)</f>
        <v/>
      </c>
      <c r="AS41" s="3">
        <f>SUMPRODUCT(Adds!$C$111:$AS$111,Curves!$AF$16:$BV$16)</f>
        <v/>
      </c>
      <c r="AT41" s="3">
        <f>SUMPRODUCT(Adds!$C$111:$AT$111,Curves!$AE$16:$BV$16)</f>
        <v/>
      </c>
      <c r="AU41" s="3">
        <f>SUMPRODUCT(Adds!$C$111:$AU$111,Curves!$AD$16:$BV$16)</f>
        <v/>
      </c>
      <c r="AV41" s="3">
        <f>SUMPRODUCT(Adds!$C$111:$AV$111,Curves!$AC$16:$BV$16)</f>
        <v/>
      </c>
      <c r="AW41" s="3">
        <f>SUMPRODUCT(Adds!$C$111:$AW$111,Curves!$AB$16:$BV$16)</f>
        <v/>
      </c>
      <c r="AX41" s="3">
        <f>SUMPRODUCT(Adds!$C$111:$AX$111,Curves!$AA$16:$BV$16)</f>
        <v/>
      </c>
      <c r="AY41" s="3">
        <f>SUMPRODUCT(Adds!$C$111:$AY$111,Curves!$Z$16:$BV$16)</f>
        <v/>
      </c>
      <c r="AZ41" s="3">
        <f>SUMPRODUCT(Adds!$C$111:$AZ$111,Curves!$Y$16:$BV$16)</f>
        <v/>
      </c>
      <c r="BA41" s="3">
        <f>SUMPRODUCT(Adds!$C$111:$BA$111,Curves!$X$16:$BV$16)</f>
        <v/>
      </c>
      <c r="BB41" s="3">
        <f>SUMPRODUCT(Adds!$C$111:$BB$111,Curves!$W$16:$BV$16)</f>
        <v/>
      </c>
      <c r="BC41" s="3">
        <f>SUMPRODUCT(Adds!$C$111:$BC$111,Curves!$V$16:$BV$16)</f>
        <v/>
      </c>
      <c r="BD41" s="3">
        <f>SUMPRODUCT(Adds!$C$111:$BD$111,Curves!$U$16:$BV$16)</f>
        <v/>
      </c>
      <c r="BE41" s="3">
        <f>SUMPRODUCT(Adds!$C$111:$BE$111,Curves!$T$16:$BV$16)</f>
        <v/>
      </c>
      <c r="BF41" s="3">
        <f>SUMPRODUCT(Adds!$C$111:$BF$111,Curves!$S$16:$BV$16)</f>
        <v/>
      </c>
      <c r="BG41" s="3">
        <f>SUMPRODUCT(Adds!$C$111:$BG$111,Curves!$R$16:$BV$16)</f>
        <v/>
      </c>
      <c r="BH41" s="3">
        <f>SUMPRODUCT(Adds!$C$111:$BH$111,Curves!$Q$16:$BV$16)</f>
        <v/>
      </c>
      <c r="BI41" s="3">
        <f>SUMPRODUCT(Adds!$C$111:$BI$111,Curves!$P$16:$BV$16)</f>
        <v/>
      </c>
      <c r="BJ41" s="3">
        <f>SUMPRODUCT(Adds!$C$111:$BJ$111,Curves!$O$16:$BV$16)</f>
        <v/>
      </c>
      <c r="BK41" s="3">
        <f>SUMPRODUCT(Adds!$C$111:$BK$111,Curves!$N$16:$BV$16)</f>
        <v/>
      </c>
      <c r="BL41" s="3">
        <f>SUMPRODUCT(Adds!$C$111:$BL$111,Curves!$M$16:$BV$16)</f>
        <v/>
      </c>
      <c r="BM41" s="3">
        <f>SUMPRODUCT(Adds!$C$111:$BM$111,Curves!$L$16:$BV$16)</f>
        <v/>
      </c>
      <c r="BN41" s="3">
        <f>SUMPRODUCT(Adds!$C$111:$BN$111,Curves!$K$16:$BV$16)</f>
        <v/>
      </c>
      <c r="BO41" s="3">
        <f>SUMPRODUCT(Adds!$C$111:$BO$111,Curves!$J$16:$BV$16)</f>
        <v/>
      </c>
      <c r="BP41" s="3">
        <f>SUMPRODUCT(Adds!$C$111:$BP$111,Curves!$I$16:$BV$16)</f>
        <v/>
      </c>
      <c r="BQ41" s="3">
        <f>SUMPRODUCT(Adds!$C$111:$BQ$111,Curves!$H$16:$BV$16)</f>
        <v/>
      </c>
      <c r="BR41" s="3">
        <f>SUMPRODUCT(Adds!$C$111:$BR$111,Curves!$G$16:$BV$16)</f>
        <v/>
      </c>
      <c r="BS41" s="3">
        <f>SUMPRODUCT(Adds!$C$111:$BS$111,Curves!$F$16:$BV$16)</f>
        <v/>
      </c>
      <c r="BT41" s="3">
        <f>SUMPRODUCT(Adds!$C$111:$BT$111,Curves!$E$16:$BV$16)</f>
        <v/>
      </c>
      <c r="BU41" s="3">
        <f>SUMPRODUCT(Adds!$C$111:$BU$111,Curves!$D$16:$BV$16)</f>
        <v/>
      </c>
      <c r="BV41" s="3">
        <f>SUMPRODUCT(Adds!$C$111:$BV$111,Curves!$C$16:$BV$16)</f>
        <v/>
      </c>
    </row>
    <row r="43">
      <c r="A43" t="inlineStr">
        <is>
          <t>active</t>
        </is>
      </c>
      <c r="B43" t="inlineStr">
        <is>
          <t>LATAM|BASIC_M</t>
        </is>
      </c>
      <c r="C43" s="3">
        <f>Adds!$C$122*Curves!$BV$13</f>
        <v/>
      </c>
      <c r="D43" s="3">
        <f>SUMPRODUCT(Adds!$C$122:$D$122,Curves!$BU$13:$BV$13)</f>
        <v/>
      </c>
      <c r="E43" s="3">
        <f>SUMPRODUCT(Adds!$C$122:$E$122,Curves!$BT$13:$BV$13)</f>
        <v/>
      </c>
      <c r="F43" s="3">
        <f>SUMPRODUCT(Adds!$C$122:$F$122,Curves!$BS$13:$BV$13)</f>
        <v/>
      </c>
      <c r="G43" s="3">
        <f>SUMPRODUCT(Adds!$C$122:$G$122,Curves!$BR$13:$BV$13)</f>
        <v/>
      </c>
      <c r="H43" s="3">
        <f>SUMPRODUCT(Adds!$C$122:$H$122,Curves!$BQ$13:$BV$13)</f>
        <v/>
      </c>
      <c r="I43" s="3">
        <f>SUMPRODUCT(Adds!$C$122:$I$122,Curves!$BP$13:$BV$13)</f>
        <v/>
      </c>
      <c r="J43" s="3">
        <f>SUMPRODUCT(Adds!$C$122:$J$122,Curves!$BO$13:$BV$13)</f>
        <v/>
      </c>
      <c r="K43" s="3">
        <f>SUMPRODUCT(Adds!$C$122:$K$122,Curves!$BN$13:$BV$13)</f>
        <v/>
      </c>
      <c r="L43" s="3">
        <f>SUMPRODUCT(Adds!$C$122:$L$122,Curves!$BM$13:$BV$13)</f>
        <v/>
      </c>
      <c r="M43" s="3">
        <f>SUMPRODUCT(Adds!$C$122:$M$122,Curves!$BL$13:$BV$13)</f>
        <v/>
      </c>
      <c r="N43" s="3">
        <f>SUMPRODUCT(Adds!$C$122:$N$122,Curves!$BK$13:$BV$13)</f>
        <v/>
      </c>
      <c r="O43" s="3">
        <f>SUMPRODUCT(Adds!$C$122:$O$122,Curves!$BJ$13:$BV$13)</f>
        <v/>
      </c>
      <c r="P43" s="3">
        <f>SUMPRODUCT(Adds!$C$122:$P$122,Curves!$BI$13:$BV$13)</f>
        <v/>
      </c>
      <c r="Q43" s="3">
        <f>SUMPRODUCT(Adds!$C$122:$Q$122,Curves!$BH$13:$BV$13)</f>
        <v/>
      </c>
      <c r="R43" s="3">
        <f>SUMPRODUCT(Adds!$C$122:$R$122,Curves!$BG$13:$BV$13)</f>
        <v/>
      </c>
      <c r="S43" s="3">
        <f>SUMPRODUCT(Adds!$C$122:$S$122,Curves!$BF$13:$BV$13)</f>
        <v/>
      </c>
      <c r="T43" s="3">
        <f>SUMPRODUCT(Adds!$C$122:$T$122,Curves!$BE$13:$BV$13)</f>
        <v/>
      </c>
      <c r="U43" s="3">
        <f>SUMPRODUCT(Adds!$C$122:$U$122,Curves!$BD$13:$BV$13)</f>
        <v/>
      </c>
      <c r="V43" s="3">
        <f>SUMPRODUCT(Adds!$C$122:$V$122,Curves!$BC$13:$BV$13)</f>
        <v/>
      </c>
      <c r="W43" s="3">
        <f>SUMPRODUCT(Adds!$C$122:$W$122,Curves!$BB$13:$BV$13)</f>
        <v/>
      </c>
      <c r="X43" s="3">
        <f>SUMPRODUCT(Adds!$C$122:$X$122,Curves!$BA$13:$BV$13)</f>
        <v/>
      </c>
      <c r="Y43" s="3">
        <f>SUMPRODUCT(Adds!$C$122:$Y$122,Curves!$AZ$13:$BV$13)</f>
        <v/>
      </c>
      <c r="Z43" s="3">
        <f>SUMPRODUCT(Adds!$C$122:$Z$122,Curves!$AY$13:$BV$13)</f>
        <v/>
      </c>
      <c r="AA43" s="3">
        <f>SUMPRODUCT(Adds!$C$122:$AA$122,Curves!$AX$13:$BV$13)</f>
        <v/>
      </c>
      <c r="AB43" s="3">
        <f>SUMPRODUCT(Adds!$C$122:$AB$122,Curves!$AW$13:$BV$13)</f>
        <v/>
      </c>
      <c r="AC43" s="3">
        <f>SUMPRODUCT(Adds!$C$122:$AC$122,Curves!$AV$13:$BV$13)</f>
        <v/>
      </c>
      <c r="AD43" s="3">
        <f>SUMPRODUCT(Adds!$C$122:$AD$122,Curves!$AU$13:$BV$13)</f>
        <v/>
      </c>
      <c r="AE43" s="3">
        <f>SUMPRODUCT(Adds!$C$122:$AE$122,Curves!$AT$13:$BV$13)</f>
        <v/>
      </c>
      <c r="AF43" s="3">
        <f>SUMPRODUCT(Adds!$C$122:$AF$122,Curves!$AS$13:$BV$13)</f>
        <v/>
      </c>
      <c r="AG43" s="3">
        <f>SUMPRODUCT(Adds!$C$122:$AG$122,Curves!$AR$13:$BV$13)</f>
        <v/>
      </c>
      <c r="AH43" s="3">
        <f>SUMPRODUCT(Adds!$C$122:$AH$122,Curves!$AQ$13:$BV$13)</f>
        <v/>
      </c>
      <c r="AI43" s="3">
        <f>SUMPRODUCT(Adds!$C$122:$AI$122,Curves!$AP$13:$BV$13)</f>
        <v/>
      </c>
      <c r="AJ43" s="3">
        <f>SUMPRODUCT(Adds!$C$122:$AJ$122,Curves!$AO$13:$BV$13)</f>
        <v/>
      </c>
      <c r="AK43" s="3">
        <f>SUMPRODUCT(Adds!$C$122:$AK$122,Curves!$AN$13:$BV$13)</f>
        <v/>
      </c>
      <c r="AL43" s="3">
        <f>SUMPRODUCT(Adds!$C$122:$AL$122,Curves!$AM$13:$BV$13)</f>
        <v/>
      </c>
      <c r="AM43" s="3">
        <f>SUMPRODUCT(Adds!$C$122:$AM$122,Curves!$AL$13:$BV$13)</f>
        <v/>
      </c>
      <c r="AN43" s="3">
        <f>SUMPRODUCT(Adds!$C$122:$AN$122,Curves!$AK$13:$BV$13)</f>
        <v/>
      </c>
      <c r="AO43" s="3">
        <f>SUMPRODUCT(Adds!$C$122:$AO$122,Curves!$AJ$13:$BV$13)</f>
        <v/>
      </c>
      <c r="AP43" s="3">
        <f>SUMPRODUCT(Adds!$C$122:$AP$122,Curves!$AI$13:$BV$13)</f>
        <v/>
      </c>
      <c r="AQ43" s="3">
        <f>SUMPRODUCT(Adds!$C$122:$AQ$122,Curves!$AH$13:$BV$13)</f>
        <v/>
      </c>
      <c r="AR43" s="3">
        <f>SUMPRODUCT(Adds!$C$122:$AR$122,Curves!$AG$13:$BV$13)</f>
        <v/>
      </c>
      <c r="AS43" s="3">
        <f>SUMPRODUCT(Adds!$C$122:$AS$122,Curves!$AF$13:$BV$13)</f>
        <v/>
      </c>
      <c r="AT43" s="3">
        <f>SUMPRODUCT(Adds!$C$122:$AT$122,Curves!$AE$13:$BV$13)</f>
        <v/>
      </c>
      <c r="AU43" s="3">
        <f>SUMPRODUCT(Adds!$C$122:$AU$122,Curves!$AD$13:$BV$13)</f>
        <v/>
      </c>
      <c r="AV43" s="3">
        <f>SUMPRODUCT(Adds!$C$122:$AV$122,Curves!$AC$13:$BV$13)</f>
        <v/>
      </c>
      <c r="AW43" s="3">
        <f>SUMPRODUCT(Adds!$C$122:$AW$122,Curves!$AB$13:$BV$13)</f>
        <v/>
      </c>
      <c r="AX43" s="3">
        <f>SUMPRODUCT(Adds!$C$122:$AX$122,Curves!$AA$13:$BV$13)</f>
        <v/>
      </c>
      <c r="AY43" s="3">
        <f>SUMPRODUCT(Adds!$C$122:$AY$122,Curves!$Z$13:$BV$13)</f>
        <v/>
      </c>
      <c r="AZ43" s="3">
        <f>SUMPRODUCT(Adds!$C$122:$AZ$122,Curves!$Y$13:$BV$13)</f>
        <v/>
      </c>
      <c r="BA43" s="3">
        <f>SUMPRODUCT(Adds!$C$122:$BA$122,Curves!$X$13:$BV$13)</f>
        <v/>
      </c>
      <c r="BB43" s="3">
        <f>SUMPRODUCT(Adds!$C$122:$BB$122,Curves!$W$13:$BV$13)</f>
        <v/>
      </c>
      <c r="BC43" s="3">
        <f>SUMPRODUCT(Adds!$C$122:$BC$122,Curves!$V$13:$BV$13)</f>
        <v/>
      </c>
      <c r="BD43" s="3">
        <f>SUMPRODUCT(Adds!$C$122:$BD$122,Curves!$U$13:$BV$13)</f>
        <v/>
      </c>
      <c r="BE43" s="3">
        <f>SUMPRODUCT(Adds!$C$122:$BE$122,Curves!$T$13:$BV$13)</f>
        <v/>
      </c>
      <c r="BF43" s="3">
        <f>SUMPRODUCT(Adds!$C$122:$BF$122,Curves!$S$13:$BV$13)</f>
        <v/>
      </c>
      <c r="BG43" s="3">
        <f>SUMPRODUCT(Adds!$C$122:$BG$122,Curves!$R$13:$BV$13)</f>
        <v/>
      </c>
      <c r="BH43" s="3">
        <f>SUMPRODUCT(Adds!$C$122:$BH$122,Curves!$Q$13:$BV$13)</f>
        <v/>
      </c>
      <c r="BI43" s="3">
        <f>SUMPRODUCT(Adds!$C$122:$BI$122,Curves!$P$13:$BV$13)</f>
        <v/>
      </c>
      <c r="BJ43" s="3">
        <f>SUMPRODUCT(Adds!$C$122:$BJ$122,Curves!$O$13:$BV$13)</f>
        <v/>
      </c>
      <c r="BK43" s="3">
        <f>SUMPRODUCT(Adds!$C$122:$BK$122,Curves!$N$13:$BV$13)</f>
        <v/>
      </c>
      <c r="BL43" s="3">
        <f>SUMPRODUCT(Adds!$C$122:$BL$122,Curves!$M$13:$BV$13)</f>
        <v/>
      </c>
      <c r="BM43" s="3">
        <f>SUMPRODUCT(Adds!$C$122:$BM$122,Curves!$L$13:$BV$13)</f>
        <v/>
      </c>
      <c r="BN43" s="3">
        <f>SUMPRODUCT(Adds!$C$122:$BN$122,Curves!$K$13:$BV$13)</f>
        <v/>
      </c>
      <c r="BO43" s="3">
        <f>SUMPRODUCT(Adds!$C$122:$BO$122,Curves!$J$13:$BV$13)</f>
        <v/>
      </c>
      <c r="BP43" s="3">
        <f>SUMPRODUCT(Adds!$C$122:$BP$122,Curves!$I$13:$BV$13)</f>
        <v/>
      </c>
      <c r="BQ43" s="3">
        <f>SUMPRODUCT(Adds!$C$122:$BQ$122,Curves!$H$13:$BV$13)</f>
        <v/>
      </c>
      <c r="BR43" s="3">
        <f>SUMPRODUCT(Adds!$C$122:$BR$122,Curves!$G$13:$BV$13)</f>
        <v/>
      </c>
      <c r="BS43" s="3">
        <f>SUMPRODUCT(Adds!$C$122:$BS$122,Curves!$F$13:$BV$13)</f>
        <v/>
      </c>
      <c r="BT43" s="3">
        <f>SUMPRODUCT(Adds!$C$122:$BT$122,Curves!$E$13:$BV$13)</f>
        <v/>
      </c>
      <c r="BU43" s="3">
        <f>SUMPRODUCT(Adds!$C$122:$BU$122,Curves!$D$13:$BV$13)</f>
        <v/>
      </c>
      <c r="BV43" s="3">
        <f>SUMPRODUCT(Adds!$C$122:$BV$122,Curves!$C$13:$BV$13)</f>
        <v/>
      </c>
    </row>
    <row r="44">
      <c r="A44" t="inlineStr">
        <is>
          <t>active yr 1</t>
        </is>
      </c>
      <c r="B44" t="inlineStr">
        <is>
          <t>LATAM|BASIC_M</t>
        </is>
      </c>
      <c r="C44" s="3">
        <f>Adds!$C$122*Curves!$BV$20</f>
        <v/>
      </c>
      <c r="D44" s="3">
        <f>SUMPRODUCT(Adds!$C$122:$D$122,Curves!$BU$20:$BV$20)</f>
        <v/>
      </c>
      <c r="E44" s="3">
        <f>SUMPRODUCT(Adds!$C$122:$E$122,Curves!$BT$20:$BV$20)</f>
        <v/>
      </c>
      <c r="F44" s="3">
        <f>SUMPRODUCT(Adds!$C$122:$F$122,Curves!$BS$20:$BV$20)</f>
        <v/>
      </c>
      <c r="G44" s="3">
        <f>SUMPRODUCT(Adds!$C$122:$G$122,Curves!$BR$20:$BV$20)</f>
        <v/>
      </c>
      <c r="H44" s="3">
        <f>SUMPRODUCT(Adds!$C$122:$H$122,Curves!$BQ$20:$BV$20)</f>
        <v/>
      </c>
      <c r="I44" s="3">
        <f>SUMPRODUCT(Adds!$C$122:$I$122,Curves!$BP$20:$BV$20)</f>
        <v/>
      </c>
      <c r="J44" s="3">
        <f>SUMPRODUCT(Adds!$C$122:$J$122,Curves!$BO$20:$BV$20)</f>
        <v/>
      </c>
      <c r="K44" s="3">
        <f>SUMPRODUCT(Adds!$C$122:$K$122,Curves!$BN$20:$BV$20)</f>
        <v/>
      </c>
      <c r="L44" s="3">
        <f>SUMPRODUCT(Adds!$C$122:$L$122,Curves!$BM$20:$BV$20)</f>
        <v/>
      </c>
      <c r="M44" s="3">
        <f>SUMPRODUCT(Adds!$C$122:$M$122,Curves!$BL$20:$BV$20)</f>
        <v/>
      </c>
      <c r="N44" s="3">
        <f>SUMPRODUCT(Adds!$C$122:$N$122,Curves!$BK$20:$BV$20)</f>
        <v/>
      </c>
      <c r="O44" s="3">
        <f>SUMPRODUCT(Adds!$C$122:$O$122,Curves!$BJ$20:$BV$20)</f>
        <v/>
      </c>
      <c r="P44" s="3">
        <f>SUMPRODUCT(Adds!$C$122:$P$122,Curves!$BI$20:$BV$20)</f>
        <v/>
      </c>
      <c r="Q44" s="3">
        <f>SUMPRODUCT(Adds!$C$122:$Q$122,Curves!$BH$20:$BV$20)</f>
        <v/>
      </c>
      <c r="R44" s="3">
        <f>SUMPRODUCT(Adds!$C$122:$R$122,Curves!$BG$20:$BV$20)</f>
        <v/>
      </c>
      <c r="S44" s="3">
        <f>SUMPRODUCT(Adds!$C$122:$S$122,Curves!$BF$20:$BV$20)</f>
        <v/>
      </c>
      <c r="T44" s="3">
        <f>SUMPRODUCT(Adds!$C$122:$T$122,Curves!$BE$20:$BV$20)</f>
        <v/>
      </c>
      <c r="U44" s="3">
        <f>SUMPRODUCT(Adds!$C$122:$U$122,Curves!$BD$20:$BV$20)</f>
        <v/>
      </c>
      <c r="V44" s="3">
        <f>SUMPRODUCT(Adds!$C$122:$V$122,Curves!$BC$20:$BV$20)</f>
        <v/>
      </c>
      <c r="W44" s="3">
        <f>SUMPRODUCT(Adds!$C$122:$W$122,Curves!$BB$20:$BV$20)</f>
        <v/>
      </c>
      <c r="X44" s="3">
        <f>SUMPRODUCT(Adds!$C$122:$X$122,Curves!$BA$20:$BV$20)</f>
        <v/>
      </c>
      <c r="Y44" s="3">
        <f>SUMPRODUCT(Adds!$C$122:$Y$122,Curves!$AZ$20:$BV$20)</f>
        <v/>
      </c>
      <c r="Z44" s="3">
        <f>SUMPRODUCT(Adds!$C$122:$Z$122,Curves!$AY$20:$BV$20)</f>
        <v/>
      </c>
      <c r="AA44" s="3">
        <f>SUMPRODUCT(Adds!$C$122:$AA$122,Curves!$AX$20:$BV$20)</f>
        <v/>
      </c>
      <c r="AB44" s="3">
        <f>SUMPRODUCT(Adds!$C$122:$AB$122,Curves!$AW$20:$BV$20)</f>
        <v/>
      </c>
      <c r="AC44" s="3">
        <f>SUMPRODUCT(Adds!$C$122:$AC$122,Curves!$AV$20:$BV$20)</f>
        <v/>
      </c>
      <c r="AD44" s="3">
        <f>SUMPRODUCT(Adds!$C$122:$AD$122,Curves!$AU$20:$BV$20)</f>
        <v/>
      </c>
      <c r="AE44" s="3">
        <f>SUMPRODUCT(Adds!$C$122:$AE$122,Curves!$AT$20:$BV$20)</f>
        <v/>
      </c>
      <c r="AF44" s="3">
        <f>SUMPRODUCT(Adds!$C$122:$AF$122,Curves!$AS$20:$BV$20)</f>
        <v/>
      </c>
      <c r="AG44" s="3">
        <f>SUMPRODUCT(Adds!$C$122:$AG$122,Curves!$AR$20:$BV$20)</f>
        <v/>
      </c>
      <c r="AH44" s="3">
        <f>SUMPRODUCT(Adds!$C$122:$AH$122,Curves!$AQ$20:$BV$20)</f>
        <v/>
      </c>
      <c r="AI44" s="3">
        <f>SUMPRODUCT(Adds!$C$122:$AI$122,Curves!$AP$20:$BV$20)</f>
        <v/>
      </c>
      <c r="AJ44" s="3">
        <f>SUMPRODUCT(Adds!$C$122:$AJ$122,Curves!$AO$20:$BV$20)</f>
        <v/>
      </c>
      <c r="AK44" s="3">
        <f>SUMPRODUCT(Adds!$C$122:$AK$122,Curves!$AN$20:$BV$20)</f>
        <v/>
      </c>
      <c r="AL44" s="3">
        <f>SUMPRODUCT(Adds!$C$122:$AL$122,Curves!$AM$20:$BV$20)</f>
        <v/>
      </c>
      <c r="AM44" s="3">
        <f>SUMPRODUCT(Adds!$C$122:$AM$122,Curves!$AL$20:$BV$20)</f>
        <v/>
      </c>
      <c r="AN44" s="3">
        <f>SUMPRODUCT(Adds!$C$122:$AN$122,Curves!$AK$20:$BV$20)</f>
        <v/>
      </c>
      <c r="AO44" s="3">
        <f>SUMPRODUCT(Adds!$C$122:$AO$122,Curves!$AJ$20:$BV$20)</f>
        <v/>
      </c>
      <c r="AP44" s="3">
        <f>SUMPRODUCT(Adds!$C$122:$AP$122,Curves!$AI$20:$BV$20)</f>
        <v/>
      </c>
      <c r="AQ44" s="3">
        <f>SUMPRODUCT(Adds!$C$122:$AQ$122,Curves!$AH$20:$BV$20)</f>
        <v/>
      </c>
      <c r="AR44" s="3">
        <f>SUMPRODUCT(Adds!$C$122:$AR$122,Curves!$AG$20:$BV$20)</f>
        <v/>
      </c>
      <c r="AS44" s="3">
        <f>SUMPRODUCT(Adds!$C$122:$AS$122,Curves!$AF$20:$BV$20)</f>
        <v/>
      </c>
      <c r="AT44" s="3">
        <f>SUMPRODUCT(Adds!$C$122:$AT$122,Curves!$AE$20:$BV$20)</f>
        <v/>
      </c>
      <c r="AU44" s="3">
        <f>SUMPRODUCT(Adds!$C$122:$AU$122,Curves!$AD$20:$BV$20)</f>
        <v/>
      </c>
      <c r="AV44" s="3">
        <f>SUMPRODUCT(Adds!$C$122:$AV$122,Curves!$AC$20:$BV$20)</f>
        <v/>
      </c>
      <c r="AW44" s="3">
        <f>SUMPRODUCT(Adds!$C$122:$AW$122,Curves!$AB$20:$BV$20)</f>
        <v/>
      </c>
      <c r="AX44" s="3">
        <f>SUMPRODUCT(Adds!$C$122:$AX$122,Curves!$AA$20:$BV$20)</f>
        <v/>
      </c>
      <c r="AY44" s="3">
        <f>SUMPRODUCT(Adds!$C$122:$AY$122,Curves!$Z$20:$BV$20)</f>
        <v/>
      </c>
      <c r="AZ44" s="3">
        <f>SUMPRODUCT(Adds!$C$122:$AZ$122,Curves!$Y$20:$BV$20)</f>
        <v/>
      </c>
      <c r="BA44" s="3">
        <f>SUMPRODUCT(Adds!$C$122:$BA$122,Curves!$X$20:$BV$20)</f>
        <v/>
      </c>
      <c r="BB44" s="3">
        <f>SUMPRODUCT(Adds!$C$122:$BB$122,Curves!$W$20:$BV$20)</f>
        <v/>
      </c>
      <c r="BC44" s="3">
        <f>SUMPRODUCT(Adds!$C$122:$BC$122,Curves!$V$20:$BV$20)</f>
        <v/>
      </c>
      <c r="BD44" s="3">
        <f>SUMPRODUCT(Adds!$C$122:$BD$122,Curves!$U$20:$BV$20)</f>
        <v/>
      </c>
      <c r="BE44" s="3">
        <f>SUMPRODUCT(Adds!$C$122:$BE$122,Curves!$T$20:$BV$20)</f>
        <v/>
      </c>
      <c r="BF44" s="3">
        <f>SUMPRODUCT(Adds!$C$122:$BF$122,Curves!$S$20:$BV$20)</f>
        <v/>
      </c>
      <c r="BG44" s="3">
        <f>SUMPRODUCT(Adds!$C$122:$BG$122,Curves!$R$20:$BV$20)</f>
        <v/>
      </c>
      <c r="BH44" s="3">
        <f>SUMPRODUCT(Adds!$C$122:$BH$122,Curves!$Q$20:$BV$20)</f>
        <v/>
      </c>
      <c r="BI44" s="3">
        <f>SUMPRODUCT(Adds!$C$122:$BI$122,Curves!$P$20:$BV$20)</f>
        <v/>
      </c>
      <c r="BJ44" s="3">
        <f>SUMPRODUCT(Adds!$C$122:$BJ$122,Curves!$O$20:$BV$20)</f>
        <v/>
      </c>
      <c r="BK44" s="3">
        <f>SUMPRODUCT(Adds!$C$122:$BK$122,Curves!$N$20:$BV$20)</f>
        <v/>
      </c>
      <c r="BL44" s="3">
        <f>SUMPRODUCT(Adds!$C$122:$BL$122,Curves!$M$20:$BV$20)</f>
        <v/>
      </c>
      <c r="BM44" s="3">
        <f>SUMPRODUCT(Adds!$C$122:$BM$122,Curves!$L$20:$BV$20)</f>
        <v/>
      </c>
      <c r="BN44" s="3">
        <f>SUMPRODUCT(Adds!$C$122:$BN$122,Curves!$K$20:$BV$20)</f>
        <v/>
      </c>
      <c r="BO44" s="3">
        <f>SUMPRODUCT(Adds!$C$122:$BO$122,Curves!$J$20:$BV$20)</f>
        <v/>
      </c>
      <c r="BP44" s="3">
        <f>SUMPRODUCT(Adds!$C$122:$BP$122,Curves!$I$20:$BV$20)</f>
        <v/>
      </c>
      <c r="BQ44" s="3">
        <f>SUMPRODUCT(Adds!$C$122:$BQ$122,Curves!$H$20:$BV$20)</f>
        <v/>
      </c>
      <c r="BR44" s="3">
        <f>SUMPRODUCT(Adds!$C$122:$BR$122,Curves!$G$20:$BV$20)</f>
        <v/>
      </c>
      <c r="BS44" s="3">
        <f>SUMPRODUCT(Adds!$C$122:$BS$122,Curves!$F$20:$BV$20)</f>
        <v/>
      </c>
      <c r="BT44" s="3">
        <f>SUMPRODUCT(Adds!$C$122:$BT$122,Curves!$E$20:$BV$20)</f>
        <v/>
      </c>
      <c r="BU44" s="3">
        <f>SUMPRODUCT(Adds!$C$122:$BU$122,Curves!$D$20:$BV$20)</f>
        <v/>
      </c>
      <c r="BV44" s="3">
        <f>SUMPRODUCT(Adds!$C$122:$BV$122,Curves!$C$20:$BV$20)</f>
        <v/>
      </c>
    </row>
    <row r="45">
      <c r="A45" t="inlineStr">
        <is>
          <t>churned</t>
        </is>
      </c>
      <c r="B45" t="inlineStr">
        <is>
          <t>LATAM|BASIC_M</t>
        </is>
      </c>
      <c r="C45" s="3">
        <f>Adds!$C$122*Curves!$BV$15</f>
        <v/>
      </c>
      <c r="D45" s="3">
        <f>SUMPRODUCT(Adds!$C$122:$D$122,Curves!$BU$15:$BV$15)</f>
        <v/>
      </c>
      <c r="E45" s="3">
        <f>SUMPRODUCT(Adds!$C$122:$E$122,Curves!$BT$15:$BV$15)</f>
        <v/>
      </c>
      <c r="F45" s="3">
        <f>SUMPRODUCT(Adds!$C$122:$F$122,Curves!$BS$15:$BV$15)</f>
        <v/>
      </c>
      <c r="G45" s="3">
        <f>SUMPRODUCT(Adds!$C$122:$G$122,Curves!$BR$15:$BV$15)</f>
        <v/>
      </c>
      <c r="H45" s="3">
        <f>SUMPRODUCT(Adds!$C$122:$H$122,Curves!$BQ$15:$BV$15)</f>
        <v/>
      </c>
      <c r="I45" s="3">
        <f>SUMPRODUCT(Adds!$C$122:$I$122,Curves!$BP$15:$BV$15)</f>
        <v/>
      </c>
      <c r="J45" s="3">
        <f>SUMPRODUCT(Adds!$C$122:$J$122,Curves!$BO$15:$BV$15)</f>
        <v/>
      </c>
      <c r="K45" s="3">
        <f>SUMPRODUCT(Adds!$C$122:$K$122,Curves!$BN$15:$BV$15)</f>
        <v/>
      </c>
      <c r="L45" s="3">
        <f>SUMPRODUCT(Adds!$C$122:$L$122,Curves!$BM$15:$BV$15)</f>
        <v/>
      </c>
      <c r="M45" s="3">
        <f>SUMPRODUCT(Adds!$C$122:$M$122,Curves!$BL$15:$BV$15)</f>
        <v/>
      </c>
      <c r="N45" s="3">
        <f>SUMPRODUCT(Adds!$C$122:$N$122,Curves!$BK$15:$BV$15)</f>
        <v/>
      </c>
      <c r="O45" s="3">
        <f>SUMPRODUCT(Adds!$C$122:$O$122,Curves!$BJ$15:$BV$15)</f>
        <v/>
      </c>
      <c r="P45" s="3">
        <f>SUMPRODUCT(Adds!$C$122:$P$122,Curves!$BI$15:$BV$15)</f>
        <v/>
      </c>
      <c r="Q45" s="3">
        <f>SUMPRODUCT(Adds!$C$122:$Q$122,Curves!$BH$15:$BV$15)</f>
        <v/>
      </c>
      <c r="R45" s="3">
        <f>SUMPRODUCT(Adds!$C$122:$R$122,Curves!$BG$15:$BV$15)</f>
        <v/>
      </c>
      <c r="S45" s="3">
        <f>SUMPRODUCT(Adds!$C$122:$S$122,Curves!$BF$15:$BV$15)</f>
        <v/>
      </c>
      <c r="T45" s="3">
        <f>SUMPRODUCT(Adds!$C$122:$T$122,Curves!$BE$15:$BV$15)</f>
        <v/>
      </c>
      <c r="U45" s="3">
        <f>SUMPRODUCT(Adds!$C$122:$U$122,Curves!$BD$15:$BV$15)</f>
        <v/>
      </c>
      <c r="V45" s="3">
        <f>SUMPRODUCT(Adds!$C$122:$V$122,Curves!$BC$15:$BV$15)</f>
        <v/>
      </c>
      <c r="W45" s="3">
        <f>SUMPRODUCT(Adds!$C$122:$W$122,Curves!$BB$15:$BV$15)</f>
        <v/>
      </c>
      <c r="X45" s="3">
        <f>SUMPRODUCT(Adds!$C$122:$X$122,Curves!$BA$15:$BV$15)</f>
        <v/>
      </c>
      <c r="Y45" s="3">
        <f>SUMPRODUCT(Adds!$C$122:$Y$122,Curves!$AZ$15:$BV$15)</f>
        <v/>
      </c>
      <c r="Z45" s="3">
        <f>SUMPRODUCT(Adds!$C$122:$Z$122,Curves!$AY$15:$BV$15)</f>
        <v/>
      </c>
      <c r="AA45" s="3">
        <f>SUMPRODUCT(Adds!$C$122:$AA$122,Curves!$AX$15:$BV$15)</f>
        <v/>
      </c>
      <c r="AB45" s="3">
        <f>SUMPRODUCT(Adds!$C$122:$AB$122,Curves!$AW$15:$BV$15)</f>
        <v/>
      </c>
      <c r="AC45" s="3">
        <f>SUMPRODUCT(Adds!$C$122:$AC$122,Curves!$AV$15:$BV$15)</f>
        <v/>
      </c>
      <c r="AD45" s="3">
        <f>SUMPRODUCT(Adds!$C$122:$AD$122,Curves!$AU$15:$BV$15)</f>
        <v/>
      </c>
      <c r="AE45" s="3">
        <f>SUMPRODUCT(Adds!$C$122:$AE$122,Curves!$AT$15:$BV$15)</f>
        <v/>
      </c>
      <c r="AF45" s="3">
        <f>SUMPRODUCT(Adds!$C$122:$AF$122,Curves!$AS$15:$BV$15)</f>
        <v/>
      </c>
      <c r="AG45" s="3">
        <f>SUMPRODUCT(Adds!$C$122:$AG$122,Curves!$AR$15:$BV$15)</f>
        <v/>
      </c>
      <c r="AH45" s="3">
        <f>SUMPRODUCT(Adds!$C$122:$AH$122,Curves!$AQ$15:$BV$15)</f>
        <v/>
      </c>
      <c r="AI45" s="3">
        <f>SUMPRODUCT(Adds!$C$122:$AI$122,Curves!$AP$15:$BV$15)</f>
        <v/>
      </c>
      <c r="AJ45" s="3">
        <f>SUMPRODUCT(Adds!$C$122:$AJ$122,Curves!$AO$15:$BV$15)</f>
        <v/>
      </c>
      <c r="AK45" s="3">
        <f>SUMPRODUCT(Adds!$C$122:$AK$122,Curves!$AN$15:$BV$15)</f>
        <v/>
      </c>
      <c r="AL45" s="3">
        <f>SUMPRODUCT(Adds!$C$122:$AL$122,Curves!$AM$15:$BV$15)</f>
        <v/>
      </c>
      <c r="AM45" s="3">
        <f>SUMPRODUCT(Adds!$C$122:$AM$122,Curves!$AL$15:$BV$15)</f>
        <v/>
      </c>
      <c r="AN45" s="3">
        <f>SUMPRODUCT(Adds!$C$122:$AN$122,Curves!$AK$15:$BV$15)</f>
        <v/>
      </c>
      <c r="AO45" s="3">
        <f>SUMPRODUCT(Adds!$C$122:$AO$122,Curves!$AJ$15:$BV$15)</f>
        <v/>
      </c>
      <c r="AP45" s="3">
        <f>SUMPRODUCT(Adds!$C$122:$AP$122,Curves!$AI$15:$BV$15)</f>
        <v/>
      </c>
      <c r="AQ45" s="3">
        <f>SUMPRODUCT(Adds!$C$122:$AQ$122,Curves!$AH$15:$BV$15)</f>
        <v/>
      </c>
      <c r="AR45" s="3">
        <f>SUMPRODUCT(Adds!$C$122:$AR$122,Curves!$AG$15:$BV$15)</f>
        <v/>
      </c>
      <c r="AS45" s="3">
        <f>SUMPRODUCT(Adds!$C$122:$AS$122,Curves!$AF$15:$BV$15)</f>
        <v/>
      </c>
      <c r="AT45" s="3">
        <f>SUMPRODUCT(Adds!$C$122:$AT$122,Curves!$AE$15:$BV$15)</f>
        <v/>
      </c>
      <c r="AU45" s="3">
        <f>SUMPRODUCT(Adds!$C$122:$AU$122,Curves!$AD$15:$BV$15)</f>
        <v/>
      </c>
      <c r="AV45" s="3">
        <f>SUMPRODUCT(Adds!$C$122:$AV$122,Curves!$AC$15:$BV$15)</f>
        <v/>
      </c>
      <c r="AW45" s="3">
        <f>SUMPRODUCT(Adds!$C$122:$AW$122,Curves!$AB$15:$BV$15)</f>
        <v/>
      </c>
      <c r="AX45" s="3">
        <f>SUMPRODUCT(Adds!$C$122:$AX$122,Curves!$AA$15:$BV$15)</f>
        <v/>
      </c>
      <c r="AY45" s="3">
        <f>SUMPRODUCT(Adds!$C$122:$AY$122,Curves!$Z$15:$BV$15)</f>
        <v/>
      </c>
      <c r="AZ45" s="3">
        <f>SUMPRODUCT(Adds!$C$122:$AZ$122,Curves!$Y$15:$BV$15)</f>
        <v/>
      </c>
      <c r="BA45" s="3">
        <f>SUMPRODUCT(Adds!$C$122:$BA$122,Curves!$X$15:$BV$15)</f>
        <v/>
      </c>
      <c r="BB45" s="3">
        <f>SUMPRODUCT(Adds!$C$122:$BB$122,Curves!$W$15:$BV$15)</f>
        <v/>
      </c>
      <c r="BC45" s="3">
        <f>SUMPRODUCT(Adds!$C$122:$BC$122,Curves!$V$15:$BV$15)</f>
        <v/>
      </c>
      <c r="BD45" s="3">
        <f>SUMPRODUCT(Adds!$C$122:$BD$122,Curves!$U$15:$BV$15)</f>
        <v/>
      </c>
      <c r="BE45" s="3">
        <f>SUMPRODUCT(Adds!$C$122:$BE$122,Curves!$T$15:$BV$15)</f>
        <v/>
      </c>
      <c r="BF45" s="3">
        <f>SUMPRODUCT(Adds!$C$122:$BF$122,Curves!$S$15:$BV$15)</f>
        <v/>
      </c>
      <c r="BG45" s="3">
        <f>SUMPRODUCT(Adds!$C$122:$BG$122,Curves!$R$15:$BV$15)</f>
        <v/>
      </c>
      <c r="BH45" s="3">
        <f>SUMPRODUCT(Adds!$C$122:$BH$122,Curves!$Q$15:$BV$15)</f>
        <v/>
      </c>
      <c r="BI45" s="3">
        <f>SUMPRODUCT(Adds!$C$122:$BI$122,Curves!$P$15:$BV$15)</f>
        <v/>
      </c>
      <c r="BJ45" s="3">
        <f>SUMPRODUCT(Adds!$C$122:$BJ$122,Curves!$O$15:$BV$15)</f>
        <v/>
      </c>
      <c r="BK45" s="3">
        <f>SUMPRODUCT(Adds!$C$122:$BK$122,Curves!$N$15:$BV$15)</f>
        <v/>
      </c>
      <c r="BL45" s="3">
        <f>SUMPRODUCT(Adds!$C$122:$BL$122,Curves!$M$15:$BV$15)</f>
        <v/>
      </c>
      <c r="BM45" s="3">
        <f>SUMPRODUCT(Adds!$C$122:$BM$122,Curves!$L$15:$BV$15)</f>
        <v/>
      </c>
      <c r="BN45" s="3">
        <f>SUMPRODUCT(Adds!$C$122:$BN$122,Curves!$K$15:$BV$15)</f>
        <v/>
      </c>
      <c r="BO45" s="3">
        <f>SUMPRODUCT(Adds!$C$122:$BO$122,Curves!$J$15:$BV$15)</f>
        <v/>
      </c>
      <c r="BP45" s="3">
        <f>SUMPRODUCT(Adds!$C$122:$BP$122,Curves!$I$15:$BV$15)</f>
        <v/>
      </c>
      <c r="BQ45" s="3">
        <f>SUMPRODUCT(Adds!$C$122:$BQ$122,Curves!$H$15:$BV$15)</f>
        <v/>
      </c>
      <c r="BR45" s="3">
        <f>SUMPRODUCT(Adds!$C$122:$BR$122,Curves!$G$15:$BV$15)</f>
        <v/>
      </c>
      <c r="BS45" s="3">
        <f>SUMPRODUCT(Adds!$C$122:$BS$122,Curves!$F$15:$BV$15)</f>
        <v/>
      </c>
      <c r="BT45" s="3">
        <f>SUMPRODUCT(Adds!$C$122:$BT$122,Curves!$E$15:$BV$15)</f>
        <v/>
      </c>
      <c r="BU45" s="3">
        <f>SUMPRODUCT(Adds!$C$122:$BU$122,Curves!$D$15:$BV$15)</f>
        <v/>
      </c>
      <c r="BV45" s="3">
        <f>SUMPRODUCT(Adds!$C$122:$BV$122,Curves!$C$15:$BV$15)</f>
        <v/>
      </c>
    </row>
    <row r="47">
      <c r="A47" t="inlineStr">
        <is>
          <t>active</t>
        </is>
      </c>
      <c r="B47" t="inlineStr">
        <is>
          <t>LATAM|BASIC_A</t>
        </is>
      </c>
      <c r="C47" s="3">
        <f>Adds!$C$133*Curves!$BV$14</f>
        <v/>
      </c>
      <c r="D47" s="3">
        <f>SUMPRODUCT(Adds!$C$133:$D$133,Curves!$BU$14:$BV$14)</f>
        <v/>
      </c>
      <c r="E47" s="3">
        <f>SUMPRODUCT(Adds!$C$133:$E$133,Curves!$BT$14:$BV$14)</f>
        <v/>
      </c>
      <c r="F47" s="3">
        <f>SUMPRODUCT(Adds!$C$133:$F$133,Curves!$BS$14:$BV$14)</f>
        <v/>
      </c>
      <c r="G47" s="3">
        <f>SUMPRODUCT(Adds!$C$133:$G$133,Curves!$BR$14:$BV$14)</f>
        <v/>
      </c>
      <c r="H47" s="3">
        <f>SUMPRODUCT(Adds!$C$133:$H$133,Curves!$BQ$14:$BV$14)</f>
        <v/>
      </c>
      <c r="I47" s="3">
        <f>SUMPRODUCT(Adds!$C$133:$I$133,Curves!$BP$14:$BV$14)</f>
        <v/>
      </c>
      <c r="J47" s="3">
        <f>SUMPRODUCT(Adds!$C$133:$J$133,Curves!$BO$14:$BV$14)</f>
        <v/>
      </c>
      <c r="K47" s="3">
        <f>SUMPRODUCT(Adds!$C$133:$K$133,Curves!$BN$14:$BV$14)</f>
        <v/>
      </c>
      <c r="L47" s="3">
        <f>SUMPRODUCT(Adds!$C$133:$L$133,Curves!$BM$14:$BV$14)</f>
        <v/>
      </c>
      <c r="M47" s="3">
        <f>SUMPRODUCT(Adds!$C$133:$M$133,Curves!$BL$14:$BV$14)</f>
        <v/>
      </c>
      <c r="N47" s="3">
        <f>SUMPRODUCT(Adds!$C$133:$N$133,Curves!$BK$14:$BV$14)</f>
        <v/>
      </c>
      <c r="O47" s="3">
        <f>SUMPRODUCT(Adds!$C$133:$O$133,Curves!$BJ$14:$BV$14)</f>
        <v/>
      </c>
      <c r="P47" s="3">
        <f>SUMPRODUCT(Adds!$C$133:$P$133,Curves!$BI$14:$BV$14)</f>
        <v/>
      </c>
      <c r="Q47" s="3">
        <f>SUMPRODUCT(Adds!$C$133:$Q$133,Curves!$BH$14:$BV$14)</f>
        <v/>
      </c>
      <c r="R47" s="3">
        <f>SUMPRODUCT(Adds!$C$133:$R$133,Curves!$BG$14:$BV$14)</f>
        <v/>
      </c>
      <c r="S47" s="3">
        <f>SUMPRODUCT(Adds!$C$133:$S$133,Curves!$BF$14:$BV$14)</f>
        <v/>
      </c>
      <c r="T47" s="3">
        <f>SUMPRODUCT(Adds!$C$133:$T$133,Curves!$BE$14:$BV$14)</f>
        <v/>
      </c>
      <c r="U47" s="3">
        <f>SUMPRODUCT(Adds!$C$133:$U$133,Curves!$BD$14:$BV$14)</f>
        <v/>
      </c>
      <c r="V47" s="3">
        <f>SUMPRODUCT(Adds!$C$133:$V$133,Curves!$BC$14:$BV$14)</f>
        <v/>
      </c>
      <c r="W47" s="3">
        <f>SUMPRODUCT(Adds!$C$133:$W$133,Curves!$BB$14:$BV$14)</f>
        <v/>
      </c>
      <c r="X47" s="3">
        <f>SUMPRODUCT(Adds!$C$133:$X$133,Curves!$BA$14:$BV$14)</f>
        <v/>
      </c>
      <c r="Y47" s="3">
        <f>SUMPRODUCT(Adds!$C$133:$Y$133,Curves!$AZ$14:$BV$14)</f>
        <v/>
      </c>
      <c r="Z47" s="3">
        <f>SUMPRODUCT(Adds!$C$133:$Z$133,Curves!$AY$14:$BV$14)</f>
        <v/>
      </c>
      <c r="AA47" s="3">
        <f>SUMPRODUCT(Adds!$C$133:$AA$133,Curves!$AX$14:$BV$14)</f>
        <v/>
      </c>
      <c r="AB47" s="3">
        <f>SUMPRODUCT(Adds!$C$133:$AB$133,Curves!$AW$14:$BV$14)</f>
        <v/>
      </c>
      <c r="AC47" s="3">
        <f>SUMPRODUCT(Adds!$C$133:$AC$133,Curves!$AV$14:$BV$14)</f>
        <v/>
      </c>
      <c r="AD47" s="3">
        <f>SUMPRODUCT(Adds!$C$133:$AD$133,Curves!$AU$14:$BV$14)</f>
        <v/>
      </c>
      <c r="AE47" s="3">
        <f>SUMPRODUCT(Adds!$C$133:$AE$133,Curves!$AT$14:$BV$14)</f>
        <v/>
      </c>
      <c r="AF47" s="3">
        <f>SUMPRODUCT(Adds!$C$133:$AF$133,Curves!$AS$14:$BV$14)</f>
        <v/>
      </c>
      <c r="AG47" s="3">
        <f>SUMPRODUCT(Adds!$C$133:$AG$133,Curves!$AR$14:$BV$14)</f>
        <v/>
      </c>
      <c r="AH47" s="3">
        <f>SUMPRODUCT(Adds!$C$133:$AH$133,Curves!$AQ$14:$BV$14)</f>
        <v/>
      </c>
      <c r="AI47" s="3">
        <f>SUMPRODUCT(Adds!$C$133:$AI$133,Curves!$AP$14:$BV$14)</f>
        <v/>
      </c>
      <c r="AJ47" s="3">
        <f>SUMPRODUCT(Adds!$C$133:$AJ$133,Curves!$AO$14:$BV$14)</f>
        <v/>
      </c>
      <c r="AK47" s="3">
        <f>SUMPRODUCT(Adds!$C$133:$AK$133,Curves!$AN$14:$BV$14)</f>
        <v/>
      </c>
      <c r="AL47" s="3">
        <f>SUMPRODUCT(Adds!$C$133:$AL$133,Curves!$AM$14:$BV$14)</f>
        <v/>
      </c>
      <c r="AM47" s="3">
        <f>SUMPRODUCT(Adds!$C$133:$AM$133,Curves!$AL$14:$BV$14)</f>
        <v/>
      </c>
      <c r="AN47" s="3">
        <f>SUMPRODUCT(Adds!$C$133:$AN$133,Curves!$AK$14:$BV$14)</f>
        <v/>
      </c>
      <c r="AO47" s="3">
        <f>SUMPRODUCT(Adds!$C$133:$AO$133,Curves!$AJ$14:$BV$14)</f>
        <v/>
      </c>
      <c r="AP47" s="3">
        <f>SUMPRODUCT(Adds!$C$133:$AP$133,Curves!$AI$14:$BV$14)</f>
        <v/>
      </c>
      <c r="AQ47" s="3">
        <f>SUMPRODUCT(Adds!$C$133:$AQ$133,Curves!$AH$14:$BV$14)</f>
        <v/>
      </c>
      <c r="AR47" s="3">
        <f>SUMPRODUCT(Adds!$C$133:$AR$133,Curves!$AG$14:$BV$14)</f>
        <v/>
      </c>
      <c r="AS47" s="3">
        <f>SUMPRODUCT(Adds!$C$133:$AS$133,Curves!$AF$14:$BV$14)</f>
        <v/>
      </c>
      <c r="AT47" s="3">
        <f>SUMPRODUCT(Adds!$C$133:$AT$133,Curves!$AE$14:$BV$14)</f>
        <v/>
      </c>
      <c r="AU47" s="3">
        <f>SUMPRODUCT(Adds!$C$133:$AU$133,Curves!$AD$14:$BV$14)</f>
        <v/>
      </c>
      <c r="AV47" s="3">
        <f>SUMPRODUCT(Adds!$C$133:$AV$133,Curves!$AC$14:$BV$14)</f>
        <v/>
      </c>
      <c r="AW47" s="3">
        <f>SUMPRODUCT(Adds!$C$133:$AW$133,Curves!$AB$14:$BV$14)</f>
        <v/>
      </c>
      <c r="AX47" s="3">
        <f>SUMPRODUCT(Adds!$C$133:$AX$133,Curves!$AA$14:$BV$14)</f>
        <v/>
      </c>
      <c r="AY47" s="3">
        <f>SUMPRODUCT(Adds!$C$133:$AY$133,Curves!$Z$14:$BV$14)</f>
        <v/>
      </c>
      <c r="AZ47" s="3">
        <f>SUMPRODUCT(Adds!$C$133:$AZ$133,Curves!$Y$14:$BV$14)</f>
        <v/>
      </c>
      <c r="BA47" s="3">
        <f>SUMPRODUCT(Adds!$C$133:$BA$133,Curves!$X$14:$BV$14)</f>
        <v/>
      </c>
      <c r="BB47" s="3">
        <f>SUMPRODUCT(Adds!$C$133:$BB$133,Curves!$W$14:$BV$14)</f>
        <v/>
      </c>
      <c r="BC47" s="3">
        <f>SUMPRODUCT(Adds!$C$133:$BC$133,Curves!$V$14:$BV$14)</f>
        <v/>
      </c>
      <c r="BD47" s="3">
        <f>SUMPRODUCT(Adds!$C$133:$BD$133,Curves!$U$14:$BV$14)</f>
        <v/>
      </c>
      <c r="BE47" s="3">
        <f>SUMPRODUCT(Adds!$C$133:$BE$133,Curves!$T$14:$BV$14)</f>
        <v/>
      </c>
      <c r="BF47" s="3">
        <f>SUMPRODUCT(Adds!$C$133:$BF$133,Curves!$S$14:$BV$14)</f>
        <v/>
      </c>
      <c r="BG47" s="3">
        <f>SUMPRODUCT(Adds!$C$133:$BG$133,Curves!$R$14:$BV$14)</f>
        <v/>
      </c>
      <c r="BH47" s="3">
        <f>SUMPRODUCT(Adds!$C$133:$BH$133,Curves!$Q$14:$BV$14)</f>
        <v/>
      </c>
      <c r="BI47" s="3">
        <f>SUMPRODUCT(Adds!$C$133:$BI$133,Curves!$P$14:$BV$14)</f>
        <v/>
      </c>
      <c r="BJ47" s="3">
        <f>SUMPRODUCT(Adds!$C$133:$BJ$133,Curves!$O$14:$BV$14)</f>
        <v/>
      </c>
      <c r="BK47" s="3">
        <f>SUMPRODUCT(Adds!$C$133:$BK$133,Curves!$N$14:$BV$14)</f>
        <v/>
      </c>
      <c r="BL47" s="3">
        <f>SUMPRODUCT(Adds!$C$133:$BL$133,Curves!$M$14:$BV$14)</f>
        <v/>
      </c>
      <c r="BM47" s="3">
        <f>SUMPRODUCT(Adds!$C$133:$BM$133,Curves!$L$14:$BV$14)</f>
        <v/>
      </c>
      <c r="BN47" s="3">
        <f>SUMPRODUCT(Adds!$C$133:$BN$133,Curves!$K$14:$BV$14)</f>
        <v/>
      </c>
      <c r="BO47" s="3">
        <f>SUMPRODUCT(Adds!$C$133:$BO$133,Curves!$J$14:$BV$14)</f>
        <v/>
      </c>
      <c r="BP47" s="3">
        <f>SUMPRODUCT(Adds!$C$133:$BP$133,Curves!$I$14:$BV$14)</f>
        <v/>
      </c>
      <c r="BQ47" s="3">
        <f>SUMPRODUCT(Adds!$C$133:$BQ$133,Curves!$H$14:$BV$14)</f>
        <v/>
      </c>
      <c r="BR47" s="3">
        <f>SUMPRODUCT(Adds!$C$133:$BR$133,Curves!$G$14:$BV$14)</f>
        <v/>
      </c>
      <c r="BS47" s="3">
        <f>SUMPRODUCT(Adds!$C$133:$BS$133,Curves!$F$14:$BV$14)</f>
        <v/>
      </c>
      <c r="BT47" s="3">
        <f>SUMPRODUCT(Adds!$C$133:$BT$133,Curves!$E$14:$BV$14)</f>
        <v/>
      </c>
      <c r="BU47" s="3">
        <f>SUMPRODUCT(Adds!$C$133:$BU$133,Curves!$D$14:$BV$14)</f>
        <v/>
      </c>
      <c r="BV47" s="3">
        <f>SUMPRODUCT(Adds!$C$133:$BV$133,Curves!$C$14:$BV$14)</f>
        <v/>
      </c>
    </row>
    <row r="48">
      <c r="A48" t="inlineStr">
        <is>
          <t>active yr 1</t>
        </is>
      </c>
      <c r="B48" t="inlineStr">
        <is>
          <t>LATAM|BASIC_A</t>
        </is>
      </c>
      <c r="C48" s="3">
        <f>Adds!$C$133*Curves!$BV$21</f>
        <v/>
      </c>
      <c r="D48" s="3">
        <f>SUMPRODUCT(Adds!$C$133:$D$133,Curves!$BU$21:$BV$21)</f>
        <v/>
      </c>
      <c r="E48" s="3">
        <f>SUMPRODUCT(Adds!$C$133:$E$133,Curves!$BT$21:$BV$21)</f>
        <v/>
      </c>
      <c r="F48" s="3">
        <f>SUMPRODUCT(Adds!$C$133:$F$133,Curves!$BS$21:$BV$21)</f>
        <v/>
      </c>
      <c r="G48" s="3">
        <f>SUMPRODUCT(Adds!$C$133:$G$133,Curves!$BR$21:$BV$21)</f>
        <v/>
      </c>
      <c r="H48" s="3">
        <f>SUMPRODUCT(Adds!$C$133:$H$133,Curves!$BQ$21:$BV$21)</f>
        <v/>
      </c>
      <c r="I48" s="3">
        <f>SUMPRODUCT(Adds!$C$133:$I$133,Curves!$BP$21:$BV$21)</f>
        <v/>
      </c>
      <c r="J48" s="3">
        <f>SUMPRODUCT(Adds!$C$133:$J$133,Curves!$BO$21:$BV$21)</f>
        <v/>
      </c>
      <c r="K48" s="3">
        <f>SUMPRODUCT(Adds!$C$133:$K$133,Curves!$BN$21:$BV$21)</f>
        <v/>
      </c>
      <c r="L48" s="3">
        <f>SUMPRODUCT(Adds!$C$133:$L$133,Curves!$BM$21:$BV$21)</f>
        <v/>
      </c>
      <c r="M48" s="3">
        <f>SUMPRODUCT(Adds!$C$133:$M$133,Curves!$BL$21:$BV$21)</f>
        <v/>
      </c>
      <c r="N48" s="3">
        <f>SUMPRODUCT(Adds!$C$133:$N$133,Curves!$BK$21:$BV$21)</f>
        <v/>
      </c>
      <c r="O48" s="3">
        <f>SUMPRODUCT(Adds!$C$133:$O$133,Curves!$BJ$21:$BV$21)</f>
        <v/>
      </c>
      <c r="P48" s="3">
        <f>SUMPRODUCT(Adds!$C$133:$P$133,Curves!$BI$21:$BV$21)</f>
        <v/>
      </c>
      <c r="Q48" s="3">
        <f>SUMPRODUCT(Adds!$C$133:$Q$133,Curves!$BH$21:$BV$21)</f>
        <v/>
      </c>
      <c r="R48" s="3">
        <f>SUMPRODUCT(Adds!$C$133:$R$133,Curves!$BG$21:$BV$21)</f>
        <v/>
      </c>
      <c r="S48" s="3">
        <f>SUMPRODUCT(Adds!$C$133:$S$133,Curves!$BF$21:$BV$21)</f>
        <v/>
      </c>
      <c r="T48" s="3">
        <f>SUMPRODUCT(Adds!$C$133:$T$133,Curves!$BE$21:$BV$21)</f>
        <v/>
      </c>
      <c r="U48" s="3">
        <f>SUMPRODUCT(Adds!$C$133:$U$133,Curves!$BD$21:$BV$21)</f>
        <v/>
      </c>
      <c r="V48" s="3">
        <f>SUMPRODUCT(Adds!$C$133:$V$133,Curves!$BC$21:$BV$21)</f>
        <v/>
      </c>
      <c r="W48" s="3">
        <f>SUMPRODUCT(Adds!$C$133:$W$133,Curves!$BB$21:$BV$21)</f>
        <v/>
      </c>
      <c r="X48" s="3">
        <f>SUMPRODUCT(Adds!$C$133:$X$133,Curves!$BA$21:$BV$21)</f>
        <v/>
      </c>
      <c r="Y48" s="3">
        <f>SUMPRODUCT(Adds!$C$133:$Y$133,Curves!$AZ$21:$BV$21)</f>
        <v/>
      </c>
      <c r="Z48" s="3">
        <f>SUMPRODUCT(Adds!$C$133:$Z$133,Curves!$AY$21:$BV$21)</f>
        <v/>
      </c>
      <c r="AA48" s="3">
        <f>SUMPRODUCT(Adds!$C$133:$AA$133,Curves!$AX$21:$BV$21)</f>
        <v/>
      </c>
      <c r="AB48" s="3">
        <f>SUMPRODUCT(Adds!$C$133:$AB$133,Curves!$AW$21:$BV$21)</f>
        <v/>
      </c>
      <c r="AC48" s="3">
        <f>SUMPRODUCT(Adds!$C$133:$AC$133,Curves!$AV$21:$BV$21)</f>
        <v/>
      </c>
      <c r="AD48" s="3">
        <f>SUMPRODUCT(Adds!$C$133:$AD$133,Curves!$AU$21:$BV$21)</f>
        <v/>
      </c>
      <c r="AE48" s="3">
        <f>SUMPRODUCT(Adds!$C$133:$AE$133,Curves!$AT$21:$BV$21)</f>
        <v/>
      </c>
      <c r="AF48" s="3">
        <f>SUMPRODUCT(Adds!$C$133:$AF$133,Curves!$AS$21:$BV$21)</f>
        <v/>
      </c>
      <c r="AG48" s="3">
        <f>SUMPRODUCT(Adds!$C$133:$AG$133,Curves!$AR$21:$BV$21)</f>
        <v/>
      </c>
      <c r="AH48" s="3">
        <f>SUMPRODUCT(Adds!$C$133:$AH$133,Curves!$AQ$21:$BV$21)</f>
        <v/>
      </c>
      <c r="AI48" s="3">
        <f>SUMPRODUCT(Adds!$C$133:$AI$133,Curves!$AP$21:$BV$21)</f>
        <v/>
      </c>
      <c r="AJ48" s="3">
        <f>SUMPRODUCT(Adds!$C$133:$AJ$133,Curves!$AO$21:$BV$21)</f>
        <v/>
      </c>
      <c r="AK48" s="3">
        <f>SUMPRODUCT(Adds!$C$133:$AK$133,Curves!$AN$21:$BV$21)</f>
        <v/>
      </c>
      <c r="AL48" s="3">
        <f>SUMPRODUCT(Adds!$C$133:$AL$133,Curves!$AM$21:$BV$21)</f>
        <v/>
      </c>
      <c r="AM48" s="3">
        <f>SUMPRODUCT(Adds!$C$133:$AM$133,Curves!$AL$21:$BV$21)</f>
        <v/>
      </c>
      <c r="AN48" s="3">
        <f>SUMPRODUCT(Adds!$C$133:$AN$133,Curves!$AK$21:$BV$21)</f>
        <v/>
      </c>
      <c r="AO48" s="3">
        <f>SUMPRODUCT(Adds!$C$133:$AO$133,Curves!$AJ$21:$BV$21)</f>
        <v/>
      </c>
      <c r="AP48" s="3">
        <f>SUMPRODUCT(Adds!$C$133:$AP$133,Curves!$AI$21:$BV$21)</f>
        <v/>
      </c>
      <c r="AQ48" s="3">
        <f>SUMPRODUCT(Adds!$C$133:$AQ$133,Curves!$AH$21:$BV$21)</f>
        <v/>
      </c>
      <c r="AR48" s="3">
        <f>SUMPRODUCT(Adds!$C$133:$AR$133,Curves!$AG$21:$BV$21)</f>
        <v/>
      </c>
      <c r="AS48" s="3">
        <f>SUMPRODUCT(Adds!$C$133:$AS$133,Curves!$AF$21:$BV$21)</f>
        <v/>
      </c>
      <c r="AT48" s="3">
        <f>SUMPRODUCT(Adds!$C$133:$AT$133,Curves!$AE$21:$BV$21)</f>
        <v/>
      </c>
      <c r="AU48" s="3">
        <f>SUMPRODUCT(Adds!$C$133:$AU$133,Curves!$AD$21:$BV$21)</f>
        <v/>
      </c>
      <c r="AV48" s="3">
        <f>SUMPRODUCT(Adds!$C$133:$AV$133,Curves!$AC$21:$BV$21)</f>
        <v/>
      </c>
      <c r="AW48" s="3">
        <f>SUMPRODUCT(Adds!$C$133:$AW$133,Curves!$AB$21:$BV$21)</f>
        <v/>
      </c>
      <c r="AX48" s="3">
        <f>SUMPRODUCT(Adds!$C$133:$AX$133,Curves!$AA$21:$BV$21)</f>
        <v/>
      </c>
      <c r="AY48" s="3">
        <f>SUMPRODUCT(Adds!$C$133:$AY$133,Curves!$Z$21:$BV$21)</f>
        <v/>
      </c>
      <c r="AZ48" s="3">
        <f>SUMPRODUCT(Adds!$C$133:$AZ$133,Curves!$Y$21:$BV$21)</f>
        <v/>
      </c>
      <c r="BA48" s="3">
        <f>SUMPRODUCT(Adds!$C$133:$BA$133,Curves!$X$21:$BV$21)</f>
        <v/>
      </c>
      <c r="BB48" s="3">
        <f>SUMPRODUCT(Adds!$C$133:$BB$133,Curves!$W$21:$BV$21)</f>
        <v/>
      </c>
      <c r="BC48" s="3">
        <f>SUMPRODUCT(Adds!$C$133:$BC$133,Curves!$V$21:$BV$21)</f>
        <v/>
      </c>
      <c r="BD48" s="3">
        <f>SUMPRODUCT(Adds!$C$133:$BD$133,Curves!$U$21:$BV$21)</f>
        <v/>
      </c>
      <c r="BE48" s="3">
        <f>SUMPRODUCT(Adds!$C$133:$BE$133,Curves!$T$21:$BV$21)</f>
        <v/>
      </c>
      <c r="BF48" s="3">
        <f>SUMPRODUCT(Adds!$C$133:$BF$133,Curves!$S$21:$BV$21)</f>
        <v/>
      </c>
      <c r="BG48" s="3">
        <f>SUMPRODUCT(Adds!$C$133:$BG$133,Curves!$R$21:$BV$21)</f>
        <v/>
      </c>
      <c r="BH48" s="3">
        <f>SUMPRODUCT(Adds!$C$133:$BH$133,Curves!$Q$21:$BV$21)</f>
        <v/>
      </c>
      <c r="BI48" s="3">
        <f>SUMPRODUCT(Adds!$C$133:$BI$133,Curves!$P$21:$BV$21)</f>
        <v/>
      </c>
      <c r="BJ48" s="3">
        <f>SUMPRODUCT(Adds!$C$133:$BJ$133,Curves!$O$21:$BV$21)</f>
        <v/>
      </c>
      <c r="BK48" s="3">
        <f>SUMPRODUCT(Adds!$C$133:$BK$133,Curves!$N$21:$BV$21)</f>
        <v/>
      </c>
      <c r="BL48" s="3">
        <f>SUMPRODUCT(Adds!$C$133:$BL$133,Curves!$M$21:$BV$21)</f>
        <v/>
      </c>
      <c r="BM48" s="3">
        <f>SUMPRODUCT(Adds!$C$133:$BM$133,Curves!$L$21:$BV$21)</f>
        <v/>
      </c>
      <c r="BN48" s="3">
        <f>SUMPRODUCT(Adds!$C$133:$BN$133,Curves!$K$21:$BV$21)</f>
        <v/>
      </c>
      <c r="BO48" s="3">
        <f>SUMPRODUCT(Adds!$C$133:$BO$133,Curves!$J$21:$BV$21)</f>
        <v/>
      </c>
      <c r="BP48" s="3">
        <f>SUMPRODUCT(Adds!$C$133:$BP$133,Curves!$I$21:$BV$21)</f>
        <v/>
      </c>
      <c r="BQ48" s="3">
        <f>SUMPRODUCT(Adds!$C$133:$BQ$133,Curves!$H$21:$BV$21)</f>
        <v/>
      </c>
      <c r="BR48" s="3">
        <f>SUMPRODUCT(Adds!$C$133:$BR$133,Curves!$G$21:$BV$21)</f>
        <v/>
      </c>
      <c r="BS48" s="3">
        <f>SUMPRODUCT(Adds!$C$133:$BS$133,Curves!$F$21:$BV$21)</f>
        <v/>
      </c>
      <c r="BT48" s="3">
        <f>SUMPRODUCT(Adds!$C$133:$BT$133,Curves!$E$21:$BV$21)</f>
        <v/>
      </c>
      <c r="BU48" s="3">
        <f>SUMPRODUCT(Adds!$C$133:$BU$133,Curves!$D$21:$BV$21)</f>
        <v/>
      </c>
      <c r="BV48" s="3">
        <f>SUMPRODUCT(Adds!$C$133:$BV$133,Curves!$C$21:$BV$21)</f>
        <v/>
      </c>
    </row>
    <row r="49">
      <c r="A49" t="inlineStr">
        <is>
          <t>churned</t>
        </is>
      </c>
      <c r="B49" t="inlineStr">
        <is>
          <t>LATAM|BASIC_A</t>
        </is>
      </c>
      <c r="C49" s="3">
        <f>Adds!$C$133*Curves!$BV$16</f>
        <v/>
      </c>
      <c r="D49" s="3">
        <f>SUMPRODUCT(Adds!$C$133:$D$133,Curves!$BU$16:$BV$16)</f>
        <v/>
      </c>
      <c r="E49" s="3">
        <f>SUMPRODUCT(Adds!$C$133:$E$133,Curves!$BT$16:$BV$16)</f>
        <v/>
      </c>
      <c r="F49" s="3">
        <f>SUMPRODUCT(Adds!$C$133:$F$133,Curves!$BS$16:$BV$16)</f>
        <v/>
      </c>
      <c r="G49" s="3">
        <f>SUMPRODUCT(Adds!$C$133:$G$133,Curves!$BR$16:$BV$16)</f>
        <v/>
      </c>
      <c r="H49" s="3">
        <f>SUMPRODUCT(Adds!$C$133:$H$133,Curves!$BQ$16:$BV$16)</f>
        <v/>
      </c>
      <c r="I49" s="3">
        <f>SUMPRODUCT(Adds!$C$133:$I$133,Curves!$BP$16:$BV$16)</f>
        <v/>
      </c>
      <c r="J49" s="3">
        <f>SUMPRODUCT(Adds!$C$133:$J$133,Curves!$BO$16:$BV$16)</f>
        <v/>
      </c>
      <c r="K49" s="3">
        <f>SUMPRODUCT(Adds!$C$133:$K$133,Curves!$BN$16:$BV$16)</f>
        <v/>
      </c>
      <c r="L49" s="3">
        <f>SUMPRODUCT(Adds!$C$133:$L$133,Curves!$BM$16:$BV$16)</f>
        <v/>
      </c>
      <c r="M49" s="3">
        <f>SUMPRODUCT(Adds!$C$133:$M$133,Curves!$BL$16:$BV$16)</f>
        <v/>
      </c>
      <c r="N49" s="3">
        <f>SUMPRODUCT(Adds!$C$133:$N$133,Curves!$BK$16:$BV$16)</f>
        <v/>
      </c>
      <c r="O49" s="3">
        <f>SUMPRODUCT(Adds!$C$133:$O$133,Curves!$BJ$16:$BV$16)</f>
        <v/>
      </c>
      <c r="P49" s="3">
        <f>SUMPRODUCT(Adds!$C$133:$P$133,Curves!$BI$16:$BV$16)</f>
        <v/>
      </c>
      <c r="Q49" s="3">
        <f>SUMPRODUCT(Adds!$C$133:$Q$133,Curves!$BH$16:$BV$16)</f>
        <v/>
      </c>
      <c r="R49" s="3">
        <f>SUMPRODUCT(Adds!$C$133:$R$133,Curves!$BG$16:$BV$16)</f>
        <v/>
      </c>
      <c r="S49" s="3">
        <f>SUMPRODUCT(Adds!$C$133:$S$133,Curves!$BF$16:$BV$16)</f>
        <v/>
      </c>
      <c r="T49" s="3">
        <f>SUMPRODUCT(Adds!$C$133:$T$133,Curves!$BE$16:$BV$16)</f>
        <v/>
      </c>
      <c r="U49" s="3">
        <f>SUMPRODUCT(Adds!$C$133:$U$133,Curves!$BD$16:$BV$16)</f>
        <v/>
      </c>
      <c r="V49" s="3">
        <f>SUMPRODUCT(Adds!$C$133:$V$133,Curves!$BC$16:$BV$16)</f>
        <v/>
      </c>
      <c r="W49" s="3">
        <f>SUMPRODUCT(Adds!$C$133:$W$133,Curves!$BB$16:$BV$16)</f>
        <v/>
      </c>
      <c r="X49" s="3">
        <f>SUMPRODUCT(Adds!$C$133:$X$133,Curves!$BA$16:$BV$16)</f>
        <v/>
      </c>
      <c r="Y49" s="3">
        <f>SUMPRODUCT(Adds!$C$133:$Y$133,Curves!$AZ$16:$BV$16)</f>
        <v/>
      </c>
      <c r="Z49" s="3">
        <f>SUMPRODUCT(Adds!$C$133:$Z$133,Curves!$AY$16:$BV$16)</f>
        <v/>
      </c>
      <c r="AA49" s="3">
        <f>SUMPRODUCT(Adds!$C$133:$AA$133,Curves!$AX$16:$BV$16)</f>
        <v/>
      </c>
      <c r="AB49" s="3">
        <f>SUMPRODUCT(Adds!$C$133:$AB$133,Curves!$AW$16:$BV$16)</f>
        <v/>
      </c>
      <c r="AC49" s="3">
        <f>SUMPRODUCT(Adds!$C$133:$AC$133,Curves!$AV$16:$BV$16)</f>
        <v/>
      </c>
      <c r="AD49" s="3">
        <f>SUMPRODUCT(Adds!$C$133:$AD$133,Curves!$AU$16:$BV$16)</f>
        <v/>
      </c>
      <c r="AE49" s="3">
        <f>SUMPRODUCT(Adds!$C$133:$AE$133,Curves!$AT$16:$BV$16)</f>
        <v/>
      </c>
      <c r="AF49" s="3">
        <f>SUMPRODUCT(Adds!$C$133:$AF$133,Curves!$AS$16:$BV$16)</f>
        <v/>
      </c>
      <c r="AG49" s="3">
        <f>SUMPRODUCT(Adds!$C$133:$AG$133,Curves!$AR$16:$BV$16)</f>
        <v/>
      </c>
      <c r="AH49" s="3">
        <f>SUMPRODUCT(Adds!$C$133:$AH$133,Curves!$AQ$16:$BV$16)</f>
        <v/>
      </c>
      <c r="AI49" s="3">
        <f>SUMPRODUCT(Adds!$C$133:$AI$133,Curves!$AP$16:$BV$16)</f>
        <v/>
      </c>
      <c r="AJ49" s="3">
        <f>SUMPRODUCT(Adds!$C$133:$AJ$133,Curves!$AO$16:$BV$16)</f>
        <v/>
      </c>
      <c r="AK49" s="3">
        <f>SUMPRODUCT(Adds!$C$133:$AK$133,Curves!$AN$16:$BV$16)</f>
        <v/>
      </c>
      <c r="AL49" s="3">
        <f>SUMPRODUCT(Adds!$C$133:$AL$133,Curves!$AM$16:$BV$16)</f>
        <v/>
      </c>
      <c r="AM49" s="3">
        <f>SUMPRODUCT(Adds!$C$133:$AM$133,Curves!$AL$16:$BV$16)</f>
        <v/>
      </c>
      <c r="AN49" s="3">
        <f>SUMPRODUCT(Adds!$C$133:$AN$133,Curves!$AK$16:$BV$16)</f>
        <v/>
      </c>
      <c r="AO49" s="3">
        <f>SUMPRODUCT(Adds!$C$133:$AO$133,Curves!$AJ$16:$BV$16)</f>
        <v/>
      </c>
      <c r="AP49" s="3">
        <f>SUMPRODUCT(Adds!$C$133:$AP$133,Curves!$AI$16:$BV$16)</f>
        <v/>
      </c>
      <c r="AQ49" s="3">
        <f>SUMPRODUCT(Adds!$C$133:$AQ$133,Curves!$AH$16:$BV$16)</f>
        <v/>
      </c>
      <c r="AR49" s="3">
        <f>SUMPRODUCT(Adds!$C$133:$AR$133,Curves!$AG$16:$BV$16)</f>
        <v/>
      </c>
      <c r="AS49" s="3">
        <f>SUMPRODUCT(Adds!$C$133:$AS$133,Curves!$AF$16:$BV$16)</f>
        <v/>
      </c>
      <c r="AT49" s="3">
        <f>SUMPRODUCT(Adds!$C$133:$AT$133,Curves!$AE$16:$BV$16)</f>
        <v/>
      </c>
      <c r="AU49" s="3">
        <f>SUMPRODUCT(Adds!$C$133:$AU$133,Curves!$AD$16:$BV$16)</f>
        <v/>
      </c>
      <c r="AV49" s="3">
        <f>SUMPRODUCT(Adds!$C$133:$AV$133,Curves!$AC$16:$BV$16)</f>
        <v/>
      </c>
      <c r="AW49" s="3">
        <f>SUMPRODUCT(Adds!$C$133:$AW$133,Curves!$AB$16:$BV$16)</f>
        <v/>
      </c>
      <c r="AX49" s="3">
        <f>SUMPRODUCT(Adds!$C$133:$AX$133,Curves!$AA$16:$BV$16)</f>
        <v/>
      </c>
      <c r="AY49" s="3">
        <f>SUMPRODUCT(Adds!$C$133:$AY$133,Curves!$Z$16:$BV$16)</f>
        <v/>
      </c>
      <c r="AZ49" s="3">
        <f>SUMPRODUCT(Adds!$C$133:$AZ$133,Curves!$Y$16:$BV$16)</f>
        <v/>
      </c>
      <c r="BA49" s="3">
        <f>SUMPRODUCT(Adds!$C$133:$BA$133,Curves!$X$16:$BV$16)</f>
        <v/>
      </c>
      <c r="BB49" s="3">
        <f>SUMPRODUCT(Adds!$C$133:$BB$133,Curves!$W$16:$BV$16)</f>
        <v/>
      </c>
      <c r="BC49" s="3">
        <f>SUMPRODUCT(Adds!$C$133:$BC$133,Curves!$V$16:$BV$16)</f>
        <v/>
      </c>
      <c r="BD49" s="3">
        <f>SUMPRODUCT(Adds!$C$133:$BD$133,Curves!$U$16:$BV$16)</f>
        <v/>
      </c>
      <c r="BE49" s="3">
        <f>SUMPRODUCT(Adds!$C$133:$BE$133,Curves!$T$16:$BV$16)</f>
        <v/>
      </c>
      <c r="BF49" s="3">
        <f>SUMPRODUCT(Adds!$C$133:$BF$133,Curves!$S$16:$BV$16)</f>
        <v/>
      </c>
      <c r="BG49" s="3">
        <f>SUMPRODUCT(Adds!$C$133:$BG$133,Curves!$R$16:$BV$16)</f>
        <v/>
      </c>
      <c r="BH49" s="3">
        <f>SUMPRODUCT(Adds!$C$133:$BH$133,Curves!$Q$16:$BV$16)</f>
        <v/>
      </c>
      <c r="BI49" s="3">
        <f>SUMPRODUCT(Adds!$C$133:$BI$133,Curves!$P$16:$BV$16)</f>
        <v/>
      </c>
      <c r="BJ49" s="3">
        <f>SUMPRODUCT(Adds!$C$133:$BJ$133,Curves!$O$16:$BV$16)</f>
        <v/>
      </c>
      <c r="BK49" s="3">
        <f>SUMPRODUCT(Adds!$C$133:$BK$133,Curves!$N$16:$BV$16)</f>
        <v/>
      </c>
      <c r="BL49" s="3">
        <f>SUMPRODUCT(Adds!$C$133:$BL$133,Curves!$M$16:$BV$16)</f>
        <v/>
      </c>
      <c r="BM49" s="3">
        <f>SUMPRODUCT(Adds!$C$133:$BM$133,Curves!$L$16:$BV$16)</f>
        <v/>
      </c>
      <c r="BN49" s="3">
        <f>SUMPRODUCT(Adds!$C$133:$BN$133,Curves!$K$16:$BV$16)</f>
        <v/>
      </c>
      <c r="BO49" s="3">
        <f>SUMPRODUCT(Adds!$C$133:$BO$133,Curves!$J$16:$BV$16)</f>
        <v/>
      </c>
      <c r="BP49" s="3">
        <f>SUMPRODUCT(Adds!$C$133:$BP$133,Curves!$I$16:$BV$16)</f>
        <v/>
      </c>
      <c r="BQ49" s="3">
        <f>SUMPRODUCT(Adds!$C$133:$BQ$133,Curves!$H$16:$BV$16)</f>
        <v/>
      </c>
      <c r="BR49" s="3">
        <f>SUMPRODUCT(Adds!$C$133:$BR$133,Curves!$G$16:$BV$16)</f>
        <v/>
      </c>
      <c r="BS49" s="3">
        <f>SUMPRODUCT(Adds!$C$133:$BS$133,Curves!$F$16:$BV$16)</f>
        <v/>
      </c>
      <c r="BT49" s="3">
        <f>SUMPRODUCT(Adds!$C$133:$BT$133,Curves!$E$16:$BV$16)</f>
        <v/>
      </c>
      <c r="BU49" s="3">
        <f>SUMPRODUCT(Adds!$C$133:$BU$133,Curves!$D$16:$BV$16)</f>
        <v/>
      </c>
      <c r="BV49" s="3">
        <f>SUMPRODUCT(Adds!$C$133:$BV$133,Curves!$C$16:$BV$16)</f>
        <v/>
      </c>
    </row>
    <row r="51">
      <c r="A51" t="inlineStr">
        <is>
          <t>active</t>
        </is>
      </c>
      <c r="B51" t="inlineStr">
        <is>
          <t>APAC|NITRO_M</t>
        </is>
      </c>
      <c r="C51" s="3">
        <f>Adds!$C$144*Curves!$BV$13</f>
        <v/>
      </c>
      <c r="D51" s="3">
        <f>SUMPRODUCT(Adds!$C$144:$D$144,Curves!$BU$13:$BV$13)</f>
        <v/>
      </c>
      <c r="E51" s="3">
        <f>SUMPRODUCT(Adds!$C$144:$E$144,Curves!$BT$13:$BV$13)</f>
        <v/>
      </c>
      <c r="F51" s="3">
        <f>SUMPRODUCT(Adds!$C$144:$F$144,Curves!$BS$13:$BV$13)</f>
        <v/>
      </c>
      <c r="G51" s="3">
        <f>SUMPRODUCT(Adds!$C$144:$G$144,Curves!$BR$13:$BV$13)</f>
        <v/>
      </c>
      <c r="H51" s="3">
        <f>SUMPRODUCT(Adds!$C$144:$H$144,Curves!$BQ$13:$BV$13)</f>
        <v/>
      </c>
      <c r="I51" s="3">
        <f>SUMPRODUCT(Adds!$C$144:$I$144,Curves!$BP$13:$BV$13)</f>
        <v/>
      </c>
      <c r="J51" s="3">
        <f>SUMPRODUCT(Adds!$C$144:$J$144,Curves!$BO$13:$BV$13)</f>
        <v/>
      </c>
      <c r="K51" s="3">
        <f>SUMPRODUCT(Adds!$C$144:$K$144,Curves!$BN$13:$BV$13)</f>
        <v/>
      </c>
      <c r="L51" s="3">
        <f>SUMPRODUCT(Adds!$C$144:$L$144,Curves!$BM$13:$BV$13)</f>
        <v/>
      </c>
      <c r="M51" s="3">
        <f>SUMPRODUCT(Adds!$C$144:$M$144,Curves!$BL$13:$BV$13)</f>
        <v/>
      </c>
      <c r="N51" s="3">
        <f>SUMPRODUCT(Adds!$C$144:$N$144,Curves!$BK$13:$BV$13)</f>
        <v/>
      </c>
      <c r="O51" s="3">
        <f>SUMPRODUCT(Adds!$C$144:$O$144,Curves!$BJ$13:$BV$13)</f>
        <v/>
      </c>
      <c r="P51" s="3">
        <f>SUMPRODUCT(Adds!$C$144:$P$144,Curves!$BI$13:$BV$13)</f>
        <v/>
      </c>
      <c r="Q51" s="3">
        <f>SUMPRODUCT(Adds!$C$144:$Q$144,Curves!$BH$13:$BV$13)</f>
        <v/>
      </c>
      <c r="R51" s="3">
        <f>SUMPRODUCT(Adds!$C$144:$R$144,Curves!$BG$13:$BV$13)</f>
        <v/>
      </c>
      <c r="S51" s="3">
        <f>SUMPRODUCT(Adds!$C$144:$S$144,Curves!$BF$13:$BV$13)</f>
        <v/>
      </c>
      <c r="T51" s="3">
        <f>SUMPRODUCT(Adds!$C$144:$T$144,Curves!$BE$13:$BV$13)</f>
        <v/>
      </c>
      <c r="U51" s="3">
        <f>SUMPRODUCT(Adds!$C$144:$U$144,Curves!$BD$13:$BV$13)</f>
        <v/>
      </c>
      <c r="V51" s="3">
        <f>SUMPRODUCT(Adds!$C$144:$V$144,Curves!$BC$13:$BV$13)</f>
        <v/>
      </c>
      <c r="W51" s="3">
        <f>SUMPRODUCT(Adds!$C$144:$W$144,Curves!$BB$13:$BV$13)</f>
        <v/>
      </c>
      <c r="X51" s="3">
        <f>SUMPRODUCT(Adds!$C$144:$X$144,Curves!$BA$13:$BV$13)</f>
        <v/>
      </c>
      <c r="Y51" s="3">
        <f>SUMPRODUCT(Adds!$C$144:$Y$144,Curves!$AZ$13:$BV$13)</f>
        <v/>
      </c>
      <c r="Z51" s="3">
        <f>SUMPRODUCT(Adds!$C$144:$Z$144,Curves!$AY$13:$BV$13)</f>
        <v/>
      </c>
      <c r="AA51" s="3">
        <f>SUMPRODUCT(Adds!$C$144:$AA$144,Curves!$AX$13:$BV$13)</f>
        <v/>
      </c>
      <c r="AB51" s="3">
        <f>SUMPRODUCT(Adds!$C$144:$AB$144,Curves!$AW$13:$BV$13)</f>
        <v/>
      </c>
      <c r="AC51" s="3">
        <f>SUMPRODUCT(Adds!$C$144:$AC$144,Curves!$AV$13:$BV$13)</f>
        <v/>
      </c>
      <c r="AD51" s="3">
        <f>SUMPRODUCT(Adds!$C$144:$AD$144,Curves!$AU$13:$BV$13)</f>
        <v/>
      </c>
      <c r="AE51" s="3">
        <f>SUMPRODUCT(Adds!$C$144:$AE$144,Curves!$AT$13:$BV$13)</f>
        <v/>
      </c>
      <c r="AF51" s="3">
        <f>SUMPRODUCT(Adds!$C$144:$AF$144,Curves!$AS$13:$BV$13)</f>
        <v/>
      </c>
      <c r="AG51" s="3">
        <f>SUMPRODUCT(Adds!$C$144:$AG$144,Curves!$AR$13:$BV$13)</f>
        <v/>
      </c>
      <c r="AH51" s="3">
        <f>SUMPRODUCT(Adds!$C$144:$AH$144,Curves!$AQ$13:$BV$13)</f>
        <v/>
      </c>
      <c r="AI51" s="3">
        <f>SUMPRODUCT(Adds!$C$144:$AI$144,Curves!$AP$13:$BV$13)</f>
        <v/>
      </c>
      <c r="AJ51" s="3">
        <f>SUMPRODUCT(Adds!$C$144:$AJ$144,Curves!$AO$13:$BV$13)</f>
        <v/>
      </c>
      <c r="AK51" s="3">
        <f>SUMPRODUCT(Adds!$C$144:$AK$144,Curves!$AN$13:$BV$13)</f>
        <v/>
      </c>
      <c r="AL51" s="3">
        <f>SUMPRODUCT(Adds!$C$144:$AL$144,Curves!$AM$13:$BV$13)</f>
        <v/>
      </c>
      <c r="AM51" s="3">
        <f>SUMPRODUCT(Adds!$C$144:$AM$144,Curves!$AL$13:$BV$13)</f>
        <v/>
      </c>
      <c r="AN51" s="3">
        <f>SUMPRODUCT(Adds!$C$144:$AN$144,Curves!$AK$13:$BV$13)</f>
        <v/>
      </c>
      <c r="AO51" s="3">
        <f>SUMPRODUCT(Adds!$C$144:$AO$144,Curves!$AJ$13:$BV$13)</f>
        <v/>
      </c>
      <c r="AP51" s="3">
        <f>SUMPRODUCT(Adds!$C$144:$AP$144,Curves!$AI$13:$BV$13)</f>
        <v/>
      </c>
      <c r="AQ51" s="3">
        <f>SUMPRODUCT(Adds!$C$144:$AQ$144,Curves!$AH$13:$BV$13)</f>
        <v/>
      </c>
      <c r="AR51" s="3">
        <f>SUMPRODUCT(Adds!$C$144:$AR$144,Curves!$AG$13:$BV$13)</f>
        <v/>
      </c>
      <c r="AS51" s="3">
        <f>SUMPRODUCT(Adds!$C$144:$AS$144,Curves!$AF$13:$BV$13)</f>
        <v/>
      </c>
      <c r="AT51" s="3">
        <f>SUMPRODUCT(Adds!$C$144:$AT$144,Curves!$AE$13:$BV$13)</f>
        <v/>
      </c>
      <c r="AU51" s="3">
        <f>SUMPRODUCT(Adds!$C$144:$AU$144,Curves!$AD$13:$BV$13)</f>
        <v/>
      </c>
      <c r="AV51" s="3">
        <f>SUMPRODUCT(Adds!$C$144:$AV$144,Curves!$AC$13:$BV$13)</f>
        <v/>
      </c>
      <c r="AW51" s="3">
        <f>SUMPRODUCT(Adds!$C$144:$AW$144,Curves!$AB$13:$BV$13)</f>
        <v/>
      </c>
      <c r="AX51" s="3">
        <f>SUMPRODUCT(Adds!$C$144:$AX$144,Curves!$AA$13:$BV$13)</f>
        <v/>
      </c>
      <c r="AY51" s="3">
        <f>SUMPRODUCT(Adds!$C$144:$AY$144,Curves!$Z$13:$BV$13)</f>
        <v/>
      </c>
      <c r="AZ51" s="3">
        <f>SUMPRODUCT(Adds!$C$144:$AZ$144,Curves!$Y$13:$BV$13)</f>
        <v/>
      </c>
      <c r="BA51" s="3">
        <f>SUMPRODUCT(Adds!$C$144:$BA$144,Curves!$X$13:$BV$13)</f>
        <v/>
      </c>
      <c r="BB51" s="3">
        <f>SUMPRODUCT(Adds!$C$144:$BB$144,Curves!$W$13:$BV$13)</f>
        <v/>
      </c>
      <c r="BC51" s="3">
        <f>SUMPRODUCT(Adds!$C$144:$BC$144,Curves!$V$13:$BV$13)</f>
        <v/>
      </c>
      <c r="BD51" s="3">
        <f>SUMPRODUCT(Adds!$C$144:$BD$144,Curves!$U$13:$BV$13)</f>
        <v/>
      </c>
      <c r="BE51" s="3">
        <f>SUMPRODUCT(Adds!$C$144:$BE$144,Curves!$T$13:$BV$13)</f>
        <v/>
      </c>
      <c r="BF51" s="3">
        <f>SUMPRODUCT(Adds!$C$144:$BF$144,Curves!$S$13:$BV$13)</f>
        <v/>
      </c>
      <c r="BG51" s="3">
        <f>SUMPRODUCT(Adds!$C$144:$BG$144,Curves!$R$13:$BV$13)</f>
        <v/>
      </c>
      <c r="BH51" s="3">
        <f>SUMPRODUCT(Adds!$C$144:$BH$144,Curves!$Q$13:$BV$13)</f>
        <v/>
      </c>
      <c r="BI51" s="3">
        <f>SUMPRODUCT(Adds!$C$144:$BI$144,Curves!$P$13:$BV$13)</f>
        <v/>
      </c>
      <c r="BJ51" s="3">
        <f>SUMPRODUCT(Adds!$C$144:$BJ$144,Curves!$O$13:$BV$13)</f>
        <v/>
      </c>
      <c r="BK51" s="3">
        <f>SUMPRODUCT(Adds!$C$144:$BK$144,Curves!$N$13:$BV$13)</f>
        <v/>
      </c>
      <c r="BL51" s="3">
        <f>SUMPRODUCT(Adds!$C$144:$BL$144,Curves!$M$13:$BV$13)</f>
        <v/>
      </c>
      <c r="BM51" s="3">
        <f>SUMPRODUCT(Adds!$C$144:$BM$144,Curves!$L$13:$BV$13)</f>
        <v/>
      </c>
      <c r="BN51" s="3">
        <f>SUMPRODUCT(Adds!$C$144:$BN$144,Curves!$K$13:$BV$13)</f>
        <v/>
      </c>
      <c r="BO51" s="3">
        <f>SUMPRODUCT(Adds!$C$144:$BO$144,Curves!$J$13:$BV$13)</f>
        <v/>
      </c>
      <c r="BP51" s="3">
        <f>SUMPRODUCT(Adds!$C$144:$BP$144,Curves!$I$13:$BV$13)</f>
        <v/>
      </c>
      <c r="BQ51" s="3">
        <f>SUMPRODUCT(Adds!$C$144:$BQ$144,Curves!$H$13:$BV$13)</f>
        <v/>
      </c>
      <c r="BR51" s="3">
        <f>SUMPRODUCT(Adds!$C$144:$BR$144,Curves!$G$13:$BV$13)</f>
        <v/>
      </c>
      <c r="BS51" s="3">
        <f>SUMPRODUCT(Adds!$C$144:$BS$144,Curves!$F$13:$BV$13)</f>
        <v/>
      </c>
      <c r="BT51" s="3">
        <f>SUMPRODUCT(Adds!$C$144:$BT$144,Curves!$E$13:$BV$13)</f>
        <v/>
      </c>
      <c r="BU51" s="3">
        <f>SUMPRODUCT(Adds!$C$144:$BU$144,Curves!$D$13:$BV$13)</f>
        <v/>
      </c>
      <c r="BV51" s="3">
        <f>SUMPRODUCT(Adds!$C$144:$BV$144,Curves!$C$13:$BV$13)</f>
        <v/>
      </c>
    </row>
    <row r="52">
      <c r="A52" t="inlineStr">
        <is>
          <t>active yr 1</t>
        </is>
      </c>
      <c r="B52" t="inlineStr">
        <is>
          <t>APAC|NITRO_M</t>
        </is>
      </c>
      <c r="C52" s="3">
        <f>Adds!$C$144*Curves!$BV$20</f>
        <v/>
      </c>
      <c r="D52" s="3">
        <f>SUMPRODUCT(Adds!$C$144:$D$144,Curves!$BU$20:$BV$20)</f>
        <v/>
      </c>
      <c r="E52" s="3">
        <f>SUMPRODUCT(Adds!$C$144:$E$144,Curves!$BT$20:$BV$20)</f>
        <v/>
      </c>
      <c r="F52" s="3">
        <f>SUMPRODUCT(Adds!$C$144:$F$144,Curves!$BS$20:$BV$20)</f>
        <v/>
      </c>
      <c r="G52" s="3">
        <f>SUMPRODUCT(Adds!$C$144:$G$144,Curves!$BR$20:$BV$20)</f>
        <v/>
      </c>
      <c r="H52" s="3">
        <f>SUMPRODUCT(Adds!$C$144:$H$144,Curves!$BQ$20:$BV$20)</f>
        <v/>
      </c>
      <c r="I52" s="3">
        <f>SUMPRODUCT(Adds!$C$144:$I$144,Curves!$BP$20:$BV$20)</f>
        <v/>
      </c>
      <c r="J52" s="3">
        <f>SUMPRODUCT(Adds!$C$144:$J$144,Curves!$BO$20:$BV$20)</f>
        <v/>
      </c>
      <c r="K52" s="3">
        <f>SUMPRODUCT(Adds!$C$144:$K$144,Curves!$BN$20:$BV$20)</f>
        <v/>
      </c>
      <c r="L52" s="3">
        <f>SUMPRODUCT(Adds!$C$144:$L$144,Curves!$BM$20:$BV$20)</f>
        <v/>
      </c>
      <c r="M52" s="3">
        <f>SUMPRODUCT(Adds!$C$144:$M$144,Curves!$BL$20:$BV$20)</f>
        <v/>
      </c>
      <c r="N52" s="3">
        <f>SUMPRODUCT(Adds!$C$144:$N$144,Curves!$BK$20:$BV$20)</f>
        <v/>
      </c>
      <c r="O52" s="3">
        <f>SUMPRODUCT(Adds!$C$144:$O$144,Curves!$BJ$20:$BV$20)</f>
        <v/>
      </c>
      <c r="P52" s="3">
        <f>SUMPRODUCT(Adds!$C$144:$P$144,Curves!$BI$20:$BV$20)</f>
        <v/>
      </c>
      <c r="Q52" s="3">
        <f>SUMPRODUCT(Adds!$C$144:$Q$144,Curves!$BH$20:$BV$20)</f>
        <v/>
      </c>
      <c r="R52" s="3">
        <f>SUMPRODUCT(Adds!$C$144:$R$144,Curves!$BG$20:$BV$20)</f>
        <v/>
      </c>
      <c r="S52" s="3">
        <f>SUMPRODUCT(Adds!$C$144:$S$144,Curves!$BF$20:$BV$20)</f>
        <v/>
      </c>
      <c r="T52" s="3">
        <f>SUMPRODUCT(Adds!$C$144:$T$144,Curves!$BE$20:$BV$20)</f>
        <v/>
      </c>
      <c r="U52" s="3">
        <f>SUMPRODUCT(Adds!$C$144:$U$144,Curves!$BD$20:$BV$20)</f>
        <v/>
      </c>
      <c r="V52" s="3">
        <f>SUMPRODUCT(Adds!$C$144:$V$144,Curves!$BC$20:$BV$20)</f>
        <v/>
      </c>
      <c r="W52" s="3">
        <f>SUMPRODUCT(Adds!$C$144:$W$144,Curves!$BB$20:$BV$20)</f>
        <v/>
      </c>
      <c r="X52" s="3">
        <f>SUMPRODUCT(Adds!$C$144:$X$144,Curves!$BA$20:$BV$20)</f>
        <v/>
      </c>
      <c r="Y52" s="3">
        <f>SUMPRODUCT(Adds!$C$144:$Y$144,Curves!$AZ$20:$BV$20)</f>
        <v/>
      </c>
      <c r="Z52" s="3">
        <f>SUMPRODUCT(Adds!$C$144:$Z$144,Curves!$AY$20:$BV$20)</f>
        <v/>
      </c>
      <c r="AA52" s="3">
        <f>SUMPRODUCT(Adds!$C$144:$AA$144,Curves!$AX$20:$BV$20)</f>
        <v/>
      </c>
      <c r="AB52" s="3">
        <f>SUMPRODUCT(Adds!$C$144:$AB$144,Curves!$AW$20:$BV$20)</f>
        <v/>
      </c>
      <c r="AC52" s="3">
        <f>SUMPRODUCT(Adds!$C$144:$AC$144,Curves!$AV$20:$BV$20)</f>
        <v/>
      </c>
      <c r="AD52" s="3">
        <f>SUMPRODUCT(Adds!$C$144:$AD$144,Curves!$AU$20:$BV$20)</f>
        <v/>
      </c>
      <c r="AE52" s="3">
        <f>SUMPRODUCT(Adds!$C$144:$AE$144,Curves!$AT$20:$BV$20)</f>
        <v/>
      </c>
      <c r="AF52" s="3">
        <f>SUMPRODUCT(Adds!$C$144:$AF$144,Curves!$AS$20:$BV$20)</f>
        <v/>
      </c>
      <c r="AG52" s="3">
        <f>SUMPRODUCT(Adds!$C$144:$AG$144,Curves!$AR$20:$BV$20)</f>
        <v/>
      </c>
      <c r="AH52" s="3">
        <f>SUMPRODUCT(Adds!$C$144:$AH$144,Curves!$AQ$20:$BV$20)</f>
        <v/>
      </c>
      <c r="AI52" s="3">
        <f>SUMPRODUCT(Adds!$C$144:$AI$144,Curves!$AP$20:$BV$20)</f>
        <v/>
      </c>
      <c r="AJ52" s="3">
        <f>SUMPRODUCT(Adds!$C$144:$AJ$144,Curves!$AO$20:$BV$20)</f>
        <v/>
      </c>
      <c r="AK52" s="3">
        <f>SUMPRODUCT(Adds!$C$144:$AK$144,Curves!$AN$20:$BV$20)</f>
        <v/>
      </c>
      <c r="AL52" s="3">
        <f>SUMPRODUCT(Adds!$C$144:$AL$144,Curves!$AM$20:$BV$20)</f>
        <v/>
      </c>
      <c r="AM52" s="3">
        <f>SUMPRODUCT(Adds!$C$144:$AM$144,Curves!$AL$20:$BV$20)</f>
        <v/>
      </c>
      <c r="AN52" s="3">
        <f>SUMPRODUCT(Adds!$C$144:$AN$144,Curves!$AK$20:$BV$20)</f>
        <v/>
      </c>
      <c r="AO52" s="3">
        <f>SUMPRODUCT(Adds!$C$144:$AO$144,Curves!$AJ$20:$BV$20)</f>
        <v/>
      </c>
      <c r="AP52" s="3">
        <f>SUMPRODUCT(Adds!$C$144:$AP$144,Curves!$AI$20:$BV$20)</f>
        <v/>
      </c>
      <c r="AQ52" s="3">
        <f>SUMPRODUCT(Adds!$C$144:$AQ$144,Curves!$AH$20:$BV$20)</f>
        <v/>
      </c>
      <c r="AR52" s="3">
        <f>SUMPRODUCT(Adds!$C$144:$AR$144,Curves!$AG$20:$BV$20)</f>
        <v/>
      </c>
      <c r="AS52" s="3">
        <f>SUMPRODUCT(Adds!$C$144:$AS$144,Curves!$AF$20:$BV$20)</f>
        <v/>
      </c>
      <c r="AT52" s="3">
        <f>SUMPRODUCT(Adds!$C$144:$AT$144,Curves!$AE$20:$BV$20)</f>
        <v/>
      </c>
      <c r="AU52" s="3">
        <f>SUMPRODUCT(Adds!$C$144:$AU$144,Curves!$AD$20:$BV$20)</f>
        <v/>
      </c>
      <c r="AV52" s="3">
        <f>SUMPRODUCT(Adds!$C$144:$AV$144,Curves!$AC$20:$BV$20)</f>
        <v/>
      </c>
      <c r="AW52" s="3">
        <f>SUMPRODUCT(Adds!$C$144:$AW$144,Curves!$AB$20:$BV$20)</f>
        <v/>
      </c>
      <c r="AX52" s="3">
        <f>SUMPRODUCT(Adds!$C$144:$AX$144,Curves!$AA$20:$BV$20)</f>
        <v/>
      </c>
      <c r="AY52" s="3">
        <f>SUMPRODUCT(Adds!$C$144:$AY$144,Curves!$Z$20:$BV$20)</f>
        <v/>
      </c>
      <c r="AZ52" s="3">
        <f>SUMPRODUCT(Adds!$C$144:$AZ$144,Curves!$Y$20:$BV$20)</f>
        <v/>
      </c>
      <c r="BA52" s="3">
        <f>SUMPRODUCT(Adds!$C$144:$BA$144,Curves!$X$20:$BV$20)</f>
        <v/>
      </c>
      <c r="BB52" s="3">
        <f>SUMPRODUCT(Adds!$C$144:$BB$144,Curves!$W$20:$BV$20)</f>
        <v/>
      </c>
      <c r="BC52" s="3">
        <f>SUMPRODUCT(Adds!$C$144:$BC$144,Curves!$V$20:$BV$20)</f>
        <v/>
      </c>
      <c r="BD52" s="3">
        <f>SUMPRODUCT(Adds!$C$144:$BD$144,Curves!$U$20:$BV$20)</f>
        <v/>
      </c>
      <c r="BE52" s="3">
        <f>SUMPRODUCT(Adds!$C$144:$BE$144,Curves!$T$20:$BV$20)</f>
        <v/>
      </c>
      <c r="BF52" s="3">
        <f>SUMPRODUCT(Adds!$C$144:$BF$144,Curves!$S$20:$BV$20)</f>
        <v/>
      </c>
      <c r="BG52" s="3">
        <f>SUMPRODUCT(Adds!$C$144:$BG$144,Curves!$R$20:$BV$20)</f>
        <v/>
      </c>
      <c r="BH52" s="3">
        <f>SUMPRODUCT(Adds!$C$144:$BH$144,Curves!$Q$20:$BV$20)</f>
        <v/>
      </c>
      <c r="BI52" s="3">
        <f>SUMPRODUCT(Adds!$C$144:$BI$144,Curves!$P$20:$BV$20)</f>
        <v/>
      </c>
      <c r="BJ52" s="3">
        <f>SUMPRODUCT(Adds!$C$144:$BJ$144,Curves!$O$20:$BV$20)</f>
        <v/>
      </c>
      <c r="BK52" s="3">
        <f>SUMPRODUCT(Adds!$C$144:$BK$144,Curves!$N$20:$BV$20)</f>
        <v/>
      </c>
      <c r="BL52" s="3">
        <f>SUMPRODUCT(Adds!$C$144:$BL$144,Curves!$M$20:$BV$20)</f>
        <v/>
      </c>
      <c r="BM52" s="3">
        <f>SUMPRODUCT(Adds!$C$144:$BM$144,Curves!$L$20:$BV$20)</f>
        <v/>
      </c>
      <c r="BN52" s="3">
        <f>SUMPRODUCT(Adds!$C$144:$BN$144,Curves!$K$20:$BV$20)</f>
        <v/>
      </c>
      <c r="BO52" s="3">
        <f>SUMPRODUCT(Adds!$C$144:$BO$144,Curves!$J$20:$BV$20)</f>
        <v/>
      </c>
      <c r="BP52" s="3">
        <f>SUMPRODUCT(Adds!$C$144:$BP$144,Curves!$I$20:$BV$20)</f>
        <v/>
      </c>
      <c r="BQ52" s="3">
        <f>SUMPRODUCT(Adds!$C$144:$BQ$144,Curves!$H$20:$BV$20)</f>
        <v/>
      </c>
      <c r="BR52" s="3">
        <f>SUMPRODUCT(Adds!$C$144:$BR$144,Curves!$G$20:$BV$20)</f>
        <v/>
      </c>
      <c r="BS52" s="3">
        <f>SUMPRODUCT(Adds!$C$144:$BS$144,Curves!$F$20:$BV$20)</f>
        <v/>
      </c>
      <c r="BT52" s="3">
        <f>SUMPRODUCT(Adds!$C$144:$BT$144,Curves!$E$20:$BV$20)</f>
        <v/>
      </c>
      <c r="BU52" s="3">
        <f>SUMPRODUCT(Adds!$C$144:$BU$144,Curves!$D$20:$BV$20)</f>
        <v/>
      </c>
      <c r="BV52" s="3">
        <f>SUMPRODUCT(Adds!$C$144:$BV$144,Curves!$C$20:$BV$20)</f>
        <v/>
      </c>
    </row>
    <row r="53">
      <c r="A53" t="inlineStr">
        <is>
          <t>churned</t>
        </is>
      </c>
      <c r="B53" t="inlineStr">
        <is>
          <t>APAC|NITRO_M</t>
        </is>
      </c>
      <c r="C53" s="3">
        <f>Adds!$C$144*Curves!$BV$15</f>
        <v/>
      </c>
      <c r="D53" s="3">
        <f>SUMPRODUCT(Adds!$C$144:$D$144,Curves!$BU$15:$BV$15)</f>
        <v/>
      </c>
      <c r="E53" s="3">
        <f>SUMPRODUCT(Adds!$C$144:$E$144,Curves!$BT$15:$BV$15)</f>
        <v/>
      </c>
      <c r="F53" s="3">
        <f>SUMPRODUCT(Adds!$C$144:$F$144,Curves!$BS$15:$BV$15)</f>
        <v/>
      </c>
      <c r="G53" s="3">
        <f>SUMPRODUCT(Adds!$C$144:$G$144,Curves!$BR$15:$BV$15)</f>
        <v/>
      </c>
      <c r="H53" s="3">
        <f>SUMPRODUCT(Adds!$C$144:$H$144,Curves!$BQ$15:$BV$15)</f>
        <v/>
      </c>
      <c r="I53" s="3">
        <f>SUMPRODUCT(Adds!$C$144:$I$144,Curves!$BP$15:$BV$15)</f>
        <v/>
      </c>
      <c r="J53" s="3">
        <f>SUMPRODUCT(Adds!$C$144:$J$144,Curves!$BO$15:$BV$15)</f>
        <v/>
      </c>
      <c r="K53" s="3">
        <f>SUMPRODUCT(Adds!$C$144:$K$144,Curves!$BN$15:$BV$15)</f>
        <v/>
      </c>
      <c r="L53" s="3">
        <f>SUMPRODUCT(Adds!$C$144:$L$144,Curves!$BM$15:$BV$15)</f>
        <v/>
      </c>
      <c r="M53" s="3">
        <f>SUMPRODUCT(Adds!$C$144:$M$144,Curves!$BL$15:$BV$15)</f>
        <v/>
      </c>
      <c r="N53" s="3">
        <f>SUMPRODUCT(Adds!$C$144:$N$144,Curves!$BK$15:$BV$15)</f>
        <v/>
      </c>
      <c r="O53" s="3">
        <f>SUMPRODUCT(Adds!$C$144:$O$144,Curves!$BJ$15:$BV$15)</f>
        <v/>
      </c>
      <c r="P53" s="3">
        <f>SUMPRODUCT(Adds!$C$144:$P$144,Curves!$BI$15:$BV$15)</f>
        <v/>
      </c>
      <c r="Q53" s="3">
        <f>SUMPRODUCT(Adds!$C$144:$Q$144,Curves!$BH$15:$BV$15)</f>
        <v/>
      </c>
      <c r="R53" s="3">
        <f>SUMPRODUCT(Adds!$C$144:$R$144,Curves!$BG$15:$BV$15)</f>
        <v/>
      </c>
      <c r="S53" s="3">
        <f>SUMPRODUCT(Adds!$C$144:$S$144,Curves!$BF$15:$BV$15)</f>
        <v/>
      </c>
      <c r="T53" s="3">
        <f>SUMPRODUCT(Adds!$C$144:$T$144,Curves!$BE$15:$BV$15)</f>
        <v/>
      </c>
      <c r="U53" s="3">
        <f>SUMPRODUCT(Adds!$C$144:$U$144,Curves!$BD$15:$BV$15)</f>
        <v/>
      </c>
      <c r="V53" s="3">
        <f>SUMPRODUCT(Adds!$C$144:$V$144,Curves!$BC$15:$BV$15)</f>
        <v/>
      </c>
      <c r="W53" s="3">
        <f>SUMPRODUCT(Adds!$C$144:$W$144,Curves!$BB$15:$BV$15)</f>
        <v/>
      </c>
      <c r="X53" s="3">
        <f>SUMPRODUCT(Adds!$C$144:$X$144,Curves!$BA$15:$BV$15)</f>
        <v/>
      </c>
      <c r="Y53" s="3">
        <f>SUMPRODUCT(Adds!$C$144:$Y$144,Curves!$AZ$15:$BV$15)</f>
        <v/>
      </c>
      <c r="Z53" s="3">
        <f>SUMPRODUCT(Adds!$C$144:$Z$144,Curves!$AY$15:$BV$15)</f>
        <v/>
      </c>
      <c r="AA53" s="3">
        <f>SUMPRODUCT(Adds!$C$144:$AA$144,Curves!$AX$15:$BV$15)</f>
        <v/>
      </c>
      <c r="AB53" s="3">
        <f>SUMPRODUCT(Adds!$C$144:$AB$144,Curves!$AW$15:$BV$15)</f>
        <v/>
      </c>
      <c r="AC53" s="3">
        <f>SUMPRODUCT(Adds!$C$144:$AC$144,Curves!$AV$15:$BV$15)</f>
        <v/>
      </c>
      <c r="AD53" s="3">
        <f>SUMPRODUCT(Adds!$C$144:$AD$144,Curves!$AU$15:$BV$15)</f>
        <v/>
      </c>
      <c r="AE53" s="3">
        <f>SUMPRODUCT(Adds!$C$144:$AE$144,Curves!$AT$15:$BV$15)</f>
        <v/>
      </c>
      <c r="AF53" s="3">
        <f>SUMPRODUCT(Adds!$C$144:$AF$144,Curves!$AS$15:$BV$15)</f>
        <v/>
      </c>
      <c r="AG53" s="3">
        <f>SUMPRODUCT(Adds!$C$144:$AG$144,Curves!$AR$15:$BV$15)</f>
        <v/>
      </c>
      <c r="AH53" s="3">
        <f>SUMPRODUCT(Adds!$C$144:$AH$144,Curves!$AQ$15:$BV$15)</f>
        <v/>
      </c>
      <c r="AI53" s="3">
        <f>SUMPRODUCT(Adds!$C$144:$AI$144,Curves!$AP$15:$BV$15)</f>
        <v/>
      </c>
      <c r="AJ53" s="3">
        <f>SUMPRODUCT(Adds!$C$144:$AJ$144,Curves!$AO$15:$BV$15)</f>
        <v/>
      </c>
      <c r="AK53" s="3">
        <f>SUMPRODUCT(Adds!$C$144:$AK$144,Curves!$AN$15:$BV$15)</f>
        <v/>
      </c>
      <c r="AL53" s="3">
        <f>SUMPRODUCT(Adds!$C$144:$AL$144,Curves!$AM$15:$BV$15)</f>
        <v/>
      </c>
      <c r="AM53" s="3">
        <f>SUMPRODUCT(Adds!$C$144:$AM$144,Curves!$AL$15:$BV$15)</f>
        <v/>
      </c>
      <c r="AN53" s="3">
        <f>SUMPRODUCT(Adds!$C$144:$AN$144,Curves!$AK$15:$BV$15)</f>
        <v/>
      </c>
      <c r="AO53" s="3">
        <f>SUMPRODUCT(Adds!$C$144:$AO$144,Curves!$AJ$15:$BV$15)</f>
        <v/>
      </c>
      <c r="AP53" s="3">
        <f>SUMPRODUCT(Adds!$C$144:$AP$144,Curves!$AI$15:$BV$15)</f>
        <v/>
      </c>
      <c r="AQ53" s="3">
        <f>SUMPRODUCT(Adds!$C$144:$AQ$144,Curves!$AH$15:$BV$15)</f>
        <v/>
      </c>
      <c r="AR53" s="3">
        <f>SUMPRODUCT(Adds!$C$144:$AR$144,Curves!$AG$15:$BV$15)</f>
        <v/>
      </c>
      <c r="AS53" s="3">
        <f>SUMPRODUCT(Adds!$C$144:$AS$144,Curves!$AF$15:$BV$15)</f>
        <v/>
      </c>
      <c r="AT53" s="3">
        <f>SUMPRODUCT(Adds!$C$144:$AT$144,Curves!$AE$15:$BV$15)</f>
        <v/>
      </c>
      <c r="AU53" s="3">
        <f>SUMPRODUCT(Adds!$C$144:$AU$144,Curves!$AD$15:$BV$15)</f>
        <v/>
      </c>
      <c r="AV53" s="3">
        <f>SUMPRODUCT(Adds!$C$144:$AV$144,Curves!$AC$15:$BV$15)</f>
        <v/>
      </c>
      <c r="AW53" s="3">
        <f>SUMPRODUCT(Adds!$C$144:$AW$144,Curves!$AB$15:$BV$15)</f>
        <v/>
      </c>
      <c r="AX53" s="3">
        <f>SUMPRODUCT(Adds!$C$144:$AX$144,Curves!$AA$15:$BV$15)</f>
        <v/>
      </c>
      <c r="AY53" s="3">
        <f>SUMPRODUCT(Adds!$C$144:$AY$144,Curves!$Z$15:$BV$15)</f>
        <v/>
      </c>
      <c r="AZ53" s="3">
        <f>SUMPRODUCT(Adds!$C$144:$AZ$144,Curves!$Y$15:$BV$15)</f>
        <v/>
      </c>
      <c r="BA53" s="3">
        <f>SUMPRODUCT(Adds!$C$144:$BA$144,Curves!$X$15:$BV$15)</f>
        <v/>
      </c>
      <c r="BB53" s="3">
        <f>SUMPRODUCT(Adds!$C$144:$BB$144,Curves!$W$15:$BV$15)</f>
        <v/>
      </c>
      <c r="BC53" s="3">
        <f>SUMPRODUCT(Adds!$C$144:$BC$144,Curves!$V$15:$BV$15)</f>
        <v/>
      </c>
      <c r="BD53" s="3">
        <f>SUMPRODUCT(Adds!$C$144:$BD$144,Curves!$U$15:$BV$15)</f>
        <v/>
      </c>
      <c r="BE53" s="3">
        <f>SUMPRODUCT(Adds!$C$144:$BE$144,Curves!$T$15:$BV$15)</f>
        <v/>
      </c>
      <c r="BF53" s="3">
        <f>SUMPRODUCT(Adds!$C$144:$BF$144,Curves!$S$15:$BV$15)</f>
        <v/>
      </c>
      <c r="BG53" s="3">
        <f>SUMPRODUCT(Adds!$C$144:$BG$144,Curves!$R$15:$BV$15)</f>
        <v/>
      </c>
      <c r="BH53" s="3">
        <f>SUMPRODUCT(Adds!$C$144:$BH$144,Curves!$Q$15:$BV$15)</f>
        <v/>
      </c>
      <c r="BI53" s="3">
        <f>SUMPRODUCT(Adds!$C$144:$BI$144,Curves!$P$15:$BV$15)</f>
        <v/>
      </c>
      <c r="BJ53" s="3">
        <f>SUMPRODUCT(Adds!$C$144:$BJ$144,Curves!$O$15:$BV$15)</f>
        <v/>
      </c>
      <c r="BK53" s="3">
        <f>SUMPRODUCT(Adds!$C$144:$BK$144,Curves!$N$15:$BV$15)</f>
        <v/>
      </c>
      <c r="BL53" s="3">
        <f>SUMPRODUCT(Adds!$C$144:$BL$144,Curves!$M$15:$BV$15)</f>
        <v/>
      </c>
      <c r="BM53" s="3">
        <f>SUMPRODUCT(Adds!$C$144:$BM$144,Curves!$L$15:$BV$15)</f>
        <v/>
      </c>
      <c r="BN53" s="3">
        <f>SUMPRODUCT(Adds!$C$144:$BN$144,Curves!$K$15:$BV$15)</f>
        <v/>
      </c>
      <c r="BO53" s="3">
        <f>SUMPRODUCT(Adds!$C$144:$BO$144,Curves!$J$15:$BV$15)</f>
        <v/>
      </c>
      <c r="BP53" s="3">
        <f>SUMPRODUCT(Adds!$C$144:$BP$144,Curves!$I$15:$BV$15)</f>
        <v/>
      </c>
      <c r="BQ53" s="3">
        <f>SUMPRODUCT(Adds!$C$144:$BQ$144,Curves!$H$15:$BV$15)</f>
        <v/>
      </c>
      <c r="BR53" s="3">
        <f>SUMPRODUCT(Adds!$C$144:$BR$144,Curves!$G$15:$BV$15)</f>
        <v/>
      </c>
      <c r="BS53" s="3">
        <f>SUMPRODUCT(Adds!$C$144:$BS$144,Curves!$F$15:$BV$15)</f>
        <v/>
      </c>
      <c r="BT53" s="3">
        <f>SUMPRODUCT(Adds!$C$144:$BT$144,Curves!$E$15:$BV$15)</f>
        <v/>
      </c>
      <c r="BU53" s="3">
        <f>SUMPRODUCT(Adds!$C$144:$BU$144,Curves!$D$15:$BV$15)</f>
        <v/>
      </c>
      <c r="BV53" s="3">
        <f>SUMPRODUCT(Adds!$C$144:$BV$144,Curves!$C$15:$BV$15)</f>
        <v/>
      </c>
    </row>
    <row r="55">
      <c r="A55" t="inlineStr">
        <is>
          <t>active</t>
        </is>
      </c>
      <c r="B55" t="inlineStr">
        <is>
          <t>APAC|NITRO_A</t>
        </is>
      </c>
      <c r="C55" s="3">
        <f>Adds!$C$155*Curves!$BV$14</f>
        <v/>
      </c>
      <c r="D55" s="3">
        <f>SUMPRODUCT(Adds!$C$155:$D$155,Curves!$BU$14:$BV$14)</f>
        <v/>
      </c>
      <c r="E55" s="3">
        <f>SUMPRODUCT(Adds!$C$155:$E$155,Curves!$BT$14:$BV$14)</f>
        <v/>
      </c>
      <c r="F55" s="3">
        <f>SUMPRODUCT(Adds!$C$155:$F$155,Curves!$BS$14:$BV$14)</f>
        <v/>
      </c>
      <c r="G55" s="3">
        <f>SUMPRODUCT(Adds!$C$155:$G$155,Curves!$BR$14:$BV$14)</f>
        <v/>
      </c>
      <c r="H55" s="3">
        <f>SUMPRODUCT(Adds!$C$155:$H$155,Curves!$BQ$14:$BV$14)</f>
        <v/>
      </c>
      <c r="I55" s="3">
        <f>SUMPRODUCT(Adds!$C$155:$I$155,Curves!$BP$14:$BV$14)</f>
        <v/>
      </c>
      <c r="J55" s="3">
        <f>SUMPRODUCT(Adds!$C$155:$J$155,Curves!$BO$14:$BV$14)</f>
        <v/>
      </c>
      <c r="K55" s="3">
        <f>SUMPRODUCT(Adds!$C$155:$K$155,Curves!$BN$14:$BV$14)</f>
        <v/>
      </c>
      <c r="L55" s="3">
        <f>SUMPRODUCT(Adds!$C$155:$L$155,Curves!$BM$14:$BV$14)</f>
        <v/>
      </c>
      <c r="M55" s="3">
        <f>SUMPRODUCT(Adds!$C$155:$M$155,Curves!$BL$14:$BV$14)</f>
        <v/>
      </c>
      <c r="N55" s="3">
        <f>SUMPRODUCT(Adds!$C$155:$N$155,Curves!$BK$14:$BV$14)</f>
        <v/>
      </c>
      <c r="O55" s="3">
        <f>SUMPRODUCT(Adds!$C$155:$O$155,Curves!$BJ$14:$BV$14)</f>
        <v/>
      </c>
      <c r="P55" s="3">
        <f>SUMPRODUCT(Adds!$C$155:$P$155,Curves!$BI$14:$BV$14)</f>
        <v/>
      </c>
      <c r="Q55" s="3">
        <f>SUMPRODUCT(Adds!$C$155:$Q$155,Curves!$BH$14:$BV$14)</f>
        <v/>
      </c>
      <c r="R55" s="3">
        <f>SUMPRODUCT(Adds!$C$155:$R$155,Curves!$BG$14:$BV$14)</f>
        <v/>
      </c>
      <c r="S55" s="3">
        <f>SUMPRODUCT(Adds!$C$155:$S$155,Curves!$BF$14:$BV$14)</f>
        <v/>
      </c>
      <c r="T55" s="3">
        <f>SUMPRODUCT(Adds!$C$155:$T$155,Curves!$BE$14:$BV$14)</f>
        <v/>
      </c>
      <c r="U55" s="3">
        <f>SUMPRODUCT(Adds!$C$155:$U$155,Curves!$BD$14:$BV$14)</f>
        <v/>
      </c>
      <c r="V55" s="3">
        <f>SUMPRODUCT(Adds!$C$155:$V$155,Curves!$BC$14:$BV$14)</f>
        <v/>
      </c>
      <c r="W55" s="3">
        <f>SUMPRODUCT(Adds!$C$155:$W$155,Curves!$BB$14:$BV$14)</f>
        <v/>
      </c>
      <c r="X55" s="3">
        <f>SUMPRODUCT(Adds!$C$155:$X$155,Curves!$BA$14:$BV$14)</f>
        <v/>
      </c>
      <c r="Y55" s="3">
        <f>SUMPRODUCT(Adds!$C$155:$Y$155,Curves!$AZ$14:$BV$14)</f>
        <v/>
      </c>
      <c r="Z55" s="3">
        <f>SUMPRODUCT(Adds!$C$155:$Z$155,Curves!$AY$14:$BV$14)</f>
        <v/>
      </c>
      <c r="AA55" s="3">
        <f>SUMPRODUCT(Adds!$C$155:$AA$155,Curves!$AX$14:$BV$14)</f>
        <v/>
      </c>
      <c r="AB55" s="3">
        <f>SUMPRODUCT(Adds!$C$155:$AB$155,Curves!$AW$14:$BV$14)</f>
        <v/>
      </c>
      <c r="AC55" s="3">
        <f>SUMPRODUCT(Adds!$C$155:$AC$155,Curves!$AV$14:$BV$14)</f>
        <v/>
      </c>
      <c r="AD55" s="3">
        <f>SUMPRODUCT(Adds!$C$155:$AD$155,Curves!$AU$14:$BV$14)</f>
        <v/>
      </c>
      <c r="AE55" s="3">
        <f>SUMPRODUCT(Adds!$C$155:$AE$155,Curves!$AT$14:$BV$14)</f>
        <v/>
      </c>
      <c r="AF55" s="3">
        <f>SUMPRODUCT(Adds!$C$155:$AF$155,Curves!$AS$14:$BV$14)</f>
        <v/>
      </c>
      <c r="AG55" s="3">
        <f>SUMPRODUCT(Adds!$C$155:$AG$155,Curves!$AR$14:$BV$14)</f>
        <v/>
      </c>
      <c r="AH55" s="3">
        <f>SUMPRODUCT(Adds!$C$155:$AH$155,Curves!$AQ$14:$BV$14)</f>
        <v/>
      </c>
      <c r="AI55" s="3">
        <f>SUMPRODUCT(Adds!$C$155:$AI$155,Curves!$AP$14:$BV$14)</f>
        <v/>
      </c>
      <c r="AJ55" s="3">
        <f>SUMPRODUCT(Adds!$C$155:$AJ$155,Curves!$AO$14:$BV$14)</f>
        <v/>
      </c>
      <c r="AK55" s="3">
        <f>SUMPRODUCT(Adds!$C$155:$AK$155,Curves!$AN$14:$BV$14)</f>
        <v/>
      </c>
      <c r="AL55" s="3">
        <f>SUMPRODUCT(Adds!$C$155:$AL$155,Curves!$AM$14:$BV$14)</f>
        <v/>
      </c>
      <c r="AM55" s="3">
        <f>SUMPRODUCT(Adds!$C$155:$AM$155,Curves!$AL$14:$BV$14)</f>
        <v/>
      </c>
      <c r="AN55" s="3">
        <f>SUMPRODUCT(Adds!$C$155:$AN$155,Curves!$AK$14:$BV$14)</f>
        <v/>
      </c>
      <c r="AO55" s="3">
        <f>SUMPRODUCT(Adds!$C$155:$AO$155,Curves!$AJ$14:$BV$14)</f>
        <v/>
      </c>
      <c r="AP55" s="3">
        <f>SUMPRODUCT(Adds!$C$155:$AP$155,Curves!$AI$14:$BV$14)</f>
        <v/>
      </c>
      <c r="AQ55" s="3">
        <f>SUMPRODUCT(Adds!$C$155:$AQ$155,Curves!$AH$14:$BV$14)</f>
        <v/>
      </c>
      <c r="AR55" s="3">
        <f>SUMPRODUCT(Adds!$C$155:$AR$155,Curves!$AG$14:$BV$14)</f>
        <v/>
      </c>
      <c r="AS55" s="3">
        <f>SUMPRODUCT(Adds!$C$155:$AS$155,Curves!$AF$14:$BV$14)</f>
        <v/>
      </c>
      <c r="AT55" s="3">
        <f>SUMPRODUCT(Adds!$C$155:$AT$155,Curves!$AE$14:$BV$14)</f>
        <v/>
      </c>
      <c r="AU55" s="3">
        <f>SUMPRODUCT(Adds!$C$155:$AU$155,Curves!$AD$14:$BV$14)</f>
        <v/>
      </c>
      <c r="AV55" s="3">
        <f>SUMPRODUCT(Adds!$C$155:$AV$155,Curves!$AC$14:$BV$14)</f>
        <v/>
      </c>
      <c r="AW55" s="3">
        <f>SUMPRODUCT(Adds!$C$155:$AW$155,Curves!$AB$14:$BV$14)</f>
        <v/>
      </c>
      <c r="AX55" s="3">
        <f>SUMPRODUCT(Adds!$C$155:$AX$155,Curves!$AA$14:$BV$14)</f>
        <v/>
      </c>
      <c r="AY55" s="3">
        <f>SUMPRODUCT(Adds!$C$155:$AY$155,Curves!$Z$14:$BV$14)</f>
        <v/>
      </c>
      <c r="AZ55" s="3">
        <f>SUMPRODUCT(Adds!$C$155:$AZ$155,Curves!$Y$14:$BV$14)</f>
        <v/>
      </c>
      <c r="BA55" s="3">
        <f>SUMPRODUCT(Adds!$C$155:$BA$155,Curves!$X$14:$BV$14)</f>
        <v/>
      </c>
      <c r="BB55" s="3">
        <f>SUMPRODUCT(Adds!$C$155:$BB$155,Curves!$W$14:$BV$14)</f>
        <v/>
      </c>
      <c r="BC55" s="3">
        <f>SUMPRODUCT(Adds!$C$155:$BC$155,Curves!$V$14:$BV$14)</f>
        <v/>
      </c>
      <c r="BD55" s="3">
        <f>SUMPRODUCT(Adds!$C$155:$BD$155,Curves!$U$14:$BV$14)</f>
        <v/>
      </c>
      <c r="BE55" s="3">
        <f>SUMPRODUCT(Adds!$C$155:$BE$155,Curves!$T$14:$BV$14)</f>
        <v/>
      </c>
      <c r="BF55" s="3">
        <f>SUMPRODUCT(Adds!$C$155:$BF$155,Curves!$S$14:$BV$14)</f>
        <v/>
      </c>
      <c r="BG55" s="3">
        <f>SUMPRODUCT(Adds!$C$155:$BG$155,Curves!$R$14:$BV$14)</f>
        <v/>
      </c>
      <c r="BH55" s="3">
        <f>SUMPRODUCT(Adds!$C$155:$BH$155,Curves!$Q$14:$BV$14)</f>
        <v/>
      </c>
      <c r="BI55" s="3">
        <f>SUMPRODUCT(Adds!$C$155:$BI$155,Curves!$P$14:$BV$14)</f>
        <v/>
      </c>
      <c r="BJ55" s="3">
        <f>SUMPRODUCT(Adds!$C$155:$BJ$155,Curves!$O$14:$BV$14)</f>
        <v/>
      </c>
      <c r="BK55" s="3">
        <f>SUMPRODUCT(Adds!$C$155:$BK$155,Curves!$N$14:$BV$14)</f>
        <v/>
      </c>
      <c r="BL55" s="3">
        <f>SUMPRODUCT(Adds!$C$155:$BL$155,Curves!$M$14:$BV$14)</f>
        <v/>
      </c>
      <c r="BM55" s="3">
        <f>SUMPRODUCT(Adds!$C$155:$BM$155,Curves!$L$14:$BV$14)</f>
        <v/>
      </c>
      <c r="BN55" s="3">
        <f>SUMPRODUCT(Adds!$C$155:$BN$155,Curves!$K$14:$BV$14)</f>
        <v/>
      </c>
      <c r="BO55" s="3">
        <f>SUMPRODUCT(Adds!$C$155:$BO$155,Curves!$J$14:$BV$14)</f>
        <v/>
      </c>
      <c r="BP55" s="3">
        <f>SUMPRODUCT(Adds!$C$155:$BP$155,Curves!$I$14:$BV$14)</f>
        <v/>
      </c>
      <c r="BQ55" s="3">
        <f>SUMPRODUCT(Adds!$C$155:$BQ$155,Curves!$H$14:$BV$14)</f>
        <v/>
      </c>
      <c r="BR55" s="3">
        <f>SUMPRODUCT(Adds!$C$155:$BR$155,Curves!$G$14:$BV$14)</f>
        <v/>
      </c>
      <c r="BS55" s="3">
        <f>SUMPRODUCT(Adds!$C$155:$BS$155,Curves!$F$14:$BV$14)</f>
        <v/>
      </c>
      <c r="BT55" s="3">
        <f>SUMPRODUCT(Adds!$C$155:$BT$155,Curves!$E$14:$BV$14)</f>
        <v/>
      </c>
      <c r="BU55" s="3">
        <f>SUMPRODUCT(Adds!$C$155:$BU$155,Curves!$D$14:$BV$14)</f>
        <v/>
      </c>
      <c r="BV55" s="3">
        <f>SUMPRODUCT(Adds!$C$155:$BV$155,Curves!$C$14:$BV$14)</f>
        <v/>
      </c>
    </row>
    <row r="56">
      <c r="A56" t="inlineStr">
        <is>
          <t>active yr 1</t>
        </is>
      </c>
      <c r="B56" t="inlineStr">
        <is>
          <t>APAC|NITRO_A</t>
        </is>
      </c>
      <c r="C56" s="3">
        <f>Adds!$C$155*Curves!$BV$21</f>
        <v/>
      </c>
      <c r="D56" s="3">
        <f>SUMPRODUCT(Adds!$C$155:$D$155,Curves!$BU$21:$BV$21)</f>
        <v/>
      </c>
      <c r="E56" s="3">
        <f>SUMPRODUCT(Adds!$C$155:$E$155,Curves!$BT$21:$BV$21)</f>
        <v/>
      </c>
      <c r="F56" s="3">
        <f>SUMPRODUCT(Adds!$C$155:$F$155,Curves!$BS$21:$BV$21)</f>
        <v/>
      </c>
      <c r="G56" s="3">
        <f>SUMPRODUCT(Adds!$C$155:$G$155,Curves!$BR$21:$BV$21)</f>
        <v/>
      </c>
      <c r="H56" s="3">
        <f>SUMPRODUCT(Adds!$C$155:$H$155,Curves!$BQ$21:$BV$21)</f>
        <v/>
      </c>
      <c r="I56" s="3">
        <f>SUMPRODUCT(Adds!$C$155:$I$155,Curves!$BP$21:$BV$21)</f>
        <v/>
      </c>
      <c r="J56" s="3">
        <f>SUMPRODUCT(Adds!$C$155:$J$155,Curves!$BO$21:$BV$21)</f>
        <v/>
      </c>
      <c r="K56" s="3">
        <f>SUMPRODUCT(Adds!$C$155:$K$155,Curves!$BN$21:$BV$21)</f>
        <v/>
      </c>
      <c r="L56" s="3">
        <f>SUMPRODUCT(Adds!$C$155:$L$155,Curves!$BM$21:$BV$21)</f>
        <v/>
      </c>
      <c r="M56" s="3">
        <f>SUMPRODUCT(Adds!$C$155:$M$155,Curves!$BL$21:$BV$21)</f>
        <v/>
      </c>
      <c r="N56" s="3">
        <f>SUMPRODUCT(Adds!$C$155:$N$155,Curves!$BK$21:$BV$21)</f>
        <v/>
      </c>
      <c r="O56" s="3">
        <f>SUMPRODUCT(Adds!$C$155:$O$155,Curves!$BJ$21:$BV$21)</f>
        <v/>
      </c>
      <c r="P56" s="3">
        <f>SUMPRODUCT(Adds!$C$155:$P$155,Curves!$BI$21:$BV$21)</f>
        <v/>
      </c>
      <c r="Q56" s="3">
        <f>SUMPRODUCT(Adds!$C$155:$Q$155,Curves!$BH$21:$BV$21)</f>
        <v/>
      </c>
      <c r="R56" s="3">
        <f>SUMPRODUCT(Adds!$C$155:$R$155,Curves!$BG$21:$BV$21)</f>
        <v/>
      </c>
      <c r="S56" s="3">
        <f>SUMPRODUCT(Adds!$C$155:$S$155,Curves!$BF$21:$BV$21)</f>
        <v/>
      </c>
      <c r="T56" s="3">
        <f>SUMPRODUCT(Adds!$C$155:$T$155,Curves!$BE$21:$BV$21)</f>
        <v/>
      </c>
      <c r="U56" s="3">
        <f>SUMPRODUCT(Adds!$C$155:$U$155,Curves!$BD$21:$BV$21)</f>
        <v/>
      </c>
      <c r="V56" s="3">
        <f>SUMPRODUCT(Adds!$C$155:$V$155,Curves!$BC$21:$BV$21)</f>
        <v/>
      </c>
      <c r="W56" s="3">
        <f>SUMPRODUCT(Adds!$C$155:$W$155,Curves!$BB$21:$BV$21)</f>
        <v/>
      </c>
      <c r="X56" s="3">
        <f>SUMPRODUCT(Adds!$C$155:$X$155,Curves!$BA$21:$BV$21)</f>
        <v/>
      </c>
      <c r="Y56" s="3">
        <f>SUMPRODUCT(Adds!$C$155:$Y$155,Curves!$AZ$21:$BV$21)</f>
        <v/>
      </c>
      <c r="Z56" s="3">
        <f>SUMPRODUCT(Adds!$C$155:$Z$155,Curves!$AY$21:$BV$21)</f>
        <v/>
      </c>
      <c r="AA56" s="3">
        <f>SUMPRODUCT(Adds!$C$155:$AA$155,Curves!$AX$21:$BV$21)</f>
        <v/>
      </c>
      <c r="AB56" s="3">
        <f>SUMPRODUCT(Adds!$C$155:$AB$155,Curves!$AW$21:$BV$21)</f>
        <v/>
      </c>
      <c r="AC56" s="3">
        <f>SUMPRODUCT(Adds!$C$155:$AC$155,Curves!$AV$21:$BV$21)</f>
        <v/>
      </c>
      <c r="AD56" s="3">
        <f>SUMPRODUCT(Adds!$C$155:$AD$155,Curves!$AU$21:$BV$21)</f>
        <v/>
      </c>
      <c r="AE56" s="3">
        <f>SUMPRODUCT(Adds!$C$155:$AE$155,Curves!$AT$21:$BV$21)</f>
        <v/>
      </c>
      <c r="AF56" s="3">
        <f>SUMPRODUCT(Adds!$C$155:$AF$155,Curves!$AS$21:$BV$21)</f>
        <v/>
      </c>
      <c r="AG56" s="3">
        <f>SUMPRODUCT(Adds!$C$155:$AG$155,Curves!$AR$21:$BV$21)</f>
        <v/>
      </c>
      <c r="AH56" s="3">
        <f>SUMPRODUCT(Adds!$C$155:$AH$155,Curves!$AQ$21:$BV$21)</f>
        <v/>
      </c>
      <c r="AI56" s="3">
        <f>SUMPRODUCT(Adds!$C$155:$AI$155,Curves!$AP$21:$BV$21)</f>
        <v/>
      </c>
      <c r="AJ56" s="3">
        <f>SUMPRODUCT(Adds!$C$155:$AJ$155,Curves!$AO$21:$BV$21)</f>
        <v/>
      </c>
      <c r="AK56" s="3">
        <f>SUMPRODUCT(Adds!$C$155:$AK$155,Curves!$AN$21:$BV$21)</f>
        <v/>
      </c>
      <c r="AL56" s="3">
        <f>SUMPRODUCT(Adds!$C$155:$AL$155,Curves!$AM$21:$BV$21)</f>
        <v/>
      </c>
      <c r="AM56" s="3">
        <f>SUMPRODUCT(Adds!$C$155:$AM$155,Curves!$AL$21:$BV$21)</f>
        <v/>
      </c>
      <c r="AN56" s="3">
        <f>SUMPRODUCT(Adds!$C$155:$AN$155,Curves!$AK$21:$BV$21)</f>
        <v/>
      </c>
      <c r="AO56" s="3">
        <f>SUMPRODUCT(Adds!$C$155:$AO$155,Curves!$AJ$21:$BV$21)</f>
        <v/>
      </c>
      <c r="AP56" s="3">
        <f>SUMPRODUCT(Adds!$C$155:$AP$155,Curves!$AI$21:$BV$21)</f>
        <v/>
      </c>
      <c r="AQ56" s="3">
        <f>SUMPRODUCT(Adds!$C$155:$AQ$155,Curves!$AH$21:$BV$21)</f>
        <v/>
      </c>
      <c r="AR56" s="3">
        <f>SUMPRODUCT(Adds!$C$155:$AR$155,Curves!$AG$21:$BV$21)</f>
        <v/>
      </c>
      <c r="AS56" s="3">
        <f>SUMPRODUCT(Adds!$C$155:$AS$155,Curves!$AF$21:$BV$21)</f>
        <v/>
      </c>
      <c r="AT56" s="3">
        <f>SUMPRODUCT(Adds!$C$155:$AT$155,Curves!$AE$21:$BV$21)</f>
        <v/>
      </c>
      <c r="AU56" s="3">
        <f>SUMPRODUCT(Adds!$C$155:$AU$155,Curves!$AD$21:$BV$21)</f>
        <v/>
      </c>
      <c r="AV56" s="3">
        <f>SUMPRODUCT(Adds!$C$155:$AV$155,Curves!$AC$21:$BV$21)</f>
        <v/>
      </c>
      <c r="AW56" s="3">
        <f>SUMPRODUCT(Adds!$C$155:$AW$155,Curves!$AB$21:$BV$21)</f>
        <v/>
      </c>
      <c r="AX56" s="3">
        <f>SUMPRODUCT(Adds!$C$155:$AX$155,Curves!$AA$21:$BV$21)</f>
        <v/>
      </c>
      <c r="AY56" s="3">
        <f>SUMPRODUCT(Adds!$C$155:$AY$155,Curves!$Z$21:$BV$21)</f>
        <v/>
      </c>
      <c r="AZ56" s="3">
        <f>SUMPRODUCT(Adds!$C$155:$AZ$155,Curves!$Y$21:$BV$21)</f>
        <v/>
      </c>
      <c r="BA56" s="3">
        <f>SUMPRODUCT(Adds!$C$155:$BA$155,Curves!$X$21:$BV$21)</f>
        <v/>
      </c>
      <c r="BB56" s="3">
        <f>SUMPRODUCT(Adds!$C$155:$BB$155,Curves!$W$21:$BV$21)</f>
        <v/>
      </c>
      <c r="BC56" s="3">
        <f>SUMPRODUCT(Adds!$C$155:$BC$155,Curves!$V$21:$BV$21)</f>
        <v/>
      </c>
      <c r="BD56" s="3">
        <f>SUMPRODUCT(Adds!$C$155:$BD$155,Curves!$U$21:$BV$21)</f>
        <v/>
      </c>
      <c r="BE56" s="3">
        <f>SUMPRODUCT(Adds!$C$155:$BE$155,Curves!$T$21:$BV$21)</f>
        <v/>
      </c>
      <c r="BF56" s="3">
        <f>SUMPRODUCT(Adds!$C$155:$BF$155,Curves!$S$21:$BV$21)</f>
        <v/>
      </c>
      <c r="BG56" s="3">
        <f>SUMPRODUCT(Adds!$C$155:$BG$155,Curves!$R$21:$BV$21)</f>
        <v/>
      </c>
      <c r="BH56" s="3">
        <f>SUMPRODUCT(Adds!$C$155:$BH$155,Curves!$Q$21:$BV$21)</f>
        <v/>
      </c>
      <c r="BI56" s="3">
        <f>SUMPRODUCT(Adds!$C$155:$BI$155,Curves!$P$21:$BV$21)</f>
        <v/>
      </c>
      <c r="BJ56" s="3">
        <f>SUMPRODUCT(Adds!$C$155:$BJ$155,Curves!$O$21:$BV$21)</f>
        <v/>
      </c>
      <c r="BK56" s="3">
        <f>SUMPRODUCT(Adds!$C$155:$BK$155,Curves!$N$21:$BV$21)</f>
        <v/>
      </c>
      <c r="BL56" s="3">
        <f>SUMPRODUCT(Adds!$C$155:$BL$155,Curves!$M$21:$BV$21)</f>
        <v/>
      </c>
      <c r="BM56" s="3">
        <f>SUMPRODUCT(Adds!$C$155:$BM$155,Curves!$L$21:$BV$21)</f>
        <v/>
      </c>
      <c r="BN56" s="3">
        <f>SUMPRODUCT(Adds!$C$155:$BN$155,Curves!$K$21:$BV$21)</f>
        <v/>
      </c>
      <c r="BO56" s="3">
        <f>SUMPRODUCT(Adds!$C$155:$BO$155,Curves!$J$21:$BV$21)</f>
        <v/>
      </c>
      <c r="BP56" s="3">
        <f>SUMPRODUCT(Adds!$C$155:$BP$155,Curves!$I$21:$BV$21)</f>
        <v/>
      </c>
      <c r="BQ56" s="3">
        <f>SUMPRODUCT(Adds!$C$155:$BQ$155,Curves!$H$21:$BV$21)</f>
        <v/>
      </c>
      <c r="BR56" s="3">
        <f>SUMPRODUCT(Adds!$C$155:$BR$155,Curves!$G$21:$BV$21)</f>
        <v/>
      </c>
      <c r="BS56" s="3">
        <f>SUMPRODUCT(Adds!$C$155:$BS$155,Curves!$F$21:$BV$21)</f>
        <v/>
      </c>
      <c r="BT56" s="3">
        <f>SUMPRODUCT(Adds!$C$155:$BT$155,Curves!$E$21:$BV$21)</f>
        <v/>
      </c>
      <c r="BU56" s="3">
        <f>SUMPRODUCT(Adds!$C$155:$BU$155,Curves!$D$21:$BV$21)</f>
        <v/>
      </c>
      <c r="BV56" s="3">
        <f>SUMPRODUCT(Adds!$C$155:$BV$155,Curves!$C$21:$BV$21)</f>
        <v/>
      </c>
    </row>
    <row r="57">
      <c r="A57" t="inlineStr">
        <is>
          <t>churned</t>
        </is>
      </c>
      <c r="B57" t="inlineStr">
        <is>
          <t>APAC|NITRO_A</t>
        </is>
      </c>
      <c r="C57" s="3">
        <f>Adds!$C$155*Curves!$BV$16</f>
        <v/>
      </c>
      <c r="D57" s="3">
        <f>SUMPRODUCT(Adds!$C$155:$D$155,Curves!$BU$16:$BV$16)</f>
        <v/>
      </c>
      <c r="E57" s="3">
        <f>SUMPRODUCT(Adds!$C$155:$E$155,Curves!$BT$16:$BV$16)</f>
        <v/>
      </c>
      <c r="F57" s="3">
        <f>SUMPRODUCT(Adds!$C$155:$F$155,Curves!$BS$16:$BV$16)</f>
        <v/>
      </c>
      <c r="G57" s="3">
        <f>SUMPRODUCT(Adds!$C$155:$G$155,Curves!$BR$16:$BV$16)</f>
        <v/>
      </c>
      <c r="H57" s="3">
        <f>SUMPRODUCT(Adds!$C$155:$H$155,Curves!$BQ$16:$BV$16)</f>
        <v/>
      </c>
      <c r="I57" s="3">
        <f>SUMPRODUCT(Adds!$C$155:$I$155,Curves!$BP$16:$BV$16)</f>
        <v/>
      </c>
      <c r="J57" s="3">
        <f>SUMPRODUCT(Adds!$C$155:$J$155,Curves!$BO$16:$BV$16)</f>
        <v/>
      </c>
      <c r="K57" s="3">
        <f>SUMPRODUCT(Adds!$C$155:$K$155,Curves!$BN$16:$BV$16)</f>
        <v/>
      </c>
      <c r="L57" s="3">
        <f>SUMPRODUCT(Adds!$C$155:$L$155,Curves!$BM$16:$BV$16)</f>
        <v/>
      </c>
      <c r="M57" s="3">
        <f>SUMPRODUCT(Adds!$C$155:$M$155,Curves!$BL$16:$BV$16)</f>
        <v/>
      </c>
      <c r="N57" s="3">
        <f>SUMPRODUCT(Adds!$C$155:$N$155,Curves!$BK$16:$BV$16)</f>
        <v/>
      </c>
      <c r="O57" s="3">
        <f>SUMPRODUCT(Adds!$C$155:$O$155,Curves!$BJ$16:$BV$16)</f>
        <v/>
      </c>
      <c r="P57" s="3">
        <f>SUMPRODUCT(Adds!$C$155:$P$155,Curves!$BI$16:$BV$16)</f>
        <v/>
      </c>
      <c r="Q57" s="3">
        <f>SUMPRODUCT(Adds!$C$155:$Q$155,Curves!$BH$16:$BV$16)</f>
        <v/>
      </c>
      <c r="R57" s="3">
        <f>SUMPRODUCT(Adds!$C$155:$R$155,Curves!$BG$16:$BV$16)</f>
        <v/>
      </c>
      <c r="S57" s="3">
        <f>SUMPRODUCT(Adds!$C$155:$S$155,Curves!$BF$16:$BV$16)</f>
        <v/>
      </c>
      <c r="T57" s="3">
        <f>SUMPRODUCT(Adds!$C$155:$T$155,Curves!$BE$16:$BV$16)</f>
        <v/>
      </c>
      <c r="U57" s="3">
        <f>SUMPRODUCT(Adds!$C$155:$U$155,Curves!$BD$16:$BV$16)</f>
        <v/>
      </c>
      <c r="V57" s="3">
        <f>SUMPRODUCT(Adds!$C$155:$V$155,Curves!$BC$16:$BV$16)</f>
        <v/>
      </c>
      <c r="W57" s="3">
        <f>SUMPRODUCT(Adds!$C$155:$W$155,Curves!$BB$16:$BV$16)</f>
        <v/>
      </c>
      <c r="X57" s="3">
        <f>SUMPRODUCT(Adds!$C$155:$X$155,Curves!$BA$16:$BV$16)</f>
        <v/>
      </c>
      <c r="Y57" s="3">
        <f>SUMPRODUCT(Adds!$C$155:$Y$155,Curves!$AZ$16:$BV$16)</f>
        <v/>
      </c>
      <c r="Z57" s="3">
        <f>SUMPRODUCT(Adds!$C$155:$Z$155,Curves!$AY$16:$BV$16)</f>
        <v/>
      </c>
      <c r="AA57" s="3">
        <f>SUMPRODUCT(Adds!$C$155:$AA$155,Curves!$AX$16:$BV$16)</f>
        <v/>
      </c>
      <c r="AB57" s="3">
        <f>SUMPRODUCT(Adds!$C$155:$AB$155,Curves!$AW$16:$BV$16)</f>
        <v/>
      </c>
      <c r="AC57" s="3">
        <f>SUMPRODUCT(Adds!$C$155:$AC$155,Curves!$AV$16:$BV$16)</f>
        <v/>
      </c>
      <c r="AD57" s="3">
        <f>SUMPRODUCT(Adds!$C$155:$AD$155,Curves!$AU$16:$BV$16)</f>
        <v/>
      </c>
      <c r="AE57" s="3">
        <f>SUMPRODUCT(Adds!$C$155:$AE$155,Curves!$AT$16:$BV$16)</f>
        <v/>
      </c>
      <c r="AF57" s="3">
        <f>SUMPRODUCT(Adds!$C$155:$AF$155,Curves!$AS$16:$BV$16)</f>
        <v/>
      </c>
      <c r="AG57" s="3">
        <f>SUMPRODUCT(Adds!$C$155:$AG$155,Curves!$AR$16:$BV$16)</f>
        <v/>
      </c>
      <c r="AH57" s="3">
        <f>SUMPRODUCT(Adds!$C$155:$AH$155,Curves!$AQ$16:$BV$16)</f>
        <v/>
      </c>
      <c r="AI57" s="3">
        <f>SUMPRODUCT(Adds!$C$155:$AI$155,Curves!$AP$16:$BV$16)</f>
        <v/>
      </c>
      <c r="AJ57" s="3">
        <f>SUMPRODUCT(Adds!$C$155:$AJ$155,Curves!$AO$16:$BV$16)</f>
        <v/>
      </c>
      <c r="AK57" s="3">
        <f>SUMPRODUCT(Adds!$C$155:$AK$155,Curves!$AN$16:$BV$16)</f>
        <v/>
      </c>
      <c r="AL57" s="3">
        <f>SUMPRODUCT(Adds!$C$155:$AL$155,Curves!$AM$16:$BV$16)</f>
        <v/>
      </c>
      <c r="AM57" s="3">
        <f>SUMPRODUCT(Adds!$C$155:$AM$155,Curves!$AL$16:$BV$16)</f>
        <v/>
      </c>
      <c r="AN57" s="3">
        <f>SUMPRODUCT(Adds!$C$155:$AN$155,Curves!$AK$16:$BV$16)</f>
        <v/>
      </c>
      <c r="AO57" s="3">
        <f>SUMPRODUCT(Adds!$C$155:$AO$155,Curves!$AJ$16:$BV$16)</f>
        <v/>
      </c>
      <c r="AP57" s="3">
        <f>SUMPRODUCT(Adds!$C$155:$AP$155,Curves!$AI$16:$BV$16)</f>
        <v/>
      </c>
      <c r="AQ57" s="3">
        <f>SUMPRODUCT(Adds!$C$155:$AQ$155,Curves!$AH$16:$BV$16)</f>
        <v/>
      </c>
      <c r="AR57" s="3">
        <f>SUMPRODUCT(Adds!$C$155:$AR$155,Curves!$AG$16:$BV$16)</f>
        <v/>
      </c>
      <c r="AS57" s="3">
        <f>SUMPRODUCT(Adds!$C$155:$AS$155,Curves!$AF$16:$BV$16)</f>
        <v/>
      </c>
      <c r="AT57" s="3">
        <f>SUMPRODUCT(Adds!$C$155:$AT$155,Curves!$AE$16:$BV$16)</f>
        <v/>
      </c>
      <c r="AU57" s="3">
        <f>SUMPRODUCT(Adds!$C$155:$AU$155,Curves!$AD$16:$BV$16)</f>
        <v/>
      </c>
      <c r="AV57" s="3">
        <f>SUMPRODUCT(Adds!$C$155:$AV$155,Curves!$AC$16:$BV$16)</f>
        <v/>
      </c>
      <c r="AW57" s="3">
        <f>SUMPRODUCT(Adds!$C$155:$AW$155,Curves!$AB$16:$BV$16)</f>
        <v/>
      </c>
      <c r="AX57" s="3">
        <f>SUMPRODUCT(Adds!$C$155:$AX$155,Curves!$AA$16:$BV$16)</f>
        <v/>
      </c>
      <c r="AY57" s="3">
        <f>SUMPRODUCT(Adds!$C$155:$AY$155,Curves!$Z$16:$BV$16)</f>
        <v/>
      </c>
      <c r="AZ57" s="3">
        <f>SUMPRODUCT(Adds!$C$155:$AZ$155,Curves!$Y$16:$BV$16)</f>
        <v/>
      </c>
      <c r="BA57" s="3">
        <f>SUMPRODUCT(Adds!$C$155:$BA$155,Curves!$X$16:$BV$16)</f>
        <v/>
      </c>
      <c r="BB57" s="3">
        <f>SUMPRODUCT(Adds!$C$155:$BB$155,Curves!$W$16:$BV$16)</f>
        <v/>
      </c>
      <c r="BC57" s="3">
        <f>SUMPRODUCT(Adds!$C$155:$BC$155,Curves!$V$16:$BV$16)</f>
        <v/>
      </c>
      <c r="BD57" s="3">
        <f>SUMPRODUCT(Adds!$C$155:$BD$155,Curves!$U$16:$BV$16)</f>
        <v/>
      </c>
      <c r="BE57" s="3">
        <f>SUMPRODUCT(Adds!$C$155:$BE$155,Curves!$T$16:$BV$16)</f>
        <v/>
      </c>
      <c r="BF57" s="3">
        <f>SUMPRODUCT(Adds!$C$155:$BF$155,Curves!$S$16:$BV$16)</f>
        <v/>
      </c>
      <c r="BG57" s="3">
        <f>SUMPRODUCT(Adds!$C$155:$BG$155,Curves!$R$16:$BV$16)</f>
        <v/>
      </c>
      <c r="BH57" s="3">
        <f>SUMPRODUCT(Adds!$C$155:$BH$155,Curves!$Q$16:$BV$16)</f>
        <v/>
      </c>
      <c r="BI57" s="3">
        <f>SUMPRODUCT(Adds!$C$155:$BI$155,Curves!$P$16:$BV$16)</f>
        <v/>
      </c>
      <c r="BJ57" s="3">
        <f>SUMPRODUCT(Adds!$C$155:$BJ$155,Curves!$O$16:$BV$16)</f>
        <v/>
      </c>
      <c r="BK57" s="3">
        <f>SUMPRODUCT(Adds!$C$155:$BK$155,Curves!$N$16:$BV$16)</f>
        <v/>
      </c>
      <c r="BL57" s="3">
        <f>SUMPRODUCT(Adds!$C$155:$BL$155,Curves!$M$16:$BV$16)</f>
        <v/>
      </c>
      <c r="BM57" s="3">
        <f>SUMPRODUCT(Adds!$C$155:$BM$155,Curves!$L$16:$BV$16)</f>
        <v/>
      </c>
      <c r="BN57" s="3">
        <f>SUMPRODUCT(Adds!$C$155:$BN$155,Curves!$K$16:$BV$16)</f>
        <v/>
      </c>
      <c r="BO57" s="3">
        <f>SUMPRODUCT(Adds!$C$155:$BO$155,Curves!$J$16:$BV$16)</f>
        <v/>
      </c>
      <c r="BP57" s="3">
        <f>SUMPRODUCT(Adds!$C$155:$BP$155,Curves!$I$16:$BV$16)</f>
        <v/>
      </c>
      <c r="BQ57" s="3">
        <f>SUMPRODUCT(Adds!$C$155:$BQ$155,Curves!$H$16:$BV$16)</f>
        <v/>
      </c>
      <c r="BR57" s="3">
        <f>SUMPRODUCT(Adds!$C$155:$BR$155,Curves!$G$16:$BV$16)</f>
        <v/>
      </c>
      <c r="BS57" s="3">
        <f>SUMPRODUCT(Adds!$C$155:$BS$155,Curves!$F$16:$BV$16)</f>
        <v/>
      </c>
      <c r="BT57" s="3">
        <f>SUMPRODUCT(Adds!$C$155:$BT$155,Curves!$E$16:$BV$16)</f>
        <v/>
      </c>
      <c r="BU57" s="3">
        <f>SUMPRODUCT(Adds!$C$155:$BU$155,Curves!$D$16:$BV$16)</f>
        <v/>
      </c>
      <c r="BV57" s="3">
        <f>SUMPRODUCT(Adds!$C$155:$BV$155,Curves!$C$16:$BV$16)</f>
        <v/>
      </c>
    </row>
    <row r="59">
      <c r="A59" t="inlineStr">
        <is>
          <t>active</t>
        </is>
      </c>
      <c r="B59" t="inlineStr">
        <is>
          <t>APAC|BASIC_M</t>
        </is>
      </c>
      <c r="C59" s="3">
        <f>Adds!$C$166*Curves!$BV$13</f>
        <v/>
      </c>
      <c r="D59" s="3">
        <f>SUMPRODUCT(Adds!$C$166:$D$166,Curves!$BU$13:$BV$13)</f>
        <v/>
      </c>
      <c r="E59" s="3">
        <f>SUMPRODUCT(Adds!$C$166:$E$166,Curves!$BT$13:$BV$13)</f>
        <v/>
      </c>
      <c r="F59" s="3">
        <f>SUMPRODUCT(Adds!$C$166:$F$166,Curves!$BS$13:$BV$13)</f>
        <v/>
      </c>
      <c r="G59" s="3">
        <f>SUMPRODUCT(Adds!$C$166:$G$166,Curves!$BR$13:$BV$13)</f>
        <v/>
      </c>
      <c r="H59" s="3">
        <f>SUMPRODUCT(Adds!$C$166:$H$166,Curves!$BQ$13:$BV$13)</f>
        <v/>
      </c>
      <c r="I59" s="3">
        <f>SUMPRODUCT(Adds!$C$166:$I$166,Curves!$BP$13:$BV$13)</f>
        <v/>
      </c>
      <c r="J59" s="3">
        <f>SUMPRODUCT(Adds!$C$166:$J$166,Curves!$BO$13:$BV$13)</f>
        <v/>
      </c>
      <c r="K59" s="3">
        <f>SUMPRODUCT(Adds!$C$166:$K$166,Curves!$BN$13:$BV$13)</f>
        <v/>
      </c>
      <c r="L59" s="3">
        <f>SUMPRODUCT(Adds!$C$166:$L$166,Curves!$BM$13:$BV$13)</f>
        <v/>
      </c>
      <c r="M59" s="3">
        <f>SUMPRODUCT(Adds!$C$166:$M$166,Curves!$BL$13:$BV$13)</f>
        <v/>
      </c>
      <c r="N59" s="3">
        <f>SUMPRODUCT(Adds!$C$166:$N$166,Curves!$BK$13:$BV$13)</f>
        <v/>
      </c>
      <c r="O59" s="3">
        <f>SUMPRODUCT(Adds!$C$166:$O$166,Curves!$BJ$13:$BV$13)</f>
        <v/>
      </c>
      <c r="P59" s="3">
        <f>SUMPRODUCT(Adds!$C$166:$P$166,Curves!$BI$13:$BV$13)</f>
        <v/>
      </c>
      <c r="Q59" s="3">
        <f>SUMPRODUCT(Adds!$C$166:$Q$166,Curves!$BH$13:$BV$13)</f>
        <v/>
      </c>
      <c r="R59" s="3">
        <f>SUMPRODUCT(Adds!$C$166:$R$166,Curves!$BG$13:$BV$13)</f>
        <v/>
      </c>
      <c r="S59" s="3">
        <f>SUMPRODUCT(Adds!$C$166:$S$166,Curves!$BF$13:$BV$13)</f>
        <v/>
      </c>
      <c r="T59" s="3">
        <f>SUMPRODUCT(Adds!$C$166:$T$166,Curves!$BE$13:$BV$13)</f>
        <v/>
      </c>
      <c r="U59" s="3">
        <f>SUMPRODUCT(Adds!$C$166:$U$166,Curves!$BD$13:$BV$13)</f>
        <v/>
      </c>
      <c r="V59" s="3">
        <f>SUMPRODUCT(Adds!$C$166:$V$166,Curves!$BC$13:$BV$13)</f>
        <v/>
      </c>
      <c r="W59" s="3">
        <f>SUMPRODUCT(Adds!$C$166:$W$166,Curves!$BB$13:$BV$13)</f>
        <v/>
      </c>
      <c r="X59" s="3">
        <f>SUMPRODUCT(Adds!$C$166:$X$166,Curves!$BA$13:$BV$13)</f>
        <v/>
      </c>
      <c r="Y59" s="3">
        <f>SUMPRODUCT(Adds!$C$166:$Y$166,Curves!$AZ$13:$BV$13)</f>
        <v/>
      </c>
      <c r="Z59" s="3">
        <f>SUMPRODUCT(Adds!$C$166:$Z$166,Curves!$AY$13:$BV$13)</f>
        <v/>
      </c>
      <c r="AA59" s="3">
        <f>SUMPRODUCT(Adds!$C$166:$AA$166,Curves!$AX$13:$BV$13)</f>
        <v/>
      </c>
      <c r="AB59" s="3">
        <f>SUMPRODUCT(Adds!$C$166:$AB$166,Curves!$AW$13:$BV$13)</f>
        <v/>
      </c>
      <c r="AC59" s="3">
        <f>SUMPRODUCT(Adds!$C$166:$AC$166,Curves!$AV$13:$BV$13)</f>
        <v/>
      </c>
      <c r="AD59" s="3">
        <f>SUMPRODUCT(Adds!$C$166:$AD$166,Curves!$AU$13:$BV$13)</f>
        <v/>
      </c>
      <c r="AE59" s="3">
        <f>SUMPRODUCT(Adds!$C$166:$AE$166,Curves!$AT$13:$BV$13)</f>
        <v/>
      </c>
      <c r="AF59" s="3">
        <f>SUMPRODUCT(Adds!$C$166:$AF$166,Curves!$AS$13:$BV$13)</f>
        <v/>
      </c>
      <c r="AG59" s="3">
        <f>SUMPRODUCT(Adds!$C$166:$AG$166,Curves!$AR$13:$BV$13)</f>
        <v/>
      </c>
      <c r="AH59" s="3">
        <f>SUMPRODUCT(Adds!$C$166:$AH$166,Curves!$AQ$13:$BV$13)</f>
        <v/>
      </c>
      <c r="AI59" s="3">
        <f>SUMPRODUCT(Adds!$C$166:$AI$166,Curves!$AP$13:$BV$13)</f>
        <v/>
      </c>
      <c r="AJ59" s="3">
        <f>SUMPRODUCT(Adds!$C$166:$AJ$166,Curves!$AO$13:$BV$13)</f>
        <v/>
      </c>
      <c r="AK59" s="3">
        <f>SUMPRODUCT(Adds!$C$166:$AK$166,Curves!$AN$13:$BV$13)</f>
        <v/>
      </c>
      <c r="AL59" s="3">
        <f>SUMPRODUCT(Adds!$C$166:$AL$166,Curves!$AM$13:$BV$13)</f>
        <v/>
      </c>
      <c r="AM59" s="3">
        <f>SUMPRODUCT(Adds!$C$166:$AM$166,Curves!$AL$13:$BV$13)</f>
        <v/>
      </c>
      <c r="AN59" s="3">
        <f>SUMPRODUCT(Adds!$C$166:$AN$166,Curves!$AK$13:$BV$13)</f>
        <v/>
      </c>
      <c r="AO59" s="3">
        <f>SUMPRODUCT(Adds!$C$166:$AO$166,Curves!$AJ$13:$BV$13)</f>
        <v/>
      </c>
      <c r="AP59" s="3">
        <f>SUMPRODUCT(Adds!$C$166:$AP$166,Curves!$AI$13:$BV$13)</f>
        <v/>
      </c>
      <c r="AQ59" s="3">
        <f>SUMPRODUCT(Adds!$C$166:$AQ$166,Curves!$AH$13:$BV$13)</f>
        <v/>
      </c>
      <c r="AR59" s="3">
        <f>SUMPRODUCT(Adds!$C$166:$AR$166,Curves!$AG$13:$BV$13)</f>
        <v/>
      </c>
      <c r="AS59" s="3">
        <f>SUMPRODUCT(Adds!$C$166:$AS$166,Curves!$AF$13:$BV$13)</f>
        <v/>
      </c>
      <c r="AT59" s="3">
        <f>SUMPRODUCT(Adds!$C$166:$AT$166,Curves!$AE$13:$BV$13)</f>
        <v/>
      </c>
      <c r="AU59" s="3">
        <f>SUMPRODUCT(Adds!$C$166:$AU$166,Curves!$AD$13:$BV$13)</f>
        <v/>
      </c>
      <c r="AV59" s="3">
        <f>SUMPRODUCT(Adds!$C$166:$AV$166,Curves!$AC$13:$BV$13)</f>
        <v/>
      </c>
      <c r="AW59" s="3">
        <f>SUMPRODUCT(Adds!$C$166:$AW$166,Curves!$AB$13:$BV$13)</f>
        <v/>
      </c>
      <c r="AX59" s="3">
        <f>SUMPRODUCT(Adds!$C$166:$AX$166,Curves!$AA$13:$BV$13)</f>
        <v/>
      </c>
      <c r="AY59" s="3">
        <f>SUMPRODUCT(Adds!$C$166:$AY$166,Curves!$Z$13:$BV$13)</f>
        <v/>
      </c>
      <c r="AZ59" s="3">
        <f>SUMPRODUCT(Adds!$C$166:$AZ$166,Curves!$Y$13:$BV$13)</f>
        <v/>
      </c>
      <c r="BA59" s="3">
        <f>SUMPRODUCT(Adds!$C$166:$BA$166,Curves!$X$13:$BV$13)</f>
        <v/>
      </c>
      <c r="BB59" s="3">
        <f>SUMPRODUCT(Adds!$C$166:$BB$166,Curves!$W$13:$BV$13)</f>
        <v/>
      </c>
      <c r="BC59" s="3">
        <f>SUMPRODUCT(Adds!$C$166:$BC$166,Curves!$V$13:$BV$13)</f>
        <v/>
      </c>
      <c r="BD59" s="3">
        <f>SUMPRODUCT(Adds!$C$166:$BD$166,Curves!$U$13:$BV$13)</f>
        <v/>
      </c>
      <c r="BE59" s="3">
        <f>SUMPRODUCT(Adds!$C$166:$BE$166,Curves!$T$13:$BV$13)</f>
        <v/>
      </c>
      <c r="BF59" s="3">
        <f>SUMPRODUCT(Adds!$C$166:$BF$166,Curves!$S$13:$BV$13)</f>
        <v/>
      </c>
      <c r="BG59" s="3">
        <f>SUMPRODUCT(Adds!$C$166:$BG$166,Curves!$R$13:$BV$13)</f>
        <v/>
      </c>
      <c r="BH59" s="3">
        <f>SUMPRODUCT(Adds!$C$166:$BH$166,Curves!$Q$13:$BV$13)</f>
        <v/>
      </c>
      <c r="BI59" s="3">
        <f>SUMPRODUCT(Adds!$C$166:$BI$166,Curves!$P$13:$BV$13)</f>
        <v/>
      </c>
      <c r="BJ59" s="3">
        <f>SUMPRODUCT(Adds!$C$166:$BJ$166,Curves!$O$13:$BV$13)</f>
        <v/>
      </c>
      <c r="BK59" s="3">
        <f>SUMPRODUCT(Adds!$C$166:$BK$166,Curves!$N$13:$BV$13)</f>
        <v/>
      </c>
      <c r="BL59" s="3">
        <f>SUMPRODUCT(Adds!$C$166:$BL$166,Curves!$M$13:$BV$13)</f>
        <v/>
      </c>
      <c r="BM59" s="3">
        <f>SUMPRODUCT(Adds!$C$166:$BM$166,Curves!$L$13:$BV$13)</f>
        <v/>
      </c>
      <c r="BN59" s="3">
        <f>SUMPRODUCT(Adds!$C$166:$BN$166,Curves!$K$13:$BV$13)</f>
        <v/>
      </c>
      <c r="BO59" s="3">
        <f>SUMPRODUCT(Adds!$C$166:$BO$166,Curves!$J$13:$BV$13)</f>
        <v/>
      </c>
      <c r="BP59" s="3">
        <f>SUMPRODUCT(Adds!$C$166:$BP$166,Curves!$I$13:$BV$13)</f>
        <v/>
      </c>
      <c r="BQ59" s="3">
        <f>SUMPRODUCT(Adds!$C$166:$BQ$166,Curves!$H$13:$BV$13)</f>
        <v/>
      </c>
      <c r="BR59" s="3">
        <f>SUMPRODUCT(Adds!$C$166:$BR$166,Curves!$G$13:$BV$13)</f>
        <v/>
      </c>
      <c r="BS59" s="3">
        <f>SUMPRODUCT(Adds!$C$166:$BS$166,Curves!$F$13:$BV$13)</f>
        <v/>
      </c>
      <c r="BT59" s="3">
        <f>SUMPRODUCT(Adds!$C$166:$BT$166,Curves!$E$13:$BV$13)</f>
        <v/>
      </c>
      <c r="BU59" s="3">
        <f>SUMPRODUCT(Adds!$C$166:$BU$166,Curves!$D$13:$BV$13)</f>
        <v/>
      </c>
      <c r="BV59" s="3">
        <f>SUMPRODUCT(Adds!$C$166:$BV$166,Curves!$C$13:$BV$13)</f>
        <v/>
      </c>
    </row>
    <row r="60">
      <c r="A60" t="inlineStr">
        <is>
          <t>active yr 1</t>
        </is>
      </c>
      <c r="B60" t="inlineStr">
        <is>
          <t>APAC|BASIC_M</t>
        </is>
      </c>
      <c r="C60" s="3">
        <f>Adds!$C$166*Curves!$BV$20</f>
        <v/>
      </c>
      <c r="D60" s="3">
        <f>SUMPRODUCT(Adds!$C$166:$D$166,Curves!$BU$20:$BV$20)</f>
        <v/>
      </c>
      <c r="E60" s="3">
        <f>SUMPRODUCT(Adds!$C$166:$E$166,Curves!$BT$20:$BV$20)</f>
        <v/>
      </c>
      <c r="F60" s="3">
        <f>SUMPRODUCT(Adds!$C$166:$F$166,Curves!$BS$20:$BV$20)</f>
        <v/>
      </c>
      <c r="G60" s="3">
        <f>SUMPRODUCT(Adds!$C$166:$G$166,Curves!$BR$20:$BV$20)</f>
        <v/>
      </c>
      <c r="H60" s="3">
        <f>SUMPRODUCT(Adds!$C$166:$H$166,Curves!$BQ$20:$BV$20)</f>
        <v/>
      </c>
      <c r="I60" s="3">
        <f>SUMPRODUCT(Adds!$C$166:$I$166,Curves!$BP$20:$BV$20)</f>
        <v/>
      </c>
      <c r="J60" s="3">
        <f>SUMPRODUCT(Adds!$C$166:$J$166,Curves!$BO$20:$BV$20)</f>
        <v/>
      </c>
      <c r="K60" s="3">
        <f>SUMPRODUCT(Adds!$C$166:$K$166,Curves!$BN$20:$BV$20)</f>
        <v/>
      </c>
      <c r="L60" s="3">
        <f>SUMPRODUCT(Adds!$C$166:$L$166,Curves!$BM$20:$BV$20)</f>
        <v/>
      </c>
      <c r="M60" s="3">
        <f>SUMPRODUCT(Adds!$C$166:$M$166,Curves!$BL$20:$BV$20)</f>
        <v/>
      </c>
      <c r="N60" s="3">
        <f>SUMPRODUCT(Adds!$C$166:$N$166,Curves!$BK$20:$BV$20)</f>
        <v/>
      </c>
      <c r="O60" s="3">
        <f>SUMPRODUCT(Adds!$C$166:$O$166,Curves!$BJ$20:$BV$20)</f>
        <v/>
      </c>
      <c r="P60" s="3">
        <f>SUMPRODUCT(Adds!$C$166:$P$166,Curves!$BI$20:$BV$20)</f>
        <v/>
      </c>
      <c r="Q60" s="3">
        <f>SUMPRODUCT(Adds!$C$166:$Q$166,Curves!$BH$20:$BV$20)</f>
        <v/>
      </c>
      <c r="R60" s="3">
        <f>SUMPRODUCT(Adds!$C$166:$R$166,Curves!$BG$20:$BV$20)</f>
        <v/>
      </c>
      <c r="S60" s="3">
        <f>SUMPRODUCT(Adds!$C$166:$S$166,Curves!$BF$20:$BV$20)</f>
        <v/>
      </c>
      <c r="T60" s="3">
        <f>SUMPRODUCT(Adds!$C$166:$T$166,Curves!$BE$20:$BV$20)</f>
        <v/>
      </c>
      <c r="U60" s="3">
        <f>SUMPRODUCT(Adds!$C$166:$U$166,Curves!$BD$20:$BV$20)</f>
        <v/>
      </c>
      <c r="V60" s="3">
        <f>SUMPRODUCT(Adds!$C$166:$V$166,Curves!$BC$20:$BV$20)</f>
        <v/>
      </c>
      <c r="W60" s="3">
        <f>SUMPRODUCT(Adds!$C$166:$W$166,Curves!$BB$20:$BV$20)</f>
        <v/>
      </c>
      <c r="X60" s="3">
        <f>SUMPRODUCT(Adds!$C$166:$X$166,Curves!$BA$20:$BV$20)</f>
        <v/>
      </c>
      <c r="Y60" s="3">
        <f>SUMPRODUCT(Adds!$C$166:$Y$166,Curves!$AZ$20:$BV$20)</f>
        <v/>
      </c>
      <c r="Z60" s="3">
        <f>SUMPRODUCT(Adds!$C$166:$Z$166,Curves!$AY$20:$BV$20)</f>
        <v/>
      </c>
      <c r="AA60" s="3">
        <f>SUMPRODUCT(Adds!$C$166:$AA$166,Curves!$AX$20:$BV$20)</f>
        <v/>
      </c>
      <c r="AB60" s="3">
        <f>SUMPRODUCT(Adds!$C$166:$AB$166,Curves!$AW$20:$BV$20)</f>
        <v/>
      </c>
      <c r="AC60" s="3">
        <f>SUMPRODUCT(Adds!$C$166:$AC$166,Curves!$AV$20:$BV$20)</f>
        <v/>
      </c>
      <c r="AD60" s="3">
        <f>SUMPRODUCT(Adds!$C$166:$AD$166,Curves!$AU$20:$BV$20)</f>
        <v/>
      </c>
      <c r="AE60" s="3">
        <f>SUMPRODUCT(Adds!$C$166:$AE$166,Curves!$AT$20:$BV$20)</f>
        <v/>
      </c>
      <c r="AF60" s="3">
        <f>SUMPRODUCT(Adds!$C$166:$AF$166,Curves!$AS$20:$BV$20)</f>
        <v/>
      </c>
      <c r="AG60" s="3">
        <f>SUMPRODUCT(Adds!$C$166:$AG$166,Curves!$AR$20:$BV$20)</f>
        <v/>
      </c>
      <c r="AH60" s="3">
        <f>SUMPRODUCT(Adds!$C$166:$AH$166,Curves!$AQ$20:$BV$20)</f>
        <v/>
      </c>
      <c r="AI60" s="3">
        <f>SUMPRODUCT(Adds!$C$166:$AI$166,Curves!$AP$20:$BV$20)</f>
        <v/>
      </c>
      <c r="AJ60" s="3">
        <f>SUMPRODUCT(Adds!$C$166:$AJ$166,Curves!$AO$20:$BV$20)</f>
        <v/>
      </c>
      <c r="AK60" s="3">
        <f>SUMPRODUCT(Adds!$C$166:$AK$166,Curves!$AN$20:$BV$20)</f>
        <v/>
      </c>
      <c r="AL60" s="3">
        <f>SUMPRODUCT(Adds!$C$166:$AL$166,Curves!$AM$20:$BV$20)</f>
        <v/>
      </c>
      <c r="AM60" s="3">
        <f>SUMPRODUCT(Adds!$C$166:$AM$166,Curves!$AL$20:$BV$20)</f>
        <v/>
      </c>
      <c r="AN60" s="3">
        <f>SUMPRODUCT(Adds!$C$166:$AN$166,Curves!$AK$20:$BV$20)</f>
        <v/>
      </c>
      <c r="AO60" s="3">
        <f>SUMPRODUCT(Adds!$C$166:$AO$166,Curves!$AJ$20:$BV$20)</f>
        <v/>
      </c>
      <c r="AP60" s="3">
        <f>SUMPRODUCT(Adds!$C$166:$AP$166,Curves!$AI$20:$BV$20)</f>
        <v/>
      </c>
      <c r="AQ60" s="3">
        <f>SUMPRODUCT(Adds!$C$166:$AQ$166,Curves!$AH$20:$BV$20)</f>
        <v/>
      </c>
      <c r="AR60" s="3">
        <f>SUMPRODUCT(Adds!$C$166:$AR$166,Curves!$AG$20:$BV$20)</f>
        <v/>
      </c>
      <c r="AS60" s="3">
        <f>SUMPRODUCT(Adds!$C$166:$AS$166,Curves!$AF$20:$BV$20)</f>
        <v/>
      </c>
      <c r="AT60" s="3">
        <f>SUMPRODUCT(Adds!$C$166:$AT$166,Curves!$AE$20:$BV$20)</f>
        <v/>
      </c>
      <c r="AU60" s="3">
        <f>SUMPRODUCT(Adds!$C$166:$AU$166,Curves!$AD$20:$BV$20)</f>
        <v/>
      </c>
      <c r="AV60" s="3">
        <f>SUMPRODUCT(Adds!$C$166:$AV$166,Curves!$AC$20:$BV$20)</f>
        <v/>
      </c>
      <c r="AW60" s="3">
        <f>SUMPRODUCT(Adds!$C$166:$AW$166,Curves!$AB$20:$BV$20)</f>
        <v/>
      </c>
      <c r="AX60" s="3">
        <f>SUMPRODUCT(Adds!$C$166:$AX$166,Curves!$AA$20:$BV$20)</f>
        <v/>
      </c>
      <c r="AY60" s="3">
        <f>SUMPRODUCT(Adds!$C$166:$AY$166,Curves!$Z$20:$BV$20)</f>
        <v/>
      </c>
      <c r="AZ60" s="3">
        <f>SUMPRODUCT(Adds!$C$166:$AZ$166,Curves!$Y$20:$BV$20)</f>
        <v/>
      </c>
      <c r="BA60" s="3">
        <f>SUMPRODUCT(Adds!$C$166:$BA$166,Curves!$X$20:$BV$20)</f>
        <v/>
      </c>
      <c r="BB60" s="3">
        <f>SUMPRODUCT(Adds!$C$166:$BB$166,Curves!$W$20:$BV$20)</f>
        <v/>
      </c>
      <c r="BC60" s="3">
        <f>SUMPRODUCT(Adds!$C$166:$BC$166,Curves!$V$20:$BV$20)</f>
        <v/>
      </c>
      <c r="BD60" s="3">
        <f>SUMPRODUCT(Adds!$C$166:$BD$166,Curves!$U$20:$BV$20)</f>
        <v/>
      </c>
      <c r="BE60" s="3">
        <f>SUMPRODUCT(Adds!$C$166:$BE$166,Curves!$T$20:$BV$20)</f>
        <v/>
      </c>
      <c r="BF60" s="3">
        <f>SUMPRODUCT(Adds!$C$166:$BF$166,Curves!$S$20:$BV$20)</f>
        <v/>
      </c>
      <c r="BG60" s="3">
        <f>SUMPRODUCT(Adds!$C$166:$BG$166,Curves!$R$20:$BV$20)</f>
        <v/>
      </c>
      <c r="BH60" s="3">
        <f>SUMPRODUCT(Adds!$C$166:$BH$166,Curves!$Q$20:$BV$20)</f>
        <v/>
      </c>
      <c r="BI60" s="3">
        <f>SUMPRODUCT(Adds!$C$166:$BI$166,Curves!$P$20:$BV$20)</f>
        <v/>
      </c>
      <c r="BJ60" s="3">
        <f>SUMPRODUCT(Adds!$C$166:$BJ$166,Curves!$O$20:$BV$20)</f>
        <v/>
      </c>
      <c r="BK60" s="3">
        <f>SUMPRODUCT(Adds!$C$166:$BK$166,Curves!$N$20:$BV$20)</f>
        <v/>
      </c>
      <c r="BL60" s="3">
        <f>SUMPRODUCT(Adds!$C$166:$BL$166,Curves!$M$20:$BV$20)</f>
        <v/>
      </c>
      <c r="BM60" s="3">
        <f>SUMPRODUCT(Adds!$C$166:$BM$166,Curves!$L$20:$BV$20)</f>
        <v/>
      </c>
      <c r="BN60" s="3">
        <f>SUMPRODUCT(Adds!$C$166:$BN$166,Curves!$K$20:$BV$20)</f>
        <v/>
      </c>
      <c r="BO60" s="3">
        <f>SUMPRODUCT(Adds!$C$166:$BO$166,Curves!$J$20:$BV$20)</f>
        <v/>
      </c>
      <c r="BP60" s="3">
        <f>SUMPRODUCT(Adds!$C$166:$BP$166,Curves!$I$20:$BV$20)</f>
        <v/>
      </c>
      <c r="BQ60" s="3">
        <f>SUMPRODUCT(Adds!$C$166:$BQ$166,Curves!$H$20:$BV$20)</f>
        <v/>
      </c>
      <c r="BR60" s="3">
        <f>SUMPRODUCT(Adds!$C$166:$BR$166,Curves!$G$20:$BV$20)</f>
        <v/>
      </c>
      <c r="BS60" s="3">
        <f>SUMPRODUCT(Adds!$C$166:$BS$166,Curves!$F$20:$BV$20)</f>
        <v/>
      </c>
      <c r="BT60" s="3">
        <f>SUMPRODUCT(Adds!$C$166:$BT$166,Curves!$E$20:$BV$20)</f>
        <v/>
      </c>
      <c r="BU60" s="3">
        <f>SUMPRODUCT(Adds!$C$166:$BU$166,Curves!$D$20:$BV$20)</f>
        <v/>
      </c>
      <c r="BV60" s="3">
        <f>SUMPRODUCT(Adds!$C$166:$BV$166,Curves!$C$20:$BV$20)</f>
        <v/>
      </c>
    </row>
    <row r="61">
      <c r="A61" t="inlineStr">
        <is>
          <t>churned</t>
        </is>
      </c>
      <c r="B61" t="inlineStr">
        <is>
          <t>APAC|BASIC_M</t>
        </is>
      </c>
      <c r="C61" s="3">
        <f>Adds!$C$166*Curves!$BV$15</f>
        <v/>
      </c>
      <c r="D61" s="3">
        <f>SUMPRODUCT(Adds!$C$166:$D$166,Curves!$BU$15:$BV$15)</f>
        <v/>
      </c>
      <c r="E61" s="3">
        <f>SUMPRODUCT(Adds!$C$166:$E$166,Curves!$BT$15:$BV$15)</f>
        <v/>
      </c>
      <c r="F61" s="3">
        <f>SUMPRODUCT(Adds!$C$166:$F$166,Curves!$BS$15:$BV$15)</f>
        <v/>
      </c>
      <c r="G61" s="3">
        <f>SUMPRODUCT(Adds!$C$166:$G$166,Curves!$BR$15:$BV$15)</f>
        <v/>
      </c>
      <c r="H61" s="3">
        <f>SUMPRODUCT(Adds!$C$166:$H$166,Curves!$BQ$15:$BV$15)</f>
        <v/>
      </c>
      <c r="I61" s="3">
        <f>SUMPRODUCT(Adds!$C$166:$I$166,Curves!$BP$15:$BV$15)</f>
        <v/>
      </c>
      <c r="J61" s="3">
        <f>SUMPRODUCT(Adds!$C$166:$J$166,Curves!$BO$15:$BV$15)</f>
        <v/>
      </c>
      <c r="K61" s="3">
        <f>SUMPRODUCT(Adds!$C$166:$K$166,Curves!$BN$15:$BV$15)</f>
        <v/>
      </c>
      <c r="L61" s="3">
        <f>SUMPRODUCT(Adds!$C$166:$L$166,Curves!$BM$15:$BV$15)</f>
        <v/>
      </c>
      <c r="M61" s="3">
        <f>SUMPRODUCT(Adds!$C$166:$M$166,Curves!$BL$15:$BV$15)</f>
        <v/>
      </c>
      <c r="N61" s="3">
        <f>SUMPRODUCT(Adds!$C$166:$N$166,Curves!$BK$15:$BV$15)</f>
        <v/>
      </c>
      <c r="O61" s="3">
        <f>SUMPRODUCT(Adds!$C$166:$O$166,Curves!$BJ$15:$BV$15)</f>
        <v/>
      </c>
      <c r="P61" s="3">
        <f>SUMPRODUCT(Adds!$C$166:$P$166,Curves!$BI$15:$BV$15)</f>
        <v/>
      </c>
      <c r="Q61" s="3">
        <f>SUMPRODUCT(Adds!$C$166:$Q$166,Curves!$BH$15:$BV$15)</f>
        <v/>
      </c>
      <c r="R61" s="3">
        <f>SUMPRODUCT(Adds!$C$166:$R$166,Curves!$BG$15:$BV$15)</f>
        <v/>
      </c>
      <c r="S61" s="3">
        <f>SUMPRODUCT(Adds!$C$166:$S$166,Curves!$BF$15:$BV$15)</f>
        <v/>
      </c>
      <c r="T61" s="3">
        <f>SUMPRODUCT(Adds!$C$166:$T$166,Curves!$BE$15:$BV$15)</f>
        <v/>
      </c>
      <c r="U61" s="3">
        <f>SUMPRODUCT(Adds!$C$166:$U$166,Curves!$BD$15:$BV$15)</f>
        <v/>
      </c>
      <c r="V61" s="3">
        <f>SUMPRODUCT(Adds!$C$166:$V$166,Curves!$BC$15:$BV$15)</f>
        <v/>
      </c>
      <c r="W61" s="3">
        <f>SUMPRODUCT(Adds!$C$166:$W$166,Curves!$BB$15:$BV$15)</f>
        <v/>
      </c>
      <c r="X61" s="3">
        <f>SUMPRODUCT(Adds!$C$166:$X$166,Curves!$BA$15:$BV$15)</f>
        <v/>
      </c>
      <c r="Y61" s="3">
        <f>SUMPRODUCT(Adds!$C$166:$Y$166,Curves!$AZ$15:$BV$15)</f>
        <v/>
      </c>
      <c r="Z61" s="3">
        <f>SUMPRODUCT(Adds!$C$166:$Z$166,Curves!$AY$15:$BV$15)</f>
        <v/>
      </c>
      <c r="AA61" s="3">
        <f>SUMPRODUCT(Adds!$C$166:$AA$166,Curves!$AX$15:$BV$15)</f>
        <v/>
      </c>
      <c r="AB61" s="3">
        <f>SUMPRODUCT(Adds!$C$166:$AB$166,Curves!$AW$15:$BV$15)</f>
        <v/>
      </c>
      <c r="AC61" s="3">
        <f>SUMPRODUCT(Adds!$C$166:$AC$166,Curves!$AV$15:$BV$15)</f>
        <v/>
      </c>
      <c r="AD61" s="3">
        <f>SUMPRODUCT(Adds!$C$166:$AD$166,Curves!$AU$15:$BV$15)</f>
        <v/>
      </c>
      <c r="AE61" s="3">
        <f>SUMPRODUCT(Adds!$C$166:$AE$166,Curves!$AT$15:$BV$15)</f>
        <v/>
      </c>
      <c r="AF61" s="3">
        <f>SUMPRODUCT(Adds!$C$166:$AF$166,Curves!$AS$15:$BV$15)</f>
        <v/>
      </c>
      <c r="AG61" s="3">
        <f>SUMPRODUCT(Adds!$C$166:$AG$166,Curves!$AR$15:$BV$15)</f>
        <v/>
      </c>
      <c r="AH61" s="3">
        <f>SUMPRODUCT(Adds!$C$166:$AH$166,Curves!$AQ$15:$BV$15)</f>
        <v/>
      </c>
      <c r="AI61" s="3">
        <f>SUMPRODUCT(Adds!$C$166:$AI$166,Curves!$AP$15:$BV$15)</f>
        <v/>
      </c>
      <c r="AJ61" s="3">
        <f>SUMPRODUCT(Adds!$C$166:$AJ$166,Curves!$AO$15:$BV$15)</f>
        <v/>
      </c>
      <c r="AK61" s="3">
        <f>SUMPRODUCT(Adds!$C$166:$AK$166,Curves!$AN$15:$BV$15)</f>
        <v/>
      </c>
      <c r="AL61" s="3">
        <f>SUMPRODUCT(Adds!$C$166:$AL$166,Curves!$AM$15:$BV$15)</f>
        <v/>
      </c>
      <c r="AM61" s="3">
        <f>SUMPRODUCT(Adds!$C$166:$AM$166,Curves!$AL$15:$BV$15)</f>
        <v/>
      </c>
      <c r="AN61" s="3">
        <f>SUMPRODUCT(Adds!$C$166:$AN$166,Curves!$AK$15:$BV$15)</f>
        <v/>
      </c>
      <c r="AO61" s="3">
        <f>SUMPRODUCT(Adds!$C$166:$AO$166,Curves!$AJ$15:$BV$15)</f>
        <v/>
      </c>
      <c r="AP61" s="3">
        <f>SUMPRODUCT(Adds!$C$166:$AP$166,Curves!$AI$15:$BV$15)</f>
        <v/>
      </c>
      <c r="AQ61" s="3">
        <f>SUMPRODUCT(Adds!$C$166:$AQ$166,Curves!$AH$15:$BV$15)</f>
        <v/>
      </c>
      <c r="AR61" s="3">
        <f>SUMPRODUCT(Adds!$C$166:$AR$166,Curves!$AG$15:$BV$15)</f>
        <v/>
      </c>
      <c r="AS61" s="3">
        <f>SUMPRODUCT(Adds!$C$166:$AS$166,Curves!$AF$15:$BV$15)</f>
        <v/>
      </c>
      <c r="AT61" s="3">
        <f>SUMPRODUCT(Adds!$C$166:$AT$166,Curves!$AE$15:$BV$15)</f>
        <v/>
      </c>
      <c r="AU61" s="3">
        <f>SUMPRODUCT(Adds!$C$166:$AU$166,Curves!$AD$15:$BV$15)</f>
        <v/>
      </c>
      <c r="AV61" s="3">
        <f>SUMPRODUCT(Adds!$C$166:$AV$166,Curves!$AC$15:$BV$15)</f>
        <v/>
      </c>
      <c r="AW61" s="3">
        <f>SUMPRODUCT(Adds!$C$166:$AW$166,Curves!$AB$15:$BV$15)</f>
        <v/>
      </c>
      <c r="AX61" s="3">
        <f>SUMPRODUCT(Adds!$C$166:$AX$166,Curves!$AA$15:$BV$15)</f>
        <v/>
      </c>
      <c r="AY61" s="3">
        <f>SUMPRODUCT(Adds!$C$166:$AY$166,Curves!$Z$15:$BV$15)</f>
        <v/>
      </c>
      <c r="AZ61" s="3">
        <f>SUMPRODUCT(Adds!$C$166:$AZ$166,Curves!$Y$15:$BV$15)</f>
        <v/>
      </c>
      <c r="BA61" s="3">
        <f>SUMPRODUCT(Adds!$C$166:$BA$166,Curves!$X$15:$BV$15)</f>
        <v/>
      </c>
      <c r="BB61" s="3">
        <f>SUMPRODUCT(Adds!$C$166:$BB$166,Curves!$W$15:$BV$15)</f>
        <v/>
      </c>
      <c r="BC61" s="3">
        <f>SUMPRODUCT(Adds!$C$166:$BC$166,Curves!$V$15:$BV$15)</f>
        <v/>
      </c>
      <c r="BD61" s="3">
        <f>SUMPRODUCT(Adds!$C$166:$BD$166,Curves!$U$15:$BV$15)</f>
        <v/>
      </c>
      <c r="BE61" s="3">
        <f>SUMPRODUCT(Adds!$C$166:$BE$166,Curves!$T$15:$BV$15)</f>
        <v/>
      </c>
      <c r="BF61" s="3">
        <f>SUMPRODUCT(Adds!$C$166:$BF$166,Curves!$S$15:$BV$15)</f>
        <v/>
      </c>
      <c r="BG61" s="3">
        <f>SUMPRODUCT(Adds!$C$166:$BG$166,Curves!$R$15:$BV$15)</f>
        <v/>
      </c>
      <c r="BH61" s="3">
        <f>SUMPRODUCT(Adds!$C$166:$BH$166,Curves!$Q$15:$BV$15)</f>
        <v/>
      </c>
      <c r="BI61" s="3">
        <f>SUMPRODUCT(Adds!$C$166:$BI$166,Curves!$P$15:$BV$15)</f>
        <v/>
      </c>
      <c r="BJ61" s="3">
        <f>SUMPRODUCT(Adds!$C$166:$BJ$166,Curves!$O$15:$BV$15)</f>
        <v/>
      </c>
      <c r="BK61" s="3">
        <f>SUMPRODUCT(Adds!$C$166:$BK$166,Curves!$N$15:$BV$15)</f>
        <v/>
      </c>
      <c r="BL61" s="3">
        <f>SUMPRODUCT(Adds!$C$166:$BL$166,Curves!$M$15:$BV$15)</f>
        <v/>
      </c>
      <c r="BM61" s="3">
        <f>SUMPRODUCT(Adds!$C$166:$BM$166,Curves!$L$15:$BV$15)</f>
        <v/>
      </c>
      <c r="BN61" s="3">
        <f>SUMPRODUCT(Adds!$C$166:$BN$166,Curves!$K$15:$BV$15)</f>
        <v/>
      </c>
      <c r="BO61" s="3">
        <f>SUMPRODUCT(Adds!$C$166:$BO$166,Curves!$J$15:$BV$15)</f>
        <v/>
      </c>
      <c r="BP61" s="3">
        <f>SUMPRODUCT(Adds!$C$166:$BP$166,Curves!$I$15:$BV$15)</f>
        <v/>
      </c>
      <c r="BQ61" s="3">
        <f>SUMPRODUCT(Adds!$C$166:$BQ$166,Curves!$H$15:$BV$15)</f>
        <v/>
      </c>
      <c r="BR61" s="3">
        <f>SUMPRODUCT(Adds!$C$166:$BR$166,Curves!$G$15:$BV$15)</f>
        <v/>
      </c>
      <c r="BS61" s="3">
        <f>SUMPRODUCT(Adds!$C$166:$BS$166,Curves!$F$15:$BV$15)</f>
        <v/>
      </c>
      <c r="BT61" s="3">
        <f>SUMPRODUCT(Adds!$C$166:$BT$166,Curves!$E$15:$BV$15)</f>
        <v/>
      </c>
      <c r="BU61" s="3">
        <f>SUMPRODUCT(Adds!$C$166:$BU$166,Curves!$D$15:$BV$15)</f>
        <v/>
      </c>
      <c r="BV61" s="3">
        <f>SUMPRODUCT(Adds!$C$166:$BV$166,Curves!$C$15:$BV$15)</f>
        <v/>
      </c>
    </row>
    <row r="63">
      <c r="A63" t="inlineStr">
        <is>
          <t>active</t>
        </is>
      </c>
      <c r="B63" t="inlineStr">
        <is>
          <t>APAC|BASIC_A</t>
        </is>
      </c>
      <c r="C63" s="3">
        <f>Adds!$C$177*Curves!$BV$14</f>
        <v/>
      </c>
      <c r="D63" s="3">
        <f>SUMPRODUCT(Adds!$C$177:$D$177,Curves!$BU$14:$BV$14)</f>
        <v/>
      </c>
      <c r="E63" s="3">
        <f>SUMPRODUCT(Adds!$C$177:$E$177,Curves!$BT$14:$BV$14)</f>
        <v/>
      </c>
      <c r="F63" s="3">
        <f>SUMPRODUCT(Adds!$C$177:$F$177,Curves!$BS$14:$BV$14)</f>
        <v/>
      </c>
      <c r="G63" s="3">
        <f>SUMPRODUCT(Adds!$C$177:$G$177,Curves!$BR$14:$BV$14)</f>
        <v/>
      </c>
      <c r="H63" s="3">
        <f>SUMPRODUCT(Adds!$C$177:$H$177,Curves!$BQ$14:$BV$14)</f>
        <v/>
      </c>
      <c r="I63" s="3">
        <f>SUMPRODUCT(Adds!$C$177:$I$177,Curves!$BP$14:$BV$14)</f>
        <v/>
      </c>
      <c r="J63" s="3">
        <f>SUMPRODUCT(Adds!$C$177:$J$177,Curves!$BO$14:$BV$14)</f>
        <v/>
      </c>
      <c r="K63" s="3">
        <f>SUMPRODUCT(Adds!$C$177:$K$177,Curves!$BN$14:$BV$14)</f>
        <v/>
      </c>
      <c r="L63" s="3">
        <f>SUMPRODUCT(Adds!$C$177:$L$177,Curves!$BM$14:$BV$14)</f>
        <v/>
      </c>
      <c r="M63" s="3">
        <f>SUMPRODUCT(Adds!$C$177:$M$177,Curves!$BL$14:$BV$14)</f>
        <v/>
      </c>
      <c r="N63" s="3">
        <f>SUMPRODUCT(Adds!$C$177:$N$177,Curves!$BK$14:$BV$14)</f>
        <v/>
      </c>
      <c r="O63" s="3">
        <f>SUMPRODUCT(Adds!$C$177:$O$177,Curves!$BJ$14:$BV$14)</f>
        <v/>
      </c>
      <c r="P63" s="3">
        <f>SUMPRODUCT(Adds!$C$177:$P$177,Curves!$BI$14:$BV$14)</f>
        <v/>
      </c>
      <c r="Q63" s="3">
        <f>SUMPRODUCT(Adds!$C$177:$Q$177,Curves!$BH$14:$BV$14)</f>
        <v/>
      </c>
      <c r="R63" s="3">
        <f>SUMPRODUCT(Adds!$C$177:$R$177,Curves!$BG$14:$BV$14)</f>
        <v/>
      </c>
      <c r="S63" s="3">
        <f>SUMPRODUCT(Adds!$C$177:$S$177,Curves!$BF$14:$BV$14)</f>
        <v/>
      </c>
      <c r="T63" s="3">
        <f>SUMPRODUCT(Adds!$C$177:$T$177,Curves!$BE$14:$BV$14)</f>
        <v/>
      </c>
      <c r="U63" s="3">
        <f>SUMPRODUCT(Adds!$C$177:$U$177,Curves!$BD$14:$BV$14)</f>
        <v/>
      </c>
      <c r="V63" s="3">
        <f>SUMPRODUCT(Adds!$C$177:$V$177,Curves!$BC$14:$BV$14)</f>
        <v/>
      </c>
      <c r="W63" s="3">
        <f>SUMPRODUCT(Adds!$C$177:$W$177,Curves!$BB$14:$BV$14)</f>
        <v/>
      </c>
      <c r="X63" s="3">
        <f>SUMPRODUCT(Adds!$C$177:$X$177,Curves!$BA$14:$BV$14)</f>
        <v/>
      </c>
      <c r="Y63" s="3">
        <f>SUMPRODUCT(Adds!$C$177:$Y$177,Curves!$AZ$14:$BV$14)</f>
        <v/>
      </c>
      <c r="Z63" s="3">
        <f>SUMPRODUCT(Adds!$C$177:$Z$177,Curves!$AY$14:$BV$14)</f>
        <v/>
      </c>
      <c r="AA63" s="3">
        <f>SUMPRODUCT(Adds!$C$177:$AA$177,Curves!$AX$14:$BV$14)</f>
        <v/>
      </c>
      <c r="AB63" s="3">
        <f>SUMPRODUCT(Adds!$C$177:$AB$177,Curves!$AW$14:$BV$14)</f>
        <v/>
      </c>
      <c r="AC63" s="3">
        <f>SUMPRODUCT(Adds!$C$177:$AC$177,Curves!$AV$14:$BV$14)</f>
        <v/>
      </c>
      <c r="AD63" s="3">
        <f>SUMPRODUCT(Adds!$C$177:$AD$177,Curves!$AU$14:$BV$14)</f>
        <v/>
      </c>
      <c r="AE63" s="3">
        <f>SUMPRODUCT(Adds!$C$177:$AE$177,Curves!$AT$14:$BV$14)</f>
        <v/>
      </c>
      <c r="AF63" s="3">
        <f>SUMPRODUCT(Adds!$C$177:$AF$177,Curves!$AS$14:$BV$14)</f>
        <v/>
      </c>
      <c r="AG63" s="3">
        <f>SUMPRODUCT(Adds!$C$177:$AG$177,Curves!$AR$14:$BV$14)</f>
        <v/>
      </c>
      <c r="AH63" s="3">
        <f>SUMPRODUCT(Adds!$C$177:$AH$177,Curves!$AQ$14:$BV$14)</f>
        <v/>
      </c>
      <c r="AI63" s="3">
        <f>SUMPRODUCT(Adds!$C$177:$AI$177,Curves!$AP$14:$BV$14)</f>
        <v/>
      </c>
      <c r="AJ63" s="3">
        <f>SUMPRODUCT(Adds!$C$177:$AJ$177,Curves!$AO$14:$BV$14)</f>
        <v/>
      </c>
      <c r="AK63" s="3">
        <f>SUMPRODUCT(Adds!$C$177:$AK$177,Curves!$AN$14:$BV$14)</f>
        <v/>
      </c>
      <c r="AL63" s="3">
        <f>SUMPRODUCT(Adds!$C$177:$AL$177,Curves!$AM$14:$BV$14)</f>
        <v/>
      </c>
      <c r="AM63" s="3">
        <f>SUMPRODUCT(Adds!$C$177:$AM$177,Curves!$AL$14:$BV$14)</f>
        <v/>
      </c>
      <c r="AN63" s="3">
        <f>SUMPRODUCT(Adds!$C$177:$AN$177,Curves!$AK$14:$BV$14)</f>
        <v/>
      </c>
      <c r="AO63" s="3">
        <f>SUMPRODUCT(Adds!$C$177:$AO$177,Curves!$AJ$14:$BV$14)</f>
        <v/>
      </c>
      <c r="AP63" s="3">
        <f>SUMPRODUCT(Adds!$C$177:$AP$177,Curves!$AI$14:$BV$14)</f>
        <v/>
      </c>
      <c r="AQ63" s="3">
        <f>SUMPRODUCT(Adds!$C$177:$AQ$177,Curves!$AH$14:$BV$14)</f>
        <v/>
      </c>
      <c r="AR63" s="3">
        <f>SUMPRODUCT(Adds!$C$177:$AR$177,Curves!$AG$14:$BV$14)</f>
        <v/>
      </c>
      <c r="AS63" s="3">
        <f>SUMPRODUCT(Adds!$C$177:$AS$177,Curves!$AF$14:$BV$14)</f>
        <v/>
      </c>
      <c r="AT63" s="3">
        <f>SUMPRODUCT(Adds!$C$177:$AT$177,Curves!$AE$14:$BV$14)</f>
        <v/>
      </c>
      <c r="AU63" s="3">
        <f>SUMPRODUCT(Adds!$C$177:$AU$177,Curves!$AD$14:$BV$14)</f>
        <v/>
      </c>
      <c r="AV63" s="3">
        <f>SUMPRODUCT(Adds!$C$177:$AV$177,Curves!$AC$14:$BV$14)</f>
        <v/>
      </c>
      <c r="AW63" s="3">
        <f>SUMPRODUCT(Adds!$C$177:$AW$177,Curves!$AB$14:$BV$14)</f>
        <v/>
      </c>
      <c r="AX63" s="3">
        <f>SUMPRODUCT(Adds!$C$177:$AX$177,Curves!$AA$14:$BV$14)</f>
        <v/>
      </c>
      <c r="AY63" s="3">
        <f>SUMPRODUCT(Adds!$C$177:$AY$177,Curves!$Z$14:$BV$14)</f>
        <v/>
      </c>
      <c r="AZ63" s="3">
        <f>SUMPRODUCT(Adds!$C$177:$AZ$177,Curves!$Y$14:$BV$14)</f>
        <v/>
      </c>
      <c r="BA63" s="3">
        <f>SUMPRODUCT(Adds!$C$177:$BA$177,Curves!$X$14:$BV$14)</f>
        <v/>
      </c>
      <c r="BB63" s="3">
        <f>SUMPRODUCT(Adds!$C$177:$BB$177,Curves!$W$14:$BV$14)</f>
        <v/>
      </c>
      <c r="BC63" s="3">
        <f>SUMPRODUCT(Adds!$C$177:$BC$177,Curves!$V$14:$BV$14)</f>
        <v/>
      </c>
      <c r="BD63" s="3">
        <f>SUMPRODUCT(Adds!$C$177:$BD$177,Curves!$U$14:$BV$14)</f>
        <v/>
      </c>
      <c r="BE63" s="3">
        <f>SUMPRODUCT(Adds!$C$177:$BE$177,Curves!$T$14:$BV$14)</f>
        <v/>
      </c>
      <c r="BF63" s="3">
        <f>SUMPRODUCT(Adds!$C$177:$BF$177,Curves!$S$14:$BV$14)</f>
        <v/>
      </c>
      <c r="BG63" s="3">
        <f>SUMPRODUCT(Adds!$C$177:$BG$177,Curves!$R$14:$BV$14)</f>
        <v/>
      </c>
      <c r="BH63" s="3">
        <f>SUMPRODUCT(Adds!$C$177:$BH$177,Curves!$Q$14:$BV$14)</f>
        <v/>
      </c>
      <c r="BI63" s="3">
        <f>SUMPRODUCT(Adds!$C$177:$BI$177,Curves!$P$14:$BV$14)</f>
        <v/>
      </c>
      <c r="BJ63" s="3">
        <f>SUMPRODUCT(Adds!$C$177:$BJ$177,Curves!$O$14:$BV$14)</f>
        <v/>
      </c>
      <c r="BK63" s="3">
        <f>SUMPRODUCT(Adds!$C$177:$BK$177,Curves!$N$14:$BV$14)</f>
        <v/>
      </c>
      <c r="BL63" s="3">
        <f>SUMPRODUCT(Adds!$C$177:$BL$177,Curves!$M$14:$BV$14)</f>
        <v/>
      </c>
      <c r="BM63" s="3">
        <f>SUMPRODUCT(Adds!$C$177:$BM$177,Curves!$L$14:$BV$14)</f>
        <v/>
      </c>
      <c r="BN63" s="3">
        <f>SUMPRODUCT(Adds!$C$177:$BN$177,Curves!$K$14:$BV$14)</f>
        <v/>
      </c>
      <c r="BO63" s="3">
        <f>SUMPRODUCT(Adds!$C$177:$BO$177,Curves!$J$14:$BV$14)</f>
        <v/>
      </c>
      <c r="BP63" s="3">
        <f>SUMPRODUCT(Adds!$C$177:$BP$177,Curves!$I$14:$BV$14)</f>
        <v/>
      </c>
      <c r="BQ63" s="3">
        <f>SUMPRODUCT(Adds!$C$177:$BQ$177,Curves!$H$14:$BV$14)</f>
        <v/>
      </c>
      <c r="BR63" s="3">
        <f>SUMPRODUCT(Adds!$C$177:$BR$177,Curves!$G$14:$BV$14)</f>
        <v/>
      </c>
      <c r="BS63" s="3">
        <f>SUMPRODUCT(Adds!$C$177:$BS$177,Curves!$F$14:$BV$14)</f>
        <v/>
      </c>
      <c r="BT63" s="3">
        <f>SUMPRODUCT(Adds!$C$177:$BT$177,Curves!$E$14:$BV$14)</f>
        <v/>
      </c>
      <c r="BU63" s="3">
        <f>SUMPRODUCT(Adds!$C$177:$BU$177,Curves!$D$14:$BV$14)</f>
        <v/>
      </c>
      <c r="BV63" s="3">
        <f>SUMPRODUCT(Adds!$C$177:$BV$177,Curves!$C$14:$BV$14)</f>
        <v/>
      </c>
    </row>
    <row r="64">
      <c r="A64" t="inlineStr">
        <is>
          <t>active yr 1</t>
        </is>
      </c>
      <c r="B64" t="inlineStr">
        <is>
          <t>APAC|BASIC_A</t>
        </is>
      </c>
      <c r="C64" s="3">
        <f>Adds!$C$177*Curves!$BV$21</f>
        <v/>
      </c>
      <c r="D64" s="3">
        <f>SUMPRODUCT(Adds!$C$177:$D$177,Curves!$BU$21:$BV$21)</f>
        <v/>
      </c>
      <c r="E64" s="3">
        <f>SUMPRODUCT(Adds!$C$177:$E$177,Curves!$BT$21:$BV$21)</f>
        <v/>
      </c>
      <c r="F64" s="3">
        <f>SUMPRODUCT(Adds!$C$177:$F$177,Curves!$BS$21:$BV$21)</f>
        <v/>
      </c>
      <c r="G64" s="3">
        <f>SUMPRODUCT(Adds!$C$177:$G$177,Curves!$BR$21:$BV$21)</f>
        <v/>
      </c>
      <c r="H64" s="3">
        <f>SUMPRODUCT(Adds!$C$177:$H$177,Curves!$BQ$21:$BV$21)</f>
        <v/>
      </c>
      <c r="I64" s="3">
        <f>SUMPRODUCT(Adds!$C$177:$I$177,Curves!$BP$21:$BV$21)</f>
        <v/>
      </c>
      <c r="J64" s="3">
        <f>SUMPRODUCT(Adds!$C$177:$J$177,Curves!$BO$21:$BV$21)</f>
        <v/>
      </c>
      <c r="K64" s="3">
        <f>SUMPRODUCT(Adds!$C$177:$K$177,Curves!$BN$21:$BV$21)</f>
        <v/>
      </c>
      <c r="L64" s="3">
        <f>SUMPRODUCT(Adds!$C$177:$L$177,Curves!$BM$21:$BV$21)</f>
        <v/>
      </c>
      <c r="M64" s="3">
        <f>SUMPRODUCT(Adds!$C$177:$M$177,Curves!$BL$21:$BV$21)</f>
        <v/>
      </c>
      <c r="N64" s="3">
        <f>SUMPRODUCT(Adds!$C$177:$N$177,Curves!$BK$21:$BV$21)</f>
        <v/>
      </c>
      <c r="O64" s="3">
        <f>SUMPRODUCT(Adds!$C$177:$O$177,Curves!$BJ$21:$BV$21)</f>
        <v/>
      </c>
      <c r="P64" s="3">
        <f>SUMPRODUCT(Adds!$C$177:$P$177,Curves!$BI$21:$BV$21)</f>
        <v/>
      </c>
      <c r="Q64" s="3">
        <f>SUMPRODUCT(Adds!$C$177:$Q$177,Curves!$BH$21:$BV$21)</f>
        <v/>
      </c>
      <c r="R64" s="3">
        <f>SUMPRODUCT(Adds!$C$177:$R$177,Curves!$BG$21:$BV$21)</f>
        <v/>
      </c>
      <c r="S64" s="3">
        <f>SUMPRODUCT(Adds!$C$177:$S$177,Curves!$BF$21:$BV$21)</f>
        <v/>
      </c>
      <c r="T64" s="3">
        <f>SUMPRODUCT(Adds!$C$177:$T$177,Curves!$BE$21:$BV$21)</f>
        <v/>
      </c>
      <c r="U64" s="3">
        <f>SUMPRODUCT(Adds!$C$177:$U$177,Curves!$BD$21:$BV$21)</f>
        <v/>
      </c>
      <c r="V64" s="3">
        <f>SUMPRODUCT(Adds!$C$177:$V$177,Curves!$BC$21:$BV$21)</f>
        <v/>
      </c>
      <c r="W64" s="3">
        <f>SUMPRODUCT(Adds!$C$177:$W$177,Curves!$BB$21:$BV$21)</f>
        <v/>
      </c>
      <c r="X64" s="3">
        <f>SUMPRODUCT(Adds!$C$177:$X$177,Curves!$BA$21:$BV$21)</f>
        <v/>
      </c>
      <c r="Y64" s="3">
        <f>SUMPRODUCT(Adds!$C$177:$Y$177,Curves!$AZ$21:$BV$21)</f>
        <v/>
      </c>
      <c r="Z64" s="3">
        <f>SUMPRODUCT(Adds!$C$177:$Z$177,Curves!$AY$21:$BV$21)</f>
        <v/>
      </c>
      <c r="AA64" s="3">
        <f>SUMPRODUCT(Adds!$C$177:$AA$177,Curves!$AX$21:$BV$21)</f>
        <v/>
      </c>
      <c r="AB64" s="3">
        <f>SUMPRODUCT(Adds!$C$177:$AB$177,Curves!$AW$21:$BV$21)</f>
        <v/>
      </c>
      <c r="AC64" s="3">
        <f>SUMPRODUCT(Adds!$C$177:$AC$177,Curves!$AV$21:$BV$21)</f>
        <v/>
      </c>
      <c r="AD64" s="3">
        <f>SUMPRODUCT(Adds!$C$177:$AD$177,Curves!$AU$21:$BV$21)</f>
        <v/>
      </c>
      <c r="AE64" s="3">
        <f>SUMPRODUCT(Adds!$C$177:$AE$177,Curves!$AT$21:$BV$21)</f>
        <v/>
      </c>
      <c r="AF64" s="3">
        <f>SUMPRODUCT(Adds!$C$177:$AF$177,Curves!$AS$21:$BV$21)</f>
        <v/>
      </c>
      <c r="AG64" s="3">
        <f>SUMPRODUCT(Adds!$C$177:$AG$177,Curves!$AR$21:$BV$21)</f>
        <v/>
      </c>
      <c r="AH64" s="3">
        <f>SUMPRODUCT(Adds!$C$177:$AH$177,Curves!$AQ$21:$BV$21)</f>
        <v/>
      </c>
      <c r="AI64" s="3">
        <f>SUMPRODUCT(Adds!$C$177:$AI$177,Curves!$AP$21:$BV$21)</f>
        <v/>
      </c>
      <c r="AJ64" s="3">
        <f>SUMPRODUCT(Adds!$C$177:$AJ$177,Curves!$AO$21:$BV$21)</f>
        <v/>
      </c>
      <c r="AK64" s="3">
        <f>SUMPRODUCT(Adds!$C$177:$AK$177,Curves!$AN$21:$BV$21)</f>
        <v/>
      </c>
      <c r="AL64" s="3">
        <f>SUMPRODUCT(Adds!$C$177:$AL$177,Curves!$AM$21:$BV$21)</f>
        <v/>
      </c>
      <c r="AM64" s="3">
        <f>SUMPRODUCT(Adds!$C$177:$AM$177,Curves!$AL$21:$BV$21)</f>
        <v/>
      </c>
      <c r="AN64" s="3">
        <f>SUMPRODUCT(Adds!$C$177:$AN$177,Curves!$AK$21:$BV$21)</f>
        <v/>
      </c>
      <c r="AO64" s="3">
        <f>SUMPRODUCT(Adds!$C$177:$AO$177,Curves!$AJ$21:$BV$21)</f>
        <v/>
      </c>
      <c r="AP64" s="3">
        <f>SUMPRODUCT(Adds!$C$177:$AP$177,Curves!$AI$21:$BV$21)</f>
        <v/>
      </c>
      <c r="AQ64" s="3">
        <f>SUMPRODUCT(Adds!$C$177:$AQ$177,Curves!$AH$21:$BV$21)</f>
        <v/>
      </c>
      <c r="AR64" s="3">
        <f>SUMPRODUCT(Adds!$C$177:$AR$177,Curves!$AG$21:$BV$21)</f>
        <v/>
      </c>
      <c r="AS64" s="3">
        <f>SUMPRODUCT(Adds!$C$177:$AS$177,Curves!$AF$21:$BV$21)</f>
        <v/>
      </c>
      <c r="AT64" s="3">
        <f>SUMPRODUCT(Adds!$C$177:$AT$177,Curves!$AE$21:$BV$21)</f>
        <v/>
      </c>
      <c r="AU64" s="3">
        <f>SUMPRODUCT(Adds!$C$177:$AU$177,Curves!$AD$21:$BV$21)</f>
        <v/>
      </c>
      <c r="AV64" s="3">
        <f>SUMPRODUCT(Adds!$C$177:$AV$177,Curves!$AC$21:$BV$21)</f>
        <v/>
      </c>
      <c r="AW64" s="3">
        <f>SUMPRODUCT(Adds!$C$177:$AW$177,Curves!$AB$21:$BV$21)</f>
        <v/>
      </c>
      <c r="AX64" s="3">
        <f>SUMPRODUCT(Adds!$C$177:$AX$177,Curves!$AA$21:$BV$21)</f>
        <v/>
      </c>
      <c r="AY64" s="3">
        <f>SUMPRODUCT(Adds!$C$177:$AY$177,Curves!$Z$21:$BV$21)</f>
        <v/>
      </c>
      <c r="AZ64" s="3">
        <f>SUMPRODUCT(Adds!$C$177:$AZ$177,Curves!$Y$21:$BV$21)</f>
        <v/>
      </c>
      <c r="BA64" s="3">
        <f>SUMPRODUCT(Adds!$C$177:$BA$177,Curves!$X$21:$BV$21)</f>
        <v/>
      </c>
      <c r="BB64" s="3">
        <f>SUMPRODUCT(Adds!$C$177:$BB$177,Curves!$W$21:$BV$21)</f>
        <v/>
      </c>
      <c r="BC64" s="3">
        <f>SUMPRODUCT(Adds!$C$177:$BC$177,Curves!$V$21:$BV$21)</f>
        <v/>
      </c>
      <c r="BD64" s="3">
        <f>SUMPRODUCT(Adds!$C$177:$BD$177,Curves!$U$21:$BV$21)</f>
        <v/>
      </c>
      <c r="BE64" s="3">
        <f>SUMPRODUCT(Adds!$C$177:$BE$177,Curves!$T$21:$BV$21)</f>
        <v/>
      </c>
      <c r="BF64" s="3">
        <f>SUMPRODUCT(Adds!$C$177:$BF$177,Curves!$S$21:$BV$21)</f>
        <v/>
      </c>
      <c r="BG64" s="3">
        <f>SUMPRODUCT(Adds!$C$177:$BG$177,Curves!$R$21:$BV$21)</f>
        <v/>
      </c>
      <c r="BH64" s="3">
        <f>SUMPRODUCT(Adds!$C$177:$BH$177,Curves!$Q$21:$BV$21)</f>
        <v/>
      </c>
      <c r="BI64" s="3">
        <f>SUMPRODUCT(Adds!$C$177:$BI$177,Curves!$P$21:$BV$21)</f>
        <v/>
      </c>
      <c r="BJ64" s="3">
        <f>SUMPRODUCT(Adds!$C$177:$BJ$177,Curves!$O$21:$BV$21)</f>
        <v/>
      </c>
      <c r="BK64" s="3">
        <f>SUMPRODUCT(Adds!$C$177:$BK$177,Curves!$N$21:$BV$21)</f>
        <v/>
      </c>
      <c r="BL64" s="3">
        <f>SUMPRODUCT(Adds!$C$177:$BL$177,Curves!$M$21:$BV$21)</f>
        <v/>
      </c>
      <c r="BM64" s="3">
        <f>SUMPRODUCT(Adds!$C$177:$BM$177,Curves!$L$21:$BV$21)</f>
        <v/>
      </c>
      <c r="BN64" s="3">
        <f>SUMPRODUCT(Adds!$C$177:$BN$177,Curves!$K$21:$BV$21)</f>
        <v/>
      </c>
      <c r="BO64" s="3">
        <f>SUMPRODUCT(Adds!$C$177:$BO$177,Curves!$J$21:$BV$21)</f>
        <v/>
      </c>
      <c r="BP64" s="3">
        <f>SUMPRODUCT(Adds!$C$177:$BP$177,Curves!$I$21:$BV$21)</f>
        <v/>
      </c>
      <c r="BQ64" s="3">
        <f>SUMPRODUCT(Adds!$C$177:$BQ$177,Curves!$H$21:$BV$21)</f>
        <v/>
      </c>
      <c r="BR64" s="3">
        <f>SUMPRODUCT(Adds!$C$177:$BR$177,Curves!$G$21:$BV$21)</f>
        <v/>
      </c>
      <c r="BS64" s="3">
        <f>SUMPRODUCT(Adds!$C$177:$BS$177,Curves!$F$21:$BV$21)</f>
        <v/>
      </c>
      <c r="BT64" s="3">
        <f>SUMPRODUCT(Adds!$C$177:$BT$177,Curves!$E$21:$BV$21)</f>
        <v/>
      </c>
      <c r="BU64" s="3">
        <f>SUMPRODUCT(Adds!$C$177:$BU$177,Curves!$D$21:$BV$21)</f>
        <v/>
      </c>
      <c r="BV64" s="3">
        <f>SUMPRODUCT(Adds!$C$177:$BV$177,Curves!$C$21:$BV$21)</f>
        <v/>
      </c>
    </row>
    <row r="65">
      <c r="A65" t="inlineStr">
        <is>
          <t>churned</t>
        </is>
      </c>
      <c r="B65" t="inlineStr">
        <is>
          <t>APAC|BASIC_A</t>
        </is>
      </c>
      <c r="C65" s="3">
        <f>Adds!$C$177*Curves!$BV$16</f>
        <v/>
      </c>
      <c r="D65" s="3">
        <f>SUMPRODUCT(Adds!$C$177:$D$177,Curves!$BU$16:$BV$16)</f>
        <v/>
      </c>
      <c r="E65" s="3">
        <f>SUMPRODUCT(Adds!$C$177:$E$177,Curves!$BT$16:$BV$16)</f>
        <v/>
      </c>
      <c r="F65" s="3">
        <f>SUMPRODUCT(Adds!$C$177:$F$177,Curves!$BS$16:$BV$16)</f>
        <v/>
      </c>
      <c r="G65" s="3">
        <f>SUMPRODUCT(Adds!$C$177:$G$177,Curves!$BR$16:$BV$16)</f>
        <v/>
      </c>
      <c r="H65" s="3">
        <f>SUMPRODUCT(Adds!$C$177:$H$177,Curves!$BQ$16:$BV$16)</f>
        <v/>
      </c>
      <c r="I65" s="3">
        <f>SUMPRODUCT(Adds!$C$177:$I$177,Curves!$BP$16:$BV$16)</f>
        <v/>
      </c>
      <c r="J65" s="3">
        <f>SUMPRODUCT(Adds!$C$177:$J$177,Curves!$BO$16:$BV$16)</f>
        <v/>
      </c>
      <c r="K65" s="3">
        <f>SUMPRODUCT(Adds!$C$177:$K$177,Curves!$BN$16:$BV$16)</f>
        <v/>
      </c>
      <c r="L65" s="3">
        <f>SUMPRODUCT(Adds!$C$177:$L$177,Curves!$BM$16:$BV$16)</f>
        <v/>
      </c>
      <c r="M65" s="3">
        <f>SUMPRODUCT(Adds!$C$177:$M$177,Curves!$BL$16:$BV$16)</f>
        <v/>
      </c>
      <c r="N65" s="3">
        <f>SUMPRODUCT(Adds!$C$177:$N$177,Curves!$BK$16:$BV$16)</f>
        <v/>
      </c>
      <c r="O65" s="3">
        <f>SUMPRODUCT(Adds!$C$177:$O$177,Curves!$BJ$16:$BV$16)</f>
        <v/>
      </c>
      <c r="P65" s="3">
        <f>SUMPRODUCT(Adds!$C$177:$P$177,Curves!$BI$16:$BV$16)</f>
        <v/>
      </c>
      <c r="Q65" s="3">
        <f>SUMPRODUCT(Adds!$C$177:$Q$177,Curves!$BH$16:$BV$16)</f>
        <v/>
      </c>
      <c r="R65" s="3">
        <f>SUMPRODUCT(Adds!$C$177:$R$177,Curves!$BG$16:$BV$16)</f>
        <v/>
      </c>
      <c r="S65" s="3">
        <f>SUMPRODUCT(Adds!$C$177:$S$177,Curves!$BF$16:$BV$16)</f>
        <v/>
      </c>
      <c r="T65" s="3">
        <f>SUMPRODUCT(Adds!$C$177:$T$177,Curves!$BE$16:$BV$16)</f>
        <v/>
      </c>
      <c r="U65" s="3">
        <f>SUMPRODUCT(Adds!$C$177:$U$177,Curves!$BD$16:$BV$16)</f>
        <v/>
      </c>
      <c r="V65" s="3">
        <f>SUMPRODUCT(Adds!$C$177:$V$177,Curves!$BC$16:$BV$16)</f>
        <v/>
      </c>
      <c r="W65" s="3">
        <f>SUMPRODUCT(Adds!$C$177:$W$177,Curves!$BB$16:$BV$16)</f>
        <v/>
      </c>
      <c r="X65" s="3">
        <f>SUMPRODUCT(Adds!$C$177:$X$177,Curves!$BA$16:$BV$16)</f>
        <v/>
      </c>
      <c r="Y65" s="3">
        <f>SUMPRODUCT(Adds!$C$177:$Y$177,Curves!$AZ$16:$BV$16)</f>
        <v/>
      </c>
      <c r="Z65" s="3">
        <f>SUMPRODUCT(Adds!$C$177:$Z$177,Curves!$AY$16:$BV$16)</f>
        <v/>
      </c>
      <c r="AA65" s="3">
        <f>SUMPRODUCT(Adds!$C$177:$AA$177,Curves!$AX$16:$BV$16)</f>
        <v/>
      </c>
      <c r="AB65" s="3">
        <f>SUMPRODUCT(Adds!$C$177:$AB$177,Curves!$AW$16:$BV$16)</f>
        <v/>
      </c>
      <c r="AC65" s="3">
        <f>SUMPRODUCT(Adds!$C$177:$AC$177,Curves!$AV$16:$BV$16)</f>
        <v/>
      </c>
      <c r="AD65" s="3">
        <f>SUMPRODUCT(Adds!$C$177:$AD$177,Curves!$AU$16:$BV$16)</f>
        <v/>
      </c>
      <c r="AE65" s="3">
        <f>SUMPRODUCT(Adds!$C$177:$AE$177,Curves!$AT$16:$BV$16)</f>
        <v/>
      </c>
      <c r="AF65" s="3">
        <f>SUMPRODUCT(Adds!$C$177:$AF$177,Curves!$AS$16:$BV$16)</f>
        <v/>
      </c>
      <c r="AG65" s="3">
        <f>SUMPRODUCT(Adds!$C$177:$AG$177,Curves!$AR$16:$BV$16)</f>
        <v/>
      </c>
      <c r="AH65" s="3">
        <f>SUMPRODUCT(Adds!$C$177:$AH$177,Curves!$AQ$16:$BV$16)</f>
        <v/>
      </c>
      <c r="AI65" s="3">
        <f>SUMPRODUCT(Adds!$C$177:$AI$177,Curves!$AP$16:$BV$16)</f>
        <v/>
      </c>
      <c r="AJ65" s="3">
        <f>SUMPRODUCT(Adds!$C$177:$AJ$177,Curves!$AO$16:$BV$16)</f>
        <v/>
      </c>
      <c r="AK65" s="3">
        <f>SUMPRODUCT(Adds!$C$177:$AK$177,Curves!$AN$16:$BV$16)</f>
        <v/>
      </c>
      <c r="AL65" s="3">
        <f>SUMPRODUCT(Adds!$C$177:$AL$177,Curves!$AM$16:$BV$16)</f>
        <v/>
      </c>
      <c r="AM65" s="3">
        <f>SUMPRODUCT(Adds!$C$177:$AM$177,Curves!$AL$16:$BV$16)</f>
        <v/>
      </c>
      <c r="AN65" s="3">
        <f>SUMPRODUCT(Adds!$C$177:$AN$177,Curves!$AK$16:$BV$16)</f>
        <v/>
      </c>
      <c r="AO65" s="3">
        <f>SUMPRODUCT(Adds!$C$177:$AO$177,Curves!$AJ$16:$BV$16)</f>
        <v/>
      </c>
      <c r="AP65" s="3">
        <f>SUMPRODUCT(Adds!$C$177:$AP$177,Curves!$AI$16:$BV$16)</f>
        <v/>
      </c>
      <c r="AQ65" s="3">
        <f>SUMPRODUCT(Adds!$C$177:$AQ$177,Curves!$AH$16:$BV$16)</f>
        <v/>
      </c>
      <c r="AR65" s="3">
        <f>SUMPRODUCT(Adds!$C$177:$AR$177,Curves!$AG$16:$BV$16)</f>
        <v/>
      </c>
      <c r="AS65" s="3">
        <f>SUMPRODUCT(Adds!$C$177:$AS$177,Curves!$AF$16:$BV$16)</f>
        <v/>
      </c>
      <c r="AT65" s="3">
        <f>SUMPRODUCT(Adds!$C$177:$AT$177,Curves!$AE$16:$BV$16)</f>
        <v/>
      </c>
      <c r="AU65" s="3">
        <f>SUMPRODUCT(Adds!$C$177:$AU$177,Curves!$AD$16:$BV$16)</f>
        <v/>
      </c>
      <c r="AV65" s="3">
        <f>SUMPRODUCT(Adds!$C$177:$AV$177,Curves!$AC$16:$BV$16)</f>
        <v/>
      </c>
      <c r="AW65" s="3">
        <f>SUMPRODUCT(Adds!$C$177:$AW$177,Curves!$AB$16:$BV$16)</f>
        <v/>
      </c>
      <c r="AX65" s="3">
        <f>SUMPRODUCT(Adds!$C$177:$AX$177,Curves!$AA$16:$BV$16)</f>
        <v/>
      </c>
      <c r="AY65" s="3">
        <f>SUMPRODUCT(Adds!$C$177:$AY$177,Curves!$Z$16:$BV$16)</f>
        <v/>
      </c>
      <c r="AZ65" s="3">
        <f>SUMPRODUCT(Adds!$C$177:$AZ$177,Curves!$Y$16:$BV$16)</f>
        <v/>
      </c>
      <c r="BA65" s="3">
        <f>SUMPRODUCT(Adds!$C$177:$BA$177,Curves!$X$16:$BV$16)</f>
        <v/>
      </c>
      <c r="BB65" s="3">
        <f>SUMPRODUCT(Adds!$C$177:$BB$177,Curves!$W$16:$BV$16)</f>
        <v/>
      </c>
      <c r="BC65" s="3">
        <f>SUMPRODUCT(Adds!$C$177:$BC$177,Curves!$V$16:$BV$16)</f>
        <v/>
      </c>
      <c r="BD65" s="3">
        <f>SUMPRODUCT(Adds!$C$177:$BD$177,Curves!$U$16:$BV$16)</f>
        <v/>
      </c>
      <c r="BE65" s="3">
        <f>SUMPRODUCT(Adds!$C$177:$BE$177,Curves!$T$16:$BV$16)</f>
        <v/>
      </c>
      <c r="BF65" s="3">
        <f>SUMPRODUCT(Adds!$C$177:$BF$177,Curves!$S$16:$BV$16)</f>
        <v/>
      </c>
      <c r="BG65" s="3">
        <f>SUMPRODUCT(Adds!$C$177:$BG$177,Curves!$R$16:$BV$16)</f>
        <v/>
      </c>
      <c r="BH65" s="3">
        <f>SUMPRODUCT(Adds!$C$177:$BH$177,Curves!$Q$16:$BV$16)</f>
        <v/>
      </c>
      <c r="BI65" s="3">
        <f>SUMPRODUCT(Adds!$C$177:$BI$177,Curves!$P$16:$BV$16)</f>
        <v/>
      </c>
      <c r="BJ65" s="3">
        <f>SUMPRODUCT(Adds!$C$177:$BJ$177,Curves!$O$16:$BV$16)</f>
        <v/>
      </c>
      <c r="BK65" s="3">
        <f>SUMPRODUCT(Adds!$C$177:$BK$177,Curves!$N$16:$BV$16)</f>
        <v/>
      </c>
      <c r="BL65" s="3">
        <f>SUMPRODUCT(Adds!$C$177:$BL$177,Curves!$M$16:$BV$16)</f>
        <v/>
      </c>
      <c r="BM65" s="3">
        <f>SUMPRODUCT(Adds!$C$177:$BM$177,Curves!$L$16:$BV$16)</f>
        <v/>
      </c>
      <c r="BN65" s="3">
        <f>SUMPRODUCT(Adds!$C$177:$BN$177,Curves!$K$16:$BV$16)</f>
        <v/>
      </c>
      <c r="BO65" s="3">
        <f>SUMPRODUCT(Adds!$C$177:$BO$177,Curves!$J$16:$BV$16)</f>
        <v/>
      </c>
      <c r="BP65" s="3">
        <f>SUMPRODUCT(Adds!$C$177:$BP$177,Curves!$I$16:$BV$16)</f>
        <v/>
      </c>
      <c r="BQ65" s="3">
        <f>SUMPRODUCT(Adds!$C$177:$BQ$177,Curves!$H$16:$BV$16)</f>
        <v/>
      </c>
      <c r="BR65" s="3">
        <f>SUMPRODUCT(Adds!$C$177:$BR$177,Curves!$G$16:$BV$16)</f>
        <v/>
      </c>
      <c r="BS65" s="3">
        <f>SUMPRODUCT(Adds!$C$177:$BS$177,Curves!$F$16:$BV$16)</f>
        <v/>
      </c>
      <c r="BT65" s="3">
        <f>SUMPRODUCT(Adds!$C$177:$BT$177,Curves!$E$16:$BV$16)</f>
        <v/>
      </c>
      <c r="BU65" s="3">
        <f>SUMPRODUCT(Adds!$C$177:$BU$177,Curves!$D$16:$BV$16)</f>
        <v/>
      </c>
      <c r="BV65" s="3">
        <f>SUMPRODUCT(Adds!$C$177:$BV$177,Curves!$C$16:$BV$16)</f>
        <v/>
      </c>
    </row>
    <row r="67">
      <c r="A67" t="inlineStr">
        <is>
          <t>active</t>
        </is>
      </c>
      <c r="B67" t="inlineStr">
        <is>
          <t>ROW|NITRO_M</t>
        </is>
      </c>
      <c r="C67" s="3">
        <f>Adds!$C$188*Curves!$BV$13</f>
        <v/>
      </c>
      <c r="D67" s="3">
        <f>SUMPRODUCT(Adds!$C$188:$D$188,Curves!$BU$13:$BV$13)</f>
        <v/>
      </c>
      <c r="E67" s="3">
        <f>SUMPRODUCT(Adds!$C$188:$E$188,Curves!$BT$13:$BV$13)</f>
        <v/>
      </c>
      <c r="F67" s="3">
        <f>SUMPRODUCT(Adds!$C$188:$F$188,Curves!$BS$13:$BV$13)</f>
        <v/>
      </c>
      <c r="G67" s="3">
        <f>SUMPRODUCT(Adds!$C$188:$G$188,Curves!$BR$13:$BV$13)</f>
        <v/>
      </c>
      <c r="H67" s="3">
        <f>SUMPRODUCT(Adds!$C$188:$H$188,Curves!$BQ$13:$BV$13)</f>
        <v/>
      </c>
      <c r="I67" s="3">
        <f>SUMPRODUCT(Adds!$C$188:$I$188,Curves!$BP$13:$BV$13)</f>
        <v/>
      </c>
      <c r="J67" s="3">
        <f>SUMPRODUCT(Adds!$C$188:$J$188,Curves!$BO$13:$BV$13)</f>
        <v/>
      </c>
      <c r="K67" s="3">
        <f>SUMPRODUCT(Adds!$C$188:$K$188,Curves!$BN$13:$BV$13)</f>
        <v/>
      </c>
      <c r="L67" s="3">
        <f>SUMPRODUCT(Adds!$C$188:$L$188,Curves!$BM$13:$BV$13)</f>
        <v/>
      </c>
      <c r="M67" s="3">
        <f>SUMPRODUCT(Adds!$C$188:$M$188,Curves!$BL$13:$BV$13)</f>
        <v/>
      </c>
      <c r="N67" s="3">
        <f>SUMPRODUCT(Adds!$C$188:$N$188,Curves!$BK$13:$BV$13)</f>
        <v/>
      </c>
      <c r="O67" s="3">
        <f>SUMPRODUCT(Adds!$C$188:$O$188,Curves!$BJ$13:$BV$13)</f>
        <v/>
      </c>
      <c r="P67" s="3">
        <f>SUMPRODUCT(Adds!$C$188:$P$188,Curves!$BI$13:$BV$13)</f>
        <v/>
      </c>
      <c r="Q67" s="3">
        <f>SUMPRODUCT(Adds!$C$188:$Q$188,Curves!$BH$13:$BV$13)</f>
        <v/>
      </c>
      <c r="R67" s="3">
        <f>SUMPRODUCT(Adds!$C$188:$R$188,Curves!$BG$13:$BV$13)</f>
        <v/>
      </c>
      <c r="S67" s="3">
        <f>SUMPRODUCT(Adds!$C$188:$S$188,Curves!$BF$13:$BV$13)</f>
        <v/>
      </c>
      <c r="T67" s="3">
        <f>SUMPRODUCT(Adds!$C$188:$T$188,Curves!$BE$13:$BV$13)</f>
        <v/>
      </c>
      <c r="U67" s="3">
        <f>SUMPRODUCT(Adds!$C$188:$U$188,Curves!$BD$13:$BV$13)</f>
        <v/>
      </c>
      <c r="V67" s="3">
        <f>SUMPRODUCT(Adds!$C$188:$V$188,Curves!$BC$13:$BV$13)</f>
        <v/>
      </c>
      <c r="W67" s="3">
        <f>SUMPRODUCT(Adds!$C$188:$W$188,Curves!$BB$13:$BV$13)</f>
        <v/>
      </c>
      <c r="X67" s="3">
        <f>SUMPRODUCT(Adds!$C$188:$X$188,Curves!$BA$13:$BV$13)</f>
        <v/>
      </c>
      <c r="Y67" s="3">
        <f>SUMPRODUCT(Adds!$C$188:$Y$188,Curves!$AZ$13:$BV$13)</f>
        <v/>
      </c>
      <c r="Z67" s="3">
        <f>SUMPRODUCT(Adds!$C$188:$Z$188,Curves!$AY$13:$BV$13)</f>
        <v/>
      </c>
      <c r="AA67" s="3">
        <f>SUMPRODUCT(Adds!$C$188:$AA$188,Curves!$AX$13:$BV$13)</f>
        <v/>
      </c>
      <c r="AB67" s="3">
        <f>SUMPRODUCT(Adds!$C$188:$AB$188,Curves!$AW$13:$BV$13)</f>
        <v/>
      </c>
      <c r="AC67" s="3">
        <f>SUMPRODUCT(Adds!$C$188:$AC$188,Curves!$AV$13:$BV$13)</f>
        <v/>
      </c>
      <c r="AD67" s="3">
        <f>SUMPRODUCT(Adds!$C$188:$AD$188,Curves!$AU$13:$BV$13)</f>
        <v/>
      </c>
      <c r="AE67" s="3">
        <f>SUMPRODUCT(Adds!$C$188:$AE$188,Curves!$AT$13:$BV$13)</f>
        <v/>
      </c>
      <c r="AF67" s="3">
        <f>SUMPRODUCT(Adds!$C$188:$AF$188,Curves!$AS$13:$BV$13)</f>
        <v/>
      </c>
      <c r="AG67" s="3">
        <f>SUMPRODUCT(Adds!$C$188:$AG$188,Curves!$AR$13:$BV$13)</f>
        <v/>
      </c>
      <c r="AH67" s="3">
        <f>SUMPRODUCT(Adds!$C$188:$AH$188,Curves!$AQ$13:$BV$13)</f>
        <v/>
      </c>
      <c r="AI67" s="3">
        <f>SUMPRODUCT(Adds!$C$188:$AI$188,Curves!$AP$13:$BV$13)</f>
        <v/>
      </c>
      <c r="AJ67" s="3">
        <f>SUMPRODUCT(Adds!$C$188:$AJ$188,Curves!$AO$13:$BV$13)</f>
        <v/>
      </c>
      <c r="AK67" s="3">
        <f>SUMPRODUCT(Adds!$C$188:$AK$188,Curves!$AN$13:$BV$13)</f>
        <v/>
      </c>
      <c r="AL67" s="3">
        <f>SUMPRODUCT(Adds!$C$188:$AL$188,Curves!$AM$13:$BV$13)</f>
        <v/>
      </c>
      <c r="AM67" s="3">
        <f>SUMPRODUCT(Adds!$C$188:$AM$188,Curves!$AL$13:$BV$13)</f>
        <v/>
      </c>
      <c r="AN67" s="3">
        <f>SUMPRODUCT(Adds!$C$188:$AN$188,Curves!$AK$13:$BV$13)</f>
        <v/>
      </c>
      <c r="AO67" s="3">
        <f>SUMPRODUCT(Adds!$C$188:$AO$188,Curves!$AJ$13:$BV$13)</f>
        <v/>
      </c>
      <c r="AP67" s="3">
        <f>SUMPRODUCT(Adds!$C$188:$AP$188,Curves!$AI$13:$BV$13)</f>
        <v/>
      </c>
      <c r="AQ67" s="3">
        <f>SUMPRODUCT(Adds!$C$188:$AQ$188,Curves!$AH$13:$BV$13)</f>
        <v/>
      </c>
      <c r="AR67" s="3">
        <f>SUMPRODUCT(Adds!$C$188:$AR$188,Curves!$AG$13:$BV$13)</f>
        <v/>
      </c>
      <c r="AS67" s="3">
        <f>SUMPRODUCT(Adds!$C$188:$AS$188,Curves!$AF$13:$BV$13)</f>
        <v/>
      </c>
      <c r="AT67" s="3">
        <f>SUMPRODUCT(Adds!$C$188:$AT$188,Curves!$AE$13:$BV$13)</f>
        <v/>
      </c>
      <c r="AU67" s="3">
        <f>SUMPRODUCT(Adds!$C$188:$AU$188,Curves!$AD$13:$BV$13)</f>
        <v/>
      </c>
      <c r="AV67" s="3">
        <f>SUMPRODUCT(Adds!$C$188:$AV$188,Curves!$AC$13:$BV$13)</f>
        <v/>
      </c>
      <c r="AW67" s="3">
        <f>SUMPRODUCT(Adds!$C$188:$AW$188,Curves!$AB$13:$BV$13)</f>
        <v/>
      </c>
      <c r="AX67" s="3">
        <f>SUMPRODUCT(Adds!$C$188:$AX$188,Curves!$AA$13:$BV$13)</f>
        <v/>
      </c>
      <c r="AY67" s="3">
        <f>SUMPRODUCT(Adds!$C$188:$AY$188,Curves!$Z$13:$BV$13)</f>
        <v/>
      </c>
      <c r="AZ67" s="3">
        <f>SUMPRODUCT(Adds!$C$188:$AZ$188,Curves!$Y$13:$BV$13)</f>
        <v/>
      </c>
      <c r="BA67" s="3">
        <f>SUMPRODUCT(Adds!$C$188:$BA$188,Curves!$X$13:$BV$13)</f>
        <v/>
      </c>
      <c r="BB67" s="3">
        <f>SUMPRODUCT(Adds!$C$188:$BB$188,Curves!$W$13:$BV$13)</f>
        <v/>
      </c>
      <c r="BC67" s="3">
        <f>SUMPRODUCT(Adds!$C$188:$BC$188,Curves!$V$13:$BV$13)</f>
        <v/>
      </c>
      <c r="BD67" s="3">
        <f>SUMPRODUCT(Adds!$C$188:$BD$188,Curves!$U$13:$BV$13)</f>
        <v/>
      </c>
      <c r="BE67" s="3">
        <f>SUMPRODUCT(Adds!$C$188:$BE$188,Curves!$T$13:$BV$13)</f>
        <v/>
      </c>
      <c r="BF67" s="3">
        <f>SUMPRODUCT(Adds!$C$188:$BF$188,Curves!$S$13:$BV$13)</f>
        <v/>
      </c>
      <c r="BG67" s="3">
        <f>SUMPRODUCT(Adds!$C$188:$BG$188,Curves!$R$13:$BV$13)</f>
        <v/>
      </c>
      <c r="BH67" s="3">
        <f>SUMPRODUCT(Adds!$C$188:$BH$188,Curves!$Q$13:$BV$13)</f>
        <v/>
      </c>
      <c r="BI67" s="3">
        <f>SUMPRODUCT(Adds!$C$188:$BI$188,Curves!$P$13:$BV$13)</f>
        <v/>
      </c>
      <c r="BJ67" s="3">
        <f>SUMPRODUCT(Adds!$C$188:$BJ$188,Curves!$O$13:$BV$13)</f>
        <v/>
      </c>
      <c r="BK67" s="3">
        <f>SUMPRODUCT(Adds!$C$188:$BK$188,Curves!$N$13:$BV$13)</f>
        <v/>
      </c>
      <c r="BL67" s="3">
        <f>SUMPRODUCT(Adds!$C$188:$BL$188,Curves!$M$13:$BV$13)</f>
        <v/>
      </c>
      <c r="BM67" s="3">
        <f>SUMPRODUCT(Adds!$C$188:$BM$188,Curves!$L$13:$BV$13)</f>
        <v/>
      </c>
      <c r="BN67" s="3">
        <f>SUMPRODUCT(Adds!$C$188:$BN$188,Curves!$K$13:$BV$13)</f>
        <v/>
      </c>
      <c r="BO67" s="3">
        <f>SUMPRODUCT(Adds!$C$188:$BO$188,Curves!$J$13:$BV$13)</f>
        <v/>
      </c>
      <c r="BP67" s="3">
        <f>SUMPRODUCT(Adds!$C$188:$BP$188,Curves!$I$13:$BV$13)</f>
        <v/>
      </c>
      <c r="BQ67" s="3">
        <f>SUMPRODUCT(Adds!$C$188:$BQ$188,Curves!$H$13:$BV$13)</f>
        <v/>
      </c>
      <c r="BR67" s="3">
        <f>SUMPRODUCT(Adds!$C$188:$BR$188,Curves!$G$13:$BV$13)</f>
        <v/>
      </c>
      <c r="BS67" s="3">
        <f>SUMPRODUCT(Adds!$C$188:$BS$188,Curves!$F$13:$BV$13)</f>
        <v/>
      </c>
      <c r="BT67" s="3">
        <f>SUMPRODUCT(Adds!$C$188:$BT$188,Curves!$E$13:$BV$13)</f>
        <v/>
      </c>
      <c r="BU67" s="3">
        <f>SUMPRODUCT(Adds!$C$188:$BU$188,Curves!$D$13:$BV$13)</f>
        <v/>
      </c>
      <c r="BV67" s="3">
        <f>SUMPRODUCT(Adds!$C$188:$BV$188,Curves!$C$13:$BV$13)</f>
        <v/>
      </c>
    </row>
    <row r="68">
      <c r="A68" t="inlineStr">
        <is>
          <t>active yr 1</t>
        </is>
      </c>
      <c r="B68" t="inlineStr">
        <is>
          <t>ROW|NITRO_M</t>
        </is>
      </c>
      <c r="C68" s="3">
        <f>Adds!$C$188*Curves!$BV$20</f>
        <v/>
      </c>
      <c r="D68" s="3">
        <f>SUMPRODUCT(Adds!$C$188:$D$188,Curves!$BU$20:$BV$20)</f>
        <v/>
      </c>
      <c r="E68" s="3">
        <f>SUMPRODUCT(Adds!$C$188:$E$188,Curves!$BT$20:$BV$20)</f>
        <v/>
      </c>
      <c r="F68" s="3">
        <f>SUMPRODUCT(Adds!$C$188:$F$188,Curves!$BS$20:$BV$20)</f>
        <v/>
      </c>
      <c r="G68" s="3">
        <f>SUMPRODUCT(Adds!$C$188:$G$188,Curves!$BR$20:$BV$20)</f>
        <v/>
      </c>
      <c r="H68" s="3">
        <f>SUMPRODUCT(Adds!$C$188:$H$188,Curves!$BQ$20:$BV$20)</f>
        <v/>
      </c>
      <c r="I68" s="3">
        <f>SUMPRODUCT(Adds!$C$188:$I$188,Curves!$BP$20:$BV$20)</f>
        <v/>
      </c>
      <c r="J68" s="3">
        <f>SUMPRODUCT(Adds!$C$188:$J$188,Curves!$BO$20:$BV$20)</f>
        <v/>
      </c>
      <c r="K68" s="3">
        <f>SUMPRODUCT(Adds!$C$188:$K$188,Curves!$BN$20:$BV$20)</f>
        <v/>
      </c>
      <c r="L68" s="3">
        <f>SUMPRODUCT(Adds!$C$188:$L$188,Curves!$BM$20:$BV$20)</f>
        <v/>
      </c>
      <c r="M68" s="3">
        <f>SUMPRODUCT(Adds!$C$188:$M$188,Curves!$BL$20:$BV$20)</f>
        <v/>
      </c>
      <c r="N68" s="3">
        <f>SUMPRODUCT(Adds!$C$188:$N$188,Curves!$BK$20:$BV$20)</f>
        <v/>
      </c>
      <c r="O68" s="3">
        <f>SUMPRODUCT(Adds!$C$188:$O$188,Curves!$BJ$20:$BV$20)</f>
        <v/>
      </c>
      <c r="P68" s="3">
        <f>SUMPRODUCT(Adds!$C$188:$P$188,Curves!$BI$20:$BV$20)</f>
        <v/>
      </c>
      <c r="Q68" s="3">
        <f>SUMPRODUCT(Adds!$C$188:$Q$188,Curves!$BH$20:$BV$20)</f>
        <v/>
      </c>
      <c r="R68" s="3">
        <f>SUMPRODUCT(Adds!$C$188:$R$188,Curves!$BG$20:$BV$20)</f>
        <v/>
      </c>
      <c r="S68" s="3">
        <f>SUMPRODUCT(Adds!$C$188:$S$188,Curves!$BF$20:$BV$20)</f>
        <v/>
      </c>
      <c r="T68" s="3">
        <f>SUMPRODUCT(Adds!$C$188:$T$188,Curves!$BE$20:$BV$20)</f>
        <v/>
      </c>
      <c r="U68" s="3">
        <f>SUMPRODUCT(Adds!$C$188:$U$188,Curves!$BD$20:$BV$20)</f>
        <v/>
      </c>
      <c r="V68" s="3">
        <f>SUMPRODUCT(Adds!$C$188:$V$188,Curves!$BC$20:$BV$20)</f>
        <v/>
      </c>
      <c r="W68" s="3">
        <f>SUMPRODUCT(Adds!$C$188:$W$188,Curves!$BB$20:$BV$20)</f>
        <v/>
      </c>
      <c r="X68" s="3">
        <f>SUMPRODUCT(Adds!$C$188:$X$188,Curves!$BA$20:$BV$20)</f>
        <v/>
      </c>
      <c r="Y68" s="3">
        <f>SUMPRODUCT(Adds!$C$188:$Y$188,Curves!$AZ$20:$BV$20)</f>
        <v/>
      </c>
      <c r="Z68" s="3">
        <f>SUMPRODUCT(Adds!$C$188:$Z$188,Curves!$AY$20:$BV$20)</f>
        <v/>
      </c>
      <c r="AA68" s="3">
        <f>SUMPRODUCT(Adds!$C$188:$AA$188,Curves!$AX$20:$BV$20)</f>
        <v/>
      </c>
      <c r="AB68" s="3">
        <f>SUMPRODUCT(Adds!$C$188:$AB$188,Curves!$AW$20:$BV$20)</f>
        <v/>
      </c>
      <c r="AC68" s="3">
        <f>SUMPRODUCT(Adds!$C$188:$AC$188,Curves!$AV$20:$BV$20)</f>
        <v/>
      </c>
      <c r="AD68" s="3">
        <f>SUMPRODUCT(Adds!$C$188:$AD$188,Curves!$AU$20:$BV$20)</f>
        <v/>
      </c>
      <c r="AE68" s="3">
        <f>SUMPRODUCT(Adds!$C$188:$AE$188,Curves!$AT$20:$BV$20)</f>
        <v/>
      </c>
      <c r="AF68" s="3">
        <f>SUMPRODUCT(Adds!$C$188:$AF$188,Curves!$AS$20:$BV$20)</f>
        <v/>
      </c>
      <c r="AG68" s="3">
        <f>SUMPRODUCT(Adds!$C$188:$AG$188,Curves!$AR$20:$BV$20)</f>
        <v/>
      </c>
      <c r="AH68" s="3">
        <f>SUMPRODUCT(Adds!$C$188:$AH$188,Curves!$AQ$20:$BV$20)</f>
        <v/>
      </c>
      <c r="AI68" s="3">
        <f>SUMPRODUCT(Adds!$C$188:$AI$188,Curves!$AP$20:$BV$20)</f>
        <v/>
      </c>
      <c r="AJ68" s="3">
        <f>SUMPRODUCT(Adds!$C$188:$AJ$188,Curves!$AO$20:$BV$20)</f>
        <v/>
      </c>
      <c r="AK68" s="3">
        <f>SUMPRODUCT(Adds!$C$188:$AK$188,Curves!$AN$20:$BV$20)</f>
        <v/>
      </c>
      <c r="AL68" s="3">
        <f>SUMPRODUCT(Adds!$C$188:$AL$188,Curves!$AM$20:$BV$20)</f>
        <v/>
      </c>
      <c r="AM68" s="3">
        <f>SUMPRODUCT(Adds!$C$188:$AM$188,Curves!$AL$20:$BV$20)</f>
        <v/>
      </c>
      <c r="AN68" s="3">
        <f>SUMPRODUCT(Adds!$C$188:$AN$188,Curves!$AK$20:$BV$20)</f>
        <v/>
      </c>
      <c r="AO68" s="3">
        <f>SUMPRODUCT(Adds!$C$188:$AO$188,Curves!$AJ$20:$BV$20)</f>
        <v/>
      </c>
      <c r="AP68" s="3">
        <f>SUMPRODUCT(Adds!$C$188:$AP$188,Curves!$AI$20:$BV$20)</f>
        <v/>
      </c>
      <c r="AQ68" s="3">
        <f>SUMPRODUCT(Adds!$C$188:$AQ$188,Curves!$AH$20:$BV$20)</f>
        <v/>
      </c>
      <c r="AR68" s="3">
        <f>SUMPRODUCT(Adds!$C$188:$AR$188,Curves!$AG$20:$BV$20)</f>
        <v/>
      </c>
      <c r="AS68" s="3">
        <f>SUMPRODUCT(Adds!$C$188:$AS$188,Curves!$AF$20:$BV$20)</f>
        <v/>
      </c>
      <c r="AT68" s="3">
        <f>SUMPRODUCT(Adds!$C$188:$AT$188,Curves!$AE$20:$BV$20)</f>
        <v/>
      </c>
      <c r="AU68" s="3">
        <f>SUMPRODUCT(Adds!$C$188:$AU$188,Curves!$AD$20:$BV$20)</f>
        <v/>
      </c>
      <c r="AV68" s="3">
        <f>SUMPRODUCT(Adds!$C$188:$AV$188,Curves!$AC$20:$BV$20)</f>
        <v/>
      </c>
      <c r="AW68" s="3">
        <f>SUMPRODUCT(Adds!$C$188:$AW$188,Curves!$AB$20:$BV$20)</f>
        <v/>
      </c>
      <c r="AX68" s="3">
        <f>SUMPRODUCT(Adds!$C$188:$AX$188,Curves!$AA$20:$BV$20)</f>
        <v/>
      </c>
      <c r="AY68" s="3">
        <f>SUMPRODUCT(Adds!$C$188:$AY$188,Curves!$Z$20:$BV$20)</f>
        <v/>
      </c>
      <c r="AZ68" s="3">
        <f>SUMPRODUCT(Adds!$C$188:$AZ$188,Curves!$Y$20:$BV$20)</f>
        <v/>
      </c>
      <c r="BA68" s="3">
        <f>SUMPRODUCT(Adds!$C$188:$BA$188,Curves!$X$20:$BV$20)</f>
        <v/>
      </c>
      <c r="BB68" s="3">
        <f>SUMPRODUCT(Adds!$C$188:$BB$188,Curves!$W$20:$BV$20)</f>
        <v/>
      </c>
      <c r="BC68" s="3">
        <f>SUMPRODUCT(Adds!$C$188:$BC$188,Curves!$V$20:$BV$20)</f>
        <v/>
      </c>
      <c r="BD68" s="3">
        <f>SUMPRODUCT(Adds!$C$188:$BD$188,Curves!$U$20:$BV$20)</f>
        <v/>
      </c>
      <c r="BE68" s="3">
        <f>SUMPRODUCT(Adds!$C$188:$BE$188,Curves!$T$20:$BV$20)</f>
        <v/>
      </c>
      <c r="BF68" s="3">
        <f>SUMPRODUCT(Adds!$C$188:$BF$188,Curves!$S$20:$BV$20)</f>
        <v/>
      </c>
      <c r="BG68" s="3">
        <f>SUMPRODUCT(Adds!$C$188:$BG$188,Curves!$R$20:$BV$20)</f>
        <v/>
      </c>
      <c r="BH68" s="3">
        <f>SUMPRODUCT(Adds!$C$188:$BH$188,Curves!$Q$20:$BV$20)</f>
        <v/>
      </c>
      <c r="BI68" s="3">
        <f>SUMPRODUCT(Adds!$C$188:$BI$188,Curves!$P$20:$BV$20)</f>
        <v/>
      </c>
      <c r="BJ68" s="3">
        <f>SUMPRODUCT(Adds!$C$188:$BJ$188,Curves!$O$20:$BV$20)</f>
        <v/>
      </c>
      <c r="BK68" s="3">
        <f>SUMPRODUCT(Adds!$C$188:$BK$188,Curves!$N$20:$BV$20)</f>
        <v/>
      </c>
      <c r="BL68" s="3">
        <f>SUMPRODUCT(Adds!$C$188:$BL$188,Curves!$M$20:$BV$20)</f>
        <v/>
      </c>
      <c r="BM68" s="3">
        <f>SUMPRODUCT(Adds!$C$188:$BM$188,Curves!$L$20:$BV$20)</f>
        <v/>
      </c>
      <c r="BN68" s="3">
        <f>SUMPRODUCT(Adds!$C$188:$BN$188,Curves!$K$20:$BV$20)</f>
        <v/>
      </c>
      <c r="BO68" s="3">
        <f>SUMPRODUCT(Adds!$C$188:$BO$188,Curves!$J$20:$BV$20)</f>
        <v/>
      </c>
      <c r="BP68" s="3">
        <f>SUMPRODUCT(Adds!$C$188:$BP$188,Curves!$I$20:$BV$20)</f>
        <v/>
      </c>
      <c r="BQ68" s="3">
        <f>SUMPRODUCT(Adds!$C$188:$BQ$188,Curves!$H$20:$BV$20)</f>
        <v/>
      </c>
      <c r="BR68" s="3">
        <f>SUMPRODUCT(Adds!$C$188:$BR$188,Curves!$G$20:$BV$20)</f>
        <v/>
      </c>
      <c r="BS68" s="3">
        <f>SUMPRODUCT(Adds!$C$188:$BS$188,Curves!$F$20:$BV$20)</f>
        <v/>
      </c>
      <c r="BT68" s="3">
        <f>SUMPRODUCT(Adds!$C$188:$BT$188,Curves!$E$20:$BV$20)</f>
        <v/>
      </c>
      <c r="BU68" s="3">
        <f>SUMPRODUCT(Adds!$C$188:$BU$188,Curves!$D$20:$BV$20)</f>
        <v/>
      </c>
      <c r="BV68" s="3">
        <f>SUMPRODUCT(Adds!$C$188:$BV$188,Curves!$C$20:$BV$20)</f>
        <v/>
      </c>
    </row>
    <row r="69">
      <c r="A69" t="inlineStr">
        <is>
          <t>churned</t>
        </is>
      </c>
      <c r="B69" t="inlineStr">
        <is>
          <t>ROW|NITRO_M</t>
        </is>
      </c>
      <c r="C69" s="3">
        <f>Adds!$C$188*Curves!$BV$15</f>
        <v/>
      </c>
      <c r="D69" s="3">
        <f>SUMPRODUCT(Adds!$C$188:$D$188,Curves!$BU$15:$BV$15)</f>
        <v/>
      </c>
      <c r="E69" s="3">
        <f>SUMPRODUCT(Adds!$C$188:$E$188,Curves!$BT$15:$BV$15)</f>
        <v/>
      </c>
      <c r="F69" s="3">
        <f>SUMPRODUCT(Adds!$C$188:$F$188,Curves!$BS$15:$BV$15)</f>
        <v/>
      </c>
      <c r="G69" s="3">
        <f>SUMPRODUCT(Adds!$C$188:$G$188,Curves!$BR$15:$BV$15)</f>
        <v/>
      </c>
      <c r="H69" s="3">
        <f>SUMPRODUCT(Adds!$C$188:$H$188,Curves!$BQ$15:$BV$15)</f>
        <v/>
      </c>
      <c r="I69" s="3">
        <f>SUMPRODUCT(Adds!$C$188:$I$188,Curves!$BP$15:$BV$15)</f>
        <v/>
      </c>
      <c r="J69" s="3">
        <f>SUMPRODUCT(Adds!$C$188:$J$188,Curves!$BO$15:$BV$15)</f>
        <v/>
      </c>
      <c r="K69" s="3">
        <f>SUMPRODUCT(Adds!$C$188:$K$188,Curves!$BN$15:$BV$15)</f>
        <v/>
      </c>
      <c r="L69" s="3">
        <f>SUMPRODUCT(Adds!$C$188:$L$188,Curves!$BM$15:$BV$15)</f>
        <v/>
      </c>
      <c r="M69" s="3">
        <f>SUMPRODUCT(Adds!$C$188:$M$188,Curves!$BL$15:$BV$15)</f>
        <v/>
      </c>
      <c r="N69" s="3">
        <f>SUMPRODUCT(Adds!$C$188:$N$188,Curves!$BK$15:$BV$15)</f>
        <v/>
      </c>
      <c r="O69" s="3">
        <f>SUMPRODUCT(Adds!$C$188:$O$188,Curves!$BJ$15:$BV$15)</f>
        <v/>
      </c>
      <c r="P69" s="3">
        <f>SUMPRODUCT(Adds!$C$188:$P$188,Curves!$BI$15:$BV$15)</f>
        <v/>
      </c>
      <c r="Q69" s="3">
        <f>SUMPRODUCT(Adds!$C$188:$Q$188,Curves!$BH$15:$BV$15)</f>
        <v/>
      </c>
      <c r="R69" s="3">
        <f>SUMPRODUCT(Adds!$C$188:$R$188,Curves!$BG$15:$BV$15)</f>
        <v/>
      </c>
      <c r="S69" s="3">
        <f>SUMPRODUCT(Adds!$C$188:$S$188,Curves!$BF$15:$BV$15)</f>
        <v/>
      </c>
      <c r="T69" s="3">
        <f>SUMPRODUCT(Adds!$C$188:$T$188,Curves!$BE$15:$BV$15)</f>
        <v/>
      </c>
      <c r="U69" s="3">
        <f>SUMPRODUCT(Adds!$C$188:$U$188,Curves!$BD$15:$BV$15)</f>
        <v/>
      </c>
      <c r="V69" s="3">
        <f>SUMPRODUCT(Adds!$C$188:$V$188,Curves!$BC$15:$BV$15)</f>
        <v/>
      </c>
      <c r="W69" s="3">
        <f>SUMPRODUCT(Adds!$C$188:$W$188,Curves!$BB$15:$BV$15)</f>
        <v/>
      </c>
      <c r="X69" s="3">
        <f>SUMPRODUCT(Adds!$C$188:$X$188,Curves!$BA$15:$BV$15)</f>
        <v/>
      </c>
      <c r="Y69" s="3">
        <f>SUMPRODUCT(Adds!$C$188:$Y$188,Curves!$AZ$15:$BV$15)</f>
        <v/>
      </c>
      <c r="Z69" s="3">
        <f>SUMPRODUCT(Adds!$C$188:$Z$188,Curves!$AY$15:$BV$15)</f>
        <v/>
      </c>
      <c r="AA69" s="3">
        <f>SUMPRODUCT(Adds!$C$188:$AA$188,Curves!$AX$15:$BV$15)</f>
        <v/>
      </c>
      <c r="AB69" s="3">
        <f>SUMPRODUCT(Adds!$C$188:$AB$188,Curves!$AW$15:$BV$15)</f>
        <v/>
      </c>
      <c r="AC69" s="3">
        <f>SUMPRODUCT(Adds!$C$188:$AC$188,Curves!$AV$15:$BV$15)</f>
        <v/>
      </c>
      <c r="AD69" s="3">
        <f>SUMPRODUCT(Adds!$C$188:$AD$188,Curves!$AU$15:$BV$15)</f>
        <v/>
      </c>
      <c r="AE69" s="3">
        <f>SUMPRODUCT(Adds!$C$188:$AE$188,Curves!$AT$15:$BV$15)</f>
        <v/>
      </c>
      <c r="AF69" s="3">
        <f>SUMPRODUCT(Adds!$C$188:$AF$188,Curves!$AS$15:$BV$15)</f>
        <v/>
      </c>
      <c r="AG69" s="3">
        <f>SUMPRODUCT(Adds!$C$188:$AG$188,Curves!$AR$15:$BV$15)</f>
        <v/>
      </c>
      <c r="AH69" s="3">
        <f>SUMPRODUCT(Adds!$C$188:$AH$188,Curves!$AQ$15:$BV$15)</f>
        <v/>
      </c>
      <c r="AI69" s="3">
        <f>SUMPRODUCT(Adds!$C$188:$AI$188,Curves!$AP$15:$BV$15)</f>
        <v/>
      </c>
      <c r="AJ69" s="3">
        <f>SUMPRODUCT(Adds!$C$188:$AJ$188,Curves!$AO$15:$BV$15)</f>
        <v/>
      </c>
      <c r="AK69" s="3">
        <f>SUMPRODUCT(Adds!$C$188:$AK$188,Curves!$AN$15:$BV$15)</f>
        <v/>
      </c>
      <c r="AL69" s="3">
        <f>SUMPRODUCT(Adds!$C$188:$AL$188,Curves!$AM$15:$BV$15)</f>
        <v/>
      </c>
      <c r="AM69" s="3">
        <f>SUMPRODUCT(Adds!$C$188:$AM$188,Curves!$AL$15:$BV$15)</f>
        <v/>
      </c>
      <c r="AN69" s="3">
        <f>SUMPRODUCT(Adds!$C$188:$AN$188,Curves!$AK$15:$BV$15)</f>
        <v/>
      </c>
      <c r="AO69" s="3">
        <f>SUMPRODUCT(Adds!$C$188:$AO$188,Curves!$AJ$15:$BV$15)</f>
        <v/>
      </c>
      <c r="AP69" s="3">
        <f>SUMPRODUCT(Adds!$C$188:$AP$188,Curves!$AI$15:$BV$15)</f>
        <v/>
      </c>
      <c r="AQ69" s="3">
        <f>SUMPRODUCT(Adds!$C$188:$AQ$188,Curves!$AH$15:$BV$15)</f>
        <v/>
      </c>
      <c r="AR69" s="3">
        <f>SUMPRODUCT(Adds!$C$188:$AR$188,Curves!$AG$15:$BV$15)</f>
        <v/>
      </c>
      <c r="AS69" s="3">
        <f>SUMPRODUCT(Adds!$C$188:$AS$188,Curves!$AF$15:$BV$15)</f>
        <v/>
      </c>
      <c r="AT69" s="3">
        <f>SUMPRODUCT(Adds!$C$188:$AT$188,Curves!$AE$15:$BV$15)</f>
        <v/>
      </c>
      <c r="AU69" s="3">
        <f>SUMPRODUCT(Adds!$C$188:$AU$188,Curves!$AD$15:$BV$15)</f>
        <v/>
      </c>
      <c r="AV69" s="3">
        <f>SUMPRODUCT(Adds!$C$188:$AV$188,Curves!$AC$15:$BV$15)</f>
        <v/>
      </c>
      <c r="AW69" s="3">
        <f>SUMPRODUCT(Adds!$C$188:$AW$188,Curves!$AB$15:$BV$15)</f>
        <v/>
      </c>
      <c r="AX69" s="3">
        <f>SUMPRODUCT(Adds!$C$188:$AX$188,Curves!$AA$15:$BV$15)</f>
        <v/>
      </c>
      <c r="AY69" s="3">
        <f>SUMPRODUCT(Adds!$C$188:$AY$188,Curves!$Z$15:$BV$15)</f>
        <v/>
      </c>
      <c r="AZ69" s="3">
        <f>SUMPRODUCT(Adds!$C$188:$AZ$188,Curves!$Y$15:$BV$15)</f>
        <v/>
      </c>
      <c r="BA69" s="3">
        <f>SUMPRODUCT(Adds!$C$188:$BA$188,Curves!$X$15:$BV$15)</f>
        <v/>
      </c>
      <c r="BB69" s="3">
        <f>SUMPRODUCT(Adds!$C$188:$BB$188,Curves!$W$15:$BV$15)</f>
        <v/>
      </c>
      <c r="BC69" s="3">
        <f>SUMPRODUCT(Adds!$C$188:$BC$188,Curves!$V$15:$BV$15)</f>
        <v/>
      </c>
      <c r="BD69" s="3">
        <f>SUMPRODUCT(Adds!$C$188:$BD$188,Curves!$U$15:$BV$15)</f>
        <v/>
      </c>
      <c r="BE69" s="3">
        <f>SUMPRODUCT(Adds!$C$188:$BE$188,Curves!$T$15:$BV$15)</f>
        <v/>
      </c>
      <c r="BF69" s="3">
        <f>SUMPRODUCT(Adds!$C$188:$BF$188,Curves!$S$15:$BV$15)</f>
        <v/>
      </c>
      <c r="BG69" s="3">
        <f>SUMPRODUCT(Adds!$C$188:$BG$188,Curves!$R$15:$BV$15)</f>
        <v/>
      </c>
      <c r="BH69" s="3">
        <f>SUMPRODUCT(Adds!$C$188:$BH$188,Curves!$Q$15:$BV$15)</f>
        <v/>
      </c>
      <c r="BI69" s="3">
        <f>SUMPRODUCT(Adds!$C$188:$BI$188,Curves!$P$15:$BV$15)</f>
        <v/>
      </c>
      <c r="BJ69" s="3">
        <f>SUMPRODUCT(Adds!$C$188:$BJ$188,Curves!$O$15:$BV$15)</f>
        <v/>
      </c>
      <c r="BK69" s="3">
        <f>SUMPRODUCT(Adds!$C$188:$BK$188,Curves!$N$15:$BV$15)</f>
        <v/>
      </c>
      <c r="BL69" s="3">
        <f>SUMPRODUCT(Adds!$C$188:$BL$188,Curves!$M$15:$BV$15)</f>
        <v/>
      </c>
      <c r="BM69" s="3">
        <f>SUMPRODUCT(Adds!$C$188:$BM$188,Curves!$L$15:$BV$15)</f>
        <v/>
      </c>
      <c r="BN69" s="3">
        <f>SUMPRODUCT(Adds!$C$188:$BN$188,Curves!$K$15:$BV$15)</f>
        <v/>
      </c>
      <c r="BO69" s="3">
        <f>SUMPRODUCT(Adds!$C$188:$BO$188,Curves!$J$15:$BV$15)</f>
        <v/>
      </c>
      <c r="BP69" s="3">
        <f>SUMPRODUCT(Adds!$C$188:$BP$188,Curves!$I$15:$BV$15)</f>
        <v/>
      </c>
      <c r="BQ69" s="3">
        <f>SUMPRODUCT(Adds!$C$188:$BQ$188,Curves!$H$15:$BV$15)</f>
        <v/>
      </c>
      <c r="BR69" s="3">
        <f>SUMPRODUCT(Adds!$C$188:$BR$188,Curves!$G$15:$BV$15)</f>
        <v/>
      </c>
      <c r="BS69" s="3">
        <f>SUMPRODUCT(Adds!$C$188:$BS$188,Curves!$F$15:$BV$15)</f>
        <v/>
      </c>
      <c r="BT69" s="3">
        <f>SUMPRODUCT(Adds!$C$188:$BT$188,Curves!$E$15:$BV$15)</f>
        <v/>
      </c>
      <c r="BU69" s="3">
        <f>SUMPRODUCT(Adds!$C$188:$BU$188,Curves!$D$15:$BV$15)</f>
        <v/>
      </c>
      <c r="BV69" s="3">
        <f>SUMPRODUCT(Adds!$C$188:$BV$188,Curves!$C$15:$BV$15)</f>
        <v/>
      </c>
    </row>
    <row r="71">
      <c r="A71" t="inlineStr">
        <is>
          <t>active</t>
        </is>
      </c>
      <c r="B71" t="inlineStr">
        <is>
          <t>ROW|NITRO_A</t>
        </is>
      </c>
      <c r="C71" s="3">
        <f>Adds!$C$199*Curves!$BV$14</f>
        <v/>
      </c>
      <c r="D71" s="3">
        <f>SUMPRODUCT(Adds!$C$199:$D$199,Curves!$BU$14:$BV$14)</f>
        <v/>
      </c>
      <c r="E71" s="3">
        <f>SUMPRODUCT(Adds!$C$199:$E$199,Curves!$BT$14:$BV$14)</f>
        <v/>
      </c>
      <c r="F71" s="3">
        <f>SUMPRODUCT(Adds!$C$199:$F$199,Curves!$BS$14:$BV$14)</f>
        <v/>
      </c>
      <c r="G71" s="3">
        <f>SUMPRODUCT(Adds!$C$199:$G$199,Curves!$BR$14:$BV$14)</f>
        <v/>
      </c>
      <c r="H71" s="3">
        <f>SUMPRODUCT(Adds!$C$199:$H$199,Curves!$BQ$14:$BV$14)</f>
        <v/>
      </c>
      <c r="I71" s="3">
        <f>SUMPRODUCT(Adds!$C$199:$I$199,Curves!$BP$14:$BV$14)</f>
        <v/>
      </c>
      <c r="J71" s="3">
        <f>SUMPRODUCT(Adds!$C$199:$J$199,Curves!$BO$14:$BV$14)</f>
        <v/>
      </c>
      <c r="K71" s="3">
        <f>SUMPRODUCT(Adds!$C$199:$K$199,Curves!$BN$14:$BV$14)</f>
        <v/>
      </c>
      <c r="L71" s="3">
        <f>SUMPRODUCT(Adds!$C$199:$L$199,Curves!$BM$14:$BV$14)</f>
        <v/>
      </c>
      <c r="M71" s="3">
        <f>SUMPRODUCT(Adds!$C$199:$M$199,Curves!$BL$14:$BV$14)</f>
        <v/>
      </c>
      <c r="N71" s="3">
        <f>SUMPRODUCT(Adds!$C$199:$N$199,Curves!$BK$14:$BV$14)</f>
        <v/>
      </c>
      <c r="O71" s="3">
        <f>SUMPRODUCT(Adds!$C$199:$O$199,Curves!$BJ$14:$BV$14)</f>
        <v/>
      </c>
      <c r="P71" s="3">
        <f>SUMPRODUCT(Adds!$C$199:$P$199,Curves!$BI$14:$BV$14)</f>
        <v/>
      </c>
      <c r="Q71" s="3">
        <f>SUMPRODUCT(Adds!$C$199:$Q$199,Curves!$BH$14:$BV$14)</f>
        <v/>
      </c>
      <c r="R71" s="3">
        <f>SUMPRODUCT(Adds!$C$199:$R$199,Curves!$BG$14:$BV$14)</f>
        <v/>
      </c>
      <c r="S71" s="3">
        <f>SUMPRODUCT(Adds!$C$199:$S$199,Curves!$BF$14:$BV$14)</f>
        <v/>
      </c>
      <c r="T71" s="3">
        <f>SUMPRODUCT(Adds!$C$199:$T$199,Curves!$BE$14:$BV$14)</f>
        <v/>
      </c>
      <c r="U71" s="3">
        <f>SUMPRODUCT(Adds!$C$199:$U$199,Curves!$BD$14:$BV$14)</f>
        <v/>
      </c>
      <c r="V71" s="3">
        <f>SUMPRODUCT(Adds!$C$199:$V$199,Curves!$BC$14:$BV$14)</f>
        <v/>
      </c>
      <c r="W71" s="3">
        <f>SUMPRODUCT(Adds!$C$199:$W$199,Curves!$BB$14:$BV$14)</f>
        <v/>
      </c>
      <c r="X71" s="3">
        <f>SUMPRODUCT(Adds!$C$199:$X$199,Curves!$BA$14:$BV$14)</f>
        <v/>
      </c>
      <c r="Y71" s="3">
        <f>SUMPRODUCT(Adds!$C$199:$Y$199,Curves!$AZ$14:$BV$14)</f>
        <v/>
      </c>
      <c r="Z71" s="3">
        <f>SUMPRODUCT(Adds!$C$199:$Z$199,Curves!$AY$14:$BV$14)</f>
        <v/>
      </c>
      <c r="AA71" s="3">
        <f>SUMPRODUCT(Adds!$C$199:$AA$199,Curves!$AX$14:$BV$14)</f>
        <v/>
      </c>
      <c r="AB71" s="3">
        <f>SUMPRODUCT(Adds!$C$199:$AB$199,Curves!$AW$14:$BV$14)</f>
        <v/>
      </c>
      <c r="AC71" s="3">
        <f>SUMPRODUCT(Adds!$C$199:$AC$199,Curves!$AV$14:$BV$14)</f>
        <v/>
      </c>
      <c r="AD71" s="3">
        <f>SUMPRODUCT(Adds!$C$199:$AD$199,Curves!$AU$14:$BV$14)</f>
        <v/>
      </c>
      <c r="AE71" s="3">
        <f>SUMPRODUCT(Adds!$C$199:$AE$199,Curves!$AT$14:$BV$14)</f>
        <v/>
      </c>
      <c r="AF71" s="3">
        <f>SUMPRODUCT(Adds!$C$199:$AF$199,Curves!$AS$14:$BV$14)</f>
        <v/>
      </c>
      <c r="AG71" s="3">
        <f>SUMPRODUCT(Adds!$C$199:$AG$199,Curves!$AR$14:$BV$14)</f>
        <v/>
      </c>
      <c r="AH71" s="3">
        <f>SUMPRODUCT(Adds!$C$199:$AH$199,Curves!$AQ$14:$BV$14)</f>
        <v/>
      </c>
      <c r="AI71" s="3">
        <f>SUMPRODUCT(Adds!$C$199:$AI$199,Curves!$AP$14:$BV$14)</f>
        <v/>
      </c>
      <c r="AJ71" s="3">
        <f>SUMPRODUCT(Adds!$C$199:$AJ$199,Curves!$AO$14:$BV$14)</f>
        <v/>
      </c>
      <c r="AK71" s="3">
        <f>SUMPRODUCT(Adds!$C$199:$AK$199,Curves!$AN$14:$BV$14)</f>
        <v/>
      </c>
      <c r="AL71" s="3">
        <f>SUMPRODUCT(Adds!$C$199:$AL$199,Curves!$AM$14:$BV$14)</f>
        <v/>
      </c>
      <c r="AM71" s="3">
        <f>SUMPRODUCT(Adds!$C$199:$AM$199,Curves!$AL$14:$BV$14)</f>
        <v/>
      </c>
      <c r="AN71" s="3">
        <f>SUMPRODUCT(Adds!$C$199:$AN$199,Curves!$AK$14:$BV$14)</f>
        <v/>
      </c>
      <c r="AO71" s="3">
        <f>SUMPRODUCT(Adds!$C$199:$AO$199,Curves!$AJ$14:$BV$14)</f>
        <v/>
      </c>
      <c r="AP71" s="3">
        <f>SUMPRODUCT(Adds!$C$199:$AP$199,Curves!$AI$14:$BV$14)</f>
        <v/>
      </c>
      <c r="AQ71" s="3">
        <f>SUMPRODUCT(Adds!$C$199:$AQ$199,Curves!$AH$14:$BV$14)</f>
        <v/>
      </c>
      <c r="AR71" s="3">
        <f>SUMPRODUCT(Adds!$C$199:$AR$199,Curves!$AG$14:$BV$14)</f>
        <v/>
      </c>
      <c r="AS71" s="3">
        <f>SUMPRODUCT(Adds!$C$199:$AS$199,Curves!$AF$14:$BV$14)</f>
        <v/>
      </c>
      <c r="AT71" s="3">
        <f>SUMPRODUCT(Adds!$C$199:$AT$199,Curves!$AE$14:$BV$14)</f>
        <v/>
      </c>
      <c r="AU71" s="3">
        <f>SUMPRODUCT(Adds!$C$199:$AU$199,Curves!$AD$14:$BV$14)</f>
        <v/>
      </c>
      <c r="AV71" s="3">
        <f>SUMPRODUCT(Adds!$C$199:$AV$199,Curves!$AC$14:$BV$14)</f>
        <v/>
      </c>
      <c r="AW71" s="3">
        <f>SUMPRODUCT(Adds!$C$199:$AW$199,Curves!$AB$14:$BV$14)</f>
        <v/>
      </c>
      <c r="AX71" s="3">
        <f>SUMPRODUCT(Adds!$C$199:$AX$199,Curves!$AA$14:$BV$14)</f>
        <v/>
      </c>
      <c r="AY71" s="3">
        <f>SUMPRODUCT(Adds!$C$199:$AY$199,Curves!$Z$14:$BV$14)</f>
        <v/>
      </c>
      <c r="AZ71" s="3">
        <f>SUMPRODUCT(Adds!$C$199:$AZ$199,Curves!$Y$14:$BV$14)</f>
        <v/>
      </c>
      <c r="BA71" s="3">
        <f>SUMPRODUCT(Adds!$C$199:$BA$199,Curves!$X$14:$BV$14)</f>
        <v/>
      </c>
      <c r="BB71" s="3">
        <f>SUMPRODUCT(Adds!$C$199:$BB$199,Curves!$W$14:$BV$14)</f>
        <v/>
      </c>
      <c r="BC71" s="3">
        <f>SUMPRODUCT(Adds!$C$199:$BC$199,Curves!$V$14:$BV$14)</f>
        <v/>
      </c>
      <c r="BD71" s="3">
        <f>SUMPRODUCT(Adds!$C$199:$BD$199,Curves!$U$14:$BV$14)</f>
        <v/>
      </c>
      <c r="BE71" s="3">
        <f>SUMPRODUCT(Adds!$C$199:$BE$199,Curves!$T$14:$BV$14)</f>
        <v/>
      </c>
      <c r="BF71" s="3">
        <f>SUMPRODUCT(Adds!$C$199:$BF$199,Curves!$S$14:$BV$14)</f>
        <v/>
      </c>
      <c r="BG71" s="3">
        <f>SUMPRODUCT(Adds!$C$199:$BG$199,Curves!$R$14:$BV$14)</f>
        <v/>
      </c>
      <c r="BH71" s="3">
        <f>SUMPRODUCT(Adds!$C$199:$BH$199,Curves!$Q$14:$BV$14)</f>
        <v/>
      </c>
      <c r="BI71" s="3">
        <f>SUMPRODUCT(Adds!$C$199:$BI$199,Curves!$P$14:$BV$14)</f>
        <v/>
      </c>
      <c r="BJ71" s="3">
        <f>SUMPRODUCT(Adds!$C$199:$BJ$199,Curves!$O$14:$BV$14)</f>
        <v/>
      </c>
      <c r="BK71" s="3">
        <f>SUMPRODUCT(Adds!$C$199:$BK$199,Curves!$N$14:$BV$14)</f>
        <v/>
      </c>
      <c r="BL71" s="3">
        <f>SUMPRODUCT(Adds!$C$199:$BL$199,Curves!$M$14:$BV$14)</f>
        <v/>
      </c>
      <c r="BM71" s="3">
        <f>SUMPRODUCT(Adds!$C$199:$BM$199,Curves!$L$14:$BV$14)</f>
        <v/>
      </c>
      <c r="BN71" s="3">
        <f>SUMPRODUCT(Adds!$C$199:$BN$199,Curves!$K$14:$BV$14)</f>
        <v/>
      </c>
      <c r="BO71" s="3">
        <f>SUMPRODUCT(Adds!$C$199:$BO$199,Curves!$J$14:$BV$14)</f>
        <v/>
      </c>
      <c r="BP71" s="3">
        <f>SUMPRODUCT(Adds!$C$199:$BP$199,Curves!$I$14:$BV$14)</f>
        <v/>
      </c>
      <c r="BQ71" s="3">
        <f>SUMPRODUCT(Adds!$C$199:$BQ$199,Curves!$H$14:$BV$14)</f>
        <v/>
      </c>
      <c r="BR71" s="3">
        <f>SUMPRODUCT(Adds!$C$199:$BR$199,Curves!$G$14:$BV$14)</f>
        <v/>
      </c>
      <c r="BS71" s="3">
        <f>SUMPRODUCT(Adds!$C$199:$BS$199,Curves!$F$14:$BV$14)</f>
        <v/>
      </c>
      <c r="BT71" s="3">
        <f>SUMPRODUCT(Adds!$C$199:$BT$199,Curves!$E$14:$BV$14)</f>
        <v/>
      </c>
      <c r="BU71" s="3">
        <f>SUMPRODUCT(Adds!$C$199:$BU$199,Curves!$D$14:$BV$14)</f>
        <v/>
      </c>
      <c r="BV71" s="3">
        <f>SUMPRODUCT(Adds!$C$199:$BV$199,Curves!$C$14:$BV$14)</f>
        <v/>
      </c>
    </row>
    <row r="72">
      <c r="A72" t="inlineStr">
        <is>
          <t>active yr 1</t>
        </is>
      </c>
      <c r="B72" t="inlineStr">
        <is>
          <t>ROW|NITRO_A</t>
        </is>
      </c>
      <c r="C72" s="3">
        <f>Adds!$C$199*Curves!$BV$21</f>
        <v/>
      </c>
      <c r="D72" s="3">
        <f>SUMPRODUCT(Adds!$C$199:$D$199,Curves!$BU$21:$BV$21)</f>
        <v/>
      </c>
      <c r="E72" s="3">
        <f>SUMPRODUCT(Adds!$C$199:$E$199,Curves!$BT$21:$BV$21)</f>
        <v/>
      </c>
      <c r="F72" s="3">
        <f>SUMPRODUCT(Adds!$C$199:$F$199,Curves!$BS$21:$BV$21)</f>
        <v/>
      </c>
      <c r="G72" s="3">
        <f>SUMPRODUCT(Adds!$C$199:$G$199,Curves!$BR$21:$BV$21)</f>
        <v/>
      </c>
      <c r="H72" s="3">
        <f>SUMPRODUCT(Adds!$C$199:$H$199,Curves!$BQ$21:$BV$21)</f>
        <v/>
      </c>
      <c r="I72" s="3">
        <f>SUMPRODUCT(Adds!$C$199:$I$199,Curves!$BP$21:$BV$21)</f>
        <v/>
      </c>
      <c r="J72" s="3">
        <f>SUMPRODUCT(Adds!$C$199:$J$199,Curves!$BO$21:$BV$21)</f>
        <v/>
      </c>
      <c r="K72" s="3">
        <f>SUMPRODUCT(Adds!$C$199:$K$199,Curves!$BN$21:$BV$21)</f>
        <v/>
      </c>
      <c r="L72" s="3">
        <f>SUMPRODUCT(Adds!$C$199:$L$199,Curves!$BM$21:$BV$21)</f>
        <v/>
      </c>
      <c r="M72" s="3">
        <f>SUMPRODUCT(Adds!$C$199:$M$199,Curves!$BL$21:$BV$21)</f>
        <v/>
      </c>
      <c r="N72" s="3">
        <f>SUMPRODUCT(Adds!$C$199:$N$199,Curves!$BK$21:$BV$21)</f>
        <v/>
      </c>
      <c r="O72" s="3">
        <f>SUMPRODUCT(Adds!$C$199:$O$199,Curves!$BJ$21:$BV$21)</f>
        <v/>
      </c>
      <c r="P72" s="3">
        <f>SUMPRODUCT(Adds!$C$199:$P$199,Curves!$BI$21:$BV$21)</f>
        <v/>
      </c>
      <c r="Q72" s="3">
        <f>SUMPRODUCT(Adds!$C$199:$Q$199,Curves!$BH$21:$BV$21)</f>
        <v/>
      </c>
      <c r="R72" s="3">
        <f>SUMPRODUCT(Adds!$C$199:$R$199,Curves!$BG$21:$BV$21)</f>
        <v/>
      </c>
      <c r="S72" s="3">
        <f>SUMPRODUCT(Adds!$C$199:$S$199,Curves!$BF$21:$BV$21)</f>
        <v/>
      </c>
      <c r="T72" s="3">
        <f>SUMPRODUCT(Adds!$C$199:$T$199,Curves!$BE$21:$BV$21)</f>
        <v/>
      </c>
      <c r="U72" s="3">
        <f>SUMPRODUCT(Adds!$C$199:$U$199,Curves!$BD$21:$BV$21)</f>
        <v/>
      </c>
      <c r="V72" s="3">
        <f>SUMPRODUCT(Adds!$C$199:$V$199,Curves!$BC$21:$BV$21)</f>
        <v/>
      </c>
      <c r="W72" s="3">
        <f>SUMPRODUCT(Adds!$C$199:$W$199,Curves!$BB$21:$BV$21)</f>
        <v/>
      </c>
      <c r="X72" s="3">
        <f>SUMPRODUCT(Adds!$C$199:$X$199,Curves!$BA$21:$BV$21)</f>
        <v/>
      </c>
      <c r="Y72" s="3">
        <f>SUMPRODUCT(Adds!$C$199:$Y$199,Curves!$AZ$21:$BV$21)</f>
        <v/>
      </c>
      <c r="Z72" s="3">
        <f>SUMPRODUCT(Adds!$C$199:$Z$199,Curves!$AY$21:$BV$21)</f>
        <v/>
      </c>
      <c r="AA72" s="3">
        <f>SUMPRODUCT(Adds!$C$199:$AA$199,Curves!$AX$21:$BV$21)</f>
        <v/>
      </c>
      <c r="AB72" s="3">
        <f>SUMPRODUCT(Adds!$C$199:$AB$199,Curves!$AW$21:$BV$21)</f>
        <v/>
      </c>
      <c r="AC72" s="3">
        <f>SUMPRODUCT(Adds!$C$199:$AC$199,Curves!$AV$21:$BV$21)</f>
        <v/>
      </c>
      <c r="AD72" s="3">
        <f>SUMPRODUCT(Adds!$C$199:$AD$199,Curves!$AU$21:$BV$21)</f>
        <v/>
      </c>
      <c r="AE72" s="3">
        <f>SUMPRODUCT(Adds!$C$199:$AE$199,Curves!$AT$21:$BV$21)</f>
        <v/>
      </c>
      <c r="AF72" s="3">
        <f>SUMPRODUCT(Adds!$C$199:$AF$199,Curves!$AS$21:$BV$21)</f>
        <v/>
      </c>
      <c r="AG72" s="3">
        <f>SUMPRODUCT(Adds!$C$199:$AG$199,Curves!$AR$21:$BV$21)</f>
        <v/>
      </c>
      <c r="AH72" s="3">
        <f>SUMPRODUCT(Adds!$C$199:$AH$199,Curves!$AQ$21:$BV$21)</f>
        <v/>
      </c>
      <c r="AI72" s="3">
        <f>SUMPRODUCT(Adds!$C$199:$AI$199,Curves!$AP$21:$BV$21)</f>
        <v/>
      </c>
      <c r="AJ72" s="3">
        <f>SUMPRODUCT(Adds!$C$199:$AJ$199,Curves!$AO$21:$BV$21)</f>
        <v/>
      </c>
      <c r="AK72" s="3">
        <f>SUMPRODUCT(Adds!$C$199:$AK$199,Curves!$AN$21:$BV$21)</f>
        <v/>
      </c>
      <c r="AL72" s="3">
        <f>SUMPRODUCT(Adds!$C$199:$AL$199,Curves!$AM$21:$BV$21)</f>
        <v/>
      </c>
      <c r="AM72" s="3">
        <f>SUMPRODUCT(Adds!$C$199:$AM$199,Curves!$AL$21:$BV$21)</f>
        <v/>
      </c>
      <c r="AN72" s="3">
        <f>SUMPRODUCT(Adds!$C$199:$AN$199,Curves!$AK$21:$BV$21)</f>
        <v/>
      </c>
      <c r="AO72" s="3">
        <f>SUMPRODUCT(Adds!$C$199:$AO$199,Curves!$AJ$21:$BV$21)</f>
        <v/>
      </c>
      <c r="AP72" s="3">
        <f>SUMPRODUCT(Adds!$C$199:$AP$199,Curves!$AI$21:$BV$21)</f>
        <v/>
      </c>
      <c r="AQ72" s="3">
        <f>SUMPRODUCT(Adds!$C$199:$AQ$199,Curves!$AH$21:$BV$21)</f>
        <v/>
      </c>
      <c r="AR72" s="3">
        <f>SUMPRODUCT(Adds!$C$199:$AR$199,Curves!$AG$21:$BV$21)</f>
        <v/>
      </c>
      <c r="AS72" s="3">
        <f>SUMPRODUCT(Adds!$C$199:$AS$199,Curves!$AF$21:$BV$21)</f>
        <v/>
      </c>
      <c r="AT72" s="3">
        <f>SUMPRODUCT(Adds!$C$199:$AT$199,Curves!$AE$21:$BV$21)</f>
        <v/>
      </c>
      <c r="AU72" s="3">
        <f>SUMPRODUCT(Adds!$C$199:$AU$199,Curves!$AD$21:$BV$21)</f>
        <v/>
      </c>
      <c r="AV72" s="3">
        <f>SUMPRODUCT(Adds!$C$199:$AV$199,Curves!$AC$21:$BV$21)</f>
        <v/>
      </c>
      <c r="AW72" s="3">
        <f>SUMPRODUCT(Adds!$C$199:$AW$199,Curves!$AB$21:$BV$21)</f>
        <v/>
      </c>
      <c r="AX72" s="3">
        <f>SUMPRODUCT(Adds!$C$199:$AX$199,Curves!$AA$21:$BV$21)</f>
        <v/>
      </c>
      <c r="AY72" s="3">
        <f>SUMPRODUCT(Adds!$C$199:$AY$199,Curves!$Z$21:$BV$21)</f>
        <v/>
      </c>
      <c r="AZ72" s="3">
        <f>SUMPRODUCT(Adds!$C$199:$AZ$199,Curves!$Y$21:$BV$21)</f>
        <v/>
      </c>
      <c r="BA72" s="3">
        <f>SUMPRODUCT(Adds!$C$199:$BA$199,Curves!$X$21:$BV$21)</f>
        <v/>
      </c>
      <c r="BB72" s="3">
        <f>SUMPRODUCT(Adds!$C$199:$BB$199,Curves!$W$21:$BV$21)</f>
        <v/>
      </c>
      <c r="BC72" s="3">
        <f>SUMPRODUCT(Adds!$C$199:$BC$199,Curves!$V$21:$BV$21)</f>
        <v/>
      </c>
      <c r="BD72" s="3">
        <f>SUMPRODUCT(Adds!$C$199:$BD$199,Curves!$U$21:$BV$21)</f>
        <v/>
      </c>
      <c r="BE72" s="3">
        <f>SUMPRODUCT(Adds!$C$199:$BE$199,Curves!$T$21:$BV$21)</f>
        <v/>
      </c>
      <c r="BF72" s="3">
        <f>SUMPRODUCT(Adds!$C$199:$BF$199,Curves!$S$21:$BV$21)</f>
        <v/>
      </c>
      <c r="BG72" s="3">
        <f>SUMPRODUCT(Adds!$C$199:$BG$199,Curves!$R$21:$BV$21)</f>
        <v/>
      </c>
      <c r="BH72" s="3">
        <f>SUMPRODUCT(Adds!$C$199:$BH$199,Curves!$Q$21:$BV$21)</f>
        <v/>
      </c>
      <c r="BI72" s="3">
        <f>SUMPRODUCT(Adds!$C$199:$BI$199,Curves!$P$21:$BV$21)</f>
        <v/>
      </c>
      <c r="BJ72" s="3">
        <f>SUMPRODUCT(Adds!$C$199:$BJ$199,Curves!$O$21:$BV$21)</f>
        <v/>
      </c>
      <c r="BK72" s="3">
        <f>SUMPRODUCT(Adds!$C$199:$BK$199,Curves!$N$21:$BV$21)</f>
        <v/>
      </c>
      <c r="BL72" s="3">
        <f>SUMPRODUCT(Adds!$C$199:$BL$199,Curves!$M$21:$BV$21)</f>
        <v/>
      </c>
      <c r="BM72" s="3">
        <f>SUMPRODUCT(Adds!$C$199:$BM$199,Curves!$L$21:$BV$21)</f>
        <v/>
      </c>
      <c r="BN72" s="3">
        <f>SUMPRODUCT(Adds!$C$199:$BN$199,Curves!$K$21:$BV$21)</f>
        <v/>
      </c>
      <c r="BO72" s="3">
        <f>SUMPRODUCT(Adds!$C$199:$BO$199,Curves!$J$21:$BV$21)</f>
        <v/>
      </c>
      <c r="BP72" s="3">
        <f>SUMPRODUCT(Adds!$C$199:$BP$199,Curves!$I$21:$BV$21)</f>
        <v/>
      </c>
      <c r="BQ72" s="3">
        <f>SUMPRODUCT(Adds!$C$199:$BQ$199,Curves!$H$21:$BV$21)</f>
        <v/>
      </c>
      <c r="BR72" s="3">
        <f>SUMPRODUCT(Adds!$C$199:$BR$199,Curves!$G$21:$BV$21)</f>
        <v/>
      </c>
      <c r="BS72" s="3">
        <f>SUMPRODUCT(Adds!$C$199:$BS$199,Curves!$F$21:$BV$21)</f>
        <v/>
      </c>
      <c r="BT72" s="3">
        <f>SUMPRODUCT(Adds!$C$199:$BT$199,Curves!$E$21:$BV$21)</f>
        <v/>
      </c>
      <c r="BU72" s="3">
        <f>SUMPRODUCT(Adds!$C$199:$BU$199,Curves!$D$21:$BV$21)</f>
        <v/>
      </c>
      <c r="BV72" s="3">
        <f>SUMPRODUCT(Adds!$C$199:$BV$199,Curves!$C$21:$BV$21)</f>
        <v/>
      </c>
    </row>
    <row r="73">
      <c r="A73" t="inlineStr">
        <is>
          <t>churned</t>
        </is>
      </c>
      <c r="B73" t="inlineStr">
        <is>
          <t>ROW|NITRO_A</t>
        </is>
      </c>
      <c r="C73" s="3">
        <f>Adds!$C$199*Curves!$BV$16</f>
        <v/>
      </c>
      <c r="D73" s="3">
        <f>SUMPRODUCT(Adds!$C$199:$D$199,Curves!$BU$16:$BV$16)</f>
        <v/>
      </c>
      <c r="E73" s="3">
        <f>SUMPRODUCT(Adds!$C$199:$E$199,Curves!$BT$16:$BV$16)</f>
        <v/>
      </c>
      <c r="F73" s="3">
        <f>SUMPRODUCT(Adds!$C$199:$F$199,Curves!$BS$16:$BV$16)</f>
        <v/>
      </c>
      <c r="G73" s="3">
        <f>SUMPRODUCT(Adds!$C$199:$G$199,Curves!$BR$16:$BV$16)</f>
        <v/>
      </c>
      <c r="H73" s="3">
        <f>SUMPRODUCT(Adds!$C$199:$H$199,Curves!$BQ$16:$BV$16)</f>
        <v/>
      </c>
      <c r="I73" s="3">
        <f>SUMPRODUCT(Adds!$C$199:$I$199,Curves!$BP$16:$BV$16)</f>
        <v/>
      </c>
      <c r="J73" s="3">
        <f>SUMPRODUCT(Adds!$C$199:$J$199,Curves!$BO$16:$BV$16)</f>
        <v/>
      </c>
      <c r="K73" s="3">
        <f>SUMPRODUCT(Adds!$C$199:$K$199,Curves!$BN$16:$BV$16)</f>
        <v/>
      </c>
      <c r="L73" s="3">
        <f>SUMPRODUCT(Adds!$C$199:$L$199,Curves!$BM$16:$BV$16)</f>
        <v/>
      </c>
      <c r="M73" s="3">
        <f>SUMPRODUCT(Adds!$C$199:$M$199,Curves!$BL$16:$BV$16)</f>
        <v/>
      </c>
      <c r="N73" s="3">
        <f>SUMPRODUCT(Adds!$C$199:$N$199,Curves!$BK$16:$BV$16)</f>
        <v/>
      </c>
      <c r="O73" s="3">
        <f>SUMPRODUCT(Adds!$C$199:$O$199,Curves!$BJ$16:$BV$16)</f>
        <v/>
      </c>
      <c r="P73" s="3">
        <f>SUMPRODUCT(Adds!$C$199:$P$199,Curves!$BI$16:$BV$16)</f>
        <v/>
      </c>
      <c r="Q73" s="3">
        <f>SUMPRODUCT(Adds!$C$199:$Q$199,Curves!$BH$16:$BV$16)</f>
        <v/>
      </c>
      <c r="R73" s="3">
        <f>SUMPRODUCT(Adds!$C$199:$R$199,Curves!$BG$16:$BV$16)</f>
        <v/>
      </c>
      <c r="S73" s="3">
        <f>SUMPRODUCT(Adds!$C$199:$S$199,Curves!$BF$16:$BV$16)</f>
        <v/>
      </c>
      <c r="T73" s="3">
        <f>SUMPRODUCT(Adds!$C$199:$T$199,Curves!$BE$16:$BV$16)</f>
        <v/>
      </c>
      <c r="U73" s="3">
        <f>SUMPRODUCT(Adds!$C$199:$U$199,Curves!$BD$16:$BV$16)</f>
        <v/>
      </c>
      <c r="V73" s="3">
        <f>SUMPRODUCT(Adds!$C$199:$V$199,Curves!$BC$16:$BV$16)</f>
        <v/>
      </c>
      <c r="W73" s="3">
        <f>SUMPRODUCT(Adds!$C$199:$W$199,Curves!$BB$16:$BV$16)</f>
        <v/>
      </c>
      <c r="X73" s="3">
        <f>SUMPRODUCT(Adds!$C$199:$X$199,Curves!$BA$16:$BV$16)</f>
        <v/>
      </c>
      <c r="Y73" s="3">
        <f>SUMPRODUCT(Adds!$C$199:$Y$199,Curves!$AZ$16:$BV$16)</f>
        <v/>
      </c>
      <c r="Z73" s="3">
        <f>SUMPRODUCT(Adds!$C$199:$Z$199,Curves!$AY$16:$BV$16)</f>
        <v/>
      </c>
      <c r="AA73" s="3">
        <f>SUMPRODUCT(Adds!$C$199:$AA$199,Curves!$AX$16:$BV$16)</f>
        <v/>
      </c>
      <c r="AB73" s="3">
        <f>SUMPRODUCT(Adds!$C$199:$AB$199,Curves!$AW$16:$BV$16)</f>
        <v/>
      </c>
      <c r="AC73" s="3">
        <f>SUMPRODUCT(Adds!$C$199:$AC$199,Curves!$AV$16:$BV$16)</f>
        <v/>
      </c>
      <c r="AD73" s="3">
        <f>SUMPRODUCT(Adds!$C$199:$AD$199,Curves!$AU$16:$BV$16)</f>
        <v/>
      </c>
      <c r="AE73" s="3">
        <f>SUMPRODUCT(Adds!$C$199:$AE$199,Curves!$AT$16:$BV$16)</f>
        <v/>
      </c>
      <c r="AF73" s="3">
        <f>SUMPRODUCT(Adds!$C$199:$AF$199,Curves!$AS$16:$BV$16)</f>
        <v/>
      </c>
      <c r="AG73" s="3">
        <f>SUMPRODUCT(Adds!$C$199:$AG$199,Curves!$AR$16:$BV$16)</f>
        <v/>
      </c>
      <c r="AH73" s="3">
        <f>SUMPRODUCT(Adds!$C$199:$AH$199,Curves!$AQ$16:$BV$16)</f>
        <v/>
      </c>
      <c r="AI73" s="3">
        <f>SUMPRODUCT(Adds!$C$199:$AI$199,Curves!$AP$16:$BV$16)</f>
        <v/>
      </c>
      <c r="AJ73" s="3">
        <f>SUMPRODUCT(Adds!$C$199:$AJ$199,Curves!$AO$16:$BV$16)</f>
        <v/>
      </c>
      <c r="AK73" s="3">
        <f>SUMPRODUCT(Adds!$C$199:$AK$199,Curves!$AN$16:$BV$16)</f>
        <v/>
      </c>
      <c r="AL73" s="3">
        <f>SUMPRODUCT(Adds!$C$199:$AL$199,Curves!$AM$16:$BV$16)</f>
        <v/>
      </c>
      <c r="AM73" s="3">
        <f>SUMPRODUCT(Adds!$C$199:$AM$199,Curves!$AL$16:$BV$16)</f>
        <v/>
      </c>
      <c r="AN73" s="3">
        <f>SUMPRODUCT(Adds!$C$199:$AN$199,Curves!$AK$16:$BV$16)</f>
        <v/>
      </c>
      <c r="AO73" s="3">
        <f>SUMPRODUCT(Adds!$C$199:$AO$199,Curves!$AJ$16:$BV$16)</f>
        <v/>
      </c>
      <c r="AP73" s="3">
        <f>SUMPRODUCT(Adds!$C$199:$AP$199,Curves!$AI$16:$BV$16)</f>
        <v/>
      </c>
      <c r="AQ73" s="3">
        <f>SUMPRODUCT(Adds!$C$199:$AQ$199,Curves!$AH$16:$BV$16)</f>
        <v/>
      </c>
      <c r="AR73" s="3">
        <f>SUMPRODUCT(Adds!$C$199:$AR$199,Curves!$AG$16:$BV$16)</f>
        <v/>
      </c>
      <c r="AS73" s="3">
        <f>SUMPRODUCT(Adds!$C$199:$AS$199,Curves!$AF$16:$BV$16)</f>
        <v/>
      </c>
      <c r="AT73" s="3">
        <f>SUMPRODUCT(Adds!$C$199:$AT$199,Curves!$AE$16:$BV$16)</f>
        <v/>
      </c>
      <c r="AU73" s="3">
        <f>SUMPRODUCT(Adds!$C$199:$AU$199,Curves!$AD$16:$BV$16)</f>
        <v/>
      </c>
      <c r="AV73" s="3">
        <f>SUMPRODUCT(Adds!$C$199:$AV$199,Curves!$AC$16:$BV$16)</f>
        <v/>
      </c>
      <c r="AW73" s="3">
        <f>SUMPRODUCT(Adds!$C$199:$AW$199,Curves!$AB$16:$BV$16)</f>
        <v/>
      </c>
      <c r="AX73" s="3">
        <f>SUMPRODUCT(Adds!$C$199:$AX$199,Curves!$AA$16:$BV$16)</f>
        <v/>
      </c>
      <c r="AY73" s="3">
        <f>SUMPRODUCT(Adds!$C$199:$AY$199,Curves!$Z$16:$BV$16)</f>
        <v/>
      </c>
      <c r="AZ73" s="3">
        <f>SUMPRODUCT(Adds!$C$199:$AZ$199,Curves!$Y$16:$BV$16)</f>
        <v/>
      </c>
      <c r="BA73" s="3">
        <f>SUMPRODUCT(Adds!$C$199:$BA$199,Curves!$X$16:$BV$16)</f>
        <v/>
      </c>
      <c r="BB73" s="3">
        <f>SUMPRODUCT(Adds!$C$199:$BB$199,Curves!$W$16:$BV$16)</f>
        <v/>
      </c>
      <c r="BC73" s="3">
        <f>SUMPRODUCT(Adds!$C$199:$BC$199,Curves!$V$16:$BV$16)</f>
        <v/>
      </c>
      <c r="BD73" s="3">
        <f>SUMPRODUCT(Adds!$C$199:$BD$199,Curves!$U$16:$BV$16)</f>
        <v/>
      </c>
      <c r="BE73" s="3">
        <f>SUMPRODUCT(Adds!$C$199:$BE$199,Curves!$T$16:$BV$16)</f>
        <v/>
      </c>
      <c r="BF73" s="3">
        <f>SUMPRODUCT(Adds!$C$199:$BF$199,Curves!$S$16:$BV$16)</f>
        <v/>
      </c>
      <c r="BG73" s="3">
        <f>SUMPRODUCT(Adds!$C$199:$BG$199,Curves!$R$16:$BV$16)</f>
        <v/>
      </c>
      <c r="BH73" s="3">
        <f>SUMPRODUCT(Adds!$C$199:$BH$199,Curves!$Q$16:$BV$16)</f>
        <v/>
      </c>
      <c r="BI73" s="3">
        <f>SUMPRODUCT(Adds!$C$199:$BI$199,Curves!$P$16:$BV$16)</f>
        <v/>
      </c>
      <c r="BJ73" s="3">
        <f>SUMPRODUCT(Adds!$C$199:$BJ$199,Curves!$O$16:$BV$16)</f>
        <v/>
      </c>
      <c r="BK73" s="3">
        <f>SUMPRODUCT(Adds!$C$199:$BK$199,Curves!$N$16:$BV$16)</f>
        <v/>
      </c>
      <c r="BL73" s="3">
        <f>SUMPRODUCT(Adds!$C$199:$BL$199,Curves!$M$16:$BV$16)</f>
        <v/>
      </c>
      <c r="BM73" s="3">
        <f>SUMPRODUCT(Adds!$C$199:$BM$199,Curves!$L$16:$BV$16)</f>
        <v/>
      </c>
      <c r="BN73" s="3">
        <f>SUMPRODUCT(Adds!$C$199:$BN$199,Curves!$K$16:$BV$16)</f>
        <v/>
      </c>
      <c r="BO73" s="3">
        <f>SUMPRODUCT(Adds!$C$199:$BO$199,Curves!$J$16:$BV$16)</f>
        <v/>
      </c>
      <c r="BP73" s="3">
        <f>SUMPRODUCT(Adds!$C$199:$BP$199,Curves!$I$16:$BV$16)</f>
        <v/>
      </c>
      <c r="BQ73" s="3">
        <f>SUMPRODUCT(Adds!$C$199:$BQ$199,Curves!$H$16:$BV$16)</f>
        <v/>
      </c>
      <c r="BR73" s="3">
        <f>SUMPRODUCT(Adds!$C$199:$BR$199,Curves!$G$16:$BV$16)</f>
        <v/>
      </c>
      <c r="BS73" s="3">
        <f>SUMPRODUCT(Adds!$C$199:$BS$199,Curves!$F$16:$BV$16)</f>
        <v/>
      </c>
      <c r="BT73" s="3">
        <f>SUMPRODUCT(Adds!$C$199:$BT$199,Curves!$E$16:$BV$16)</f>
        <v/>
      </c>
      <c r="BU73" s="3">
        <f>SUMPRODUCT(Adds!$C$199:$BU$199,Curves!$D$16:$BV$16)</f>
        <v/>
      </c>
      <c r="BV73" s="3">
        <f>SUMPRODUCT(Adds!$C$199:$BV$199,Curves!$C$16:$BV$16)</f>
        <v/>
      </c>
    </row>
    <row r="75">
      <c r="A75" t="inlineStr">
        <is>
          <t>active</t>
        </is>
      </c>
      <c r="B75" t="inlineStr">
        <is>
          <t>ROW|BASIC_M</t>
        </is>
      </c>
      <c r="C75" s="3">
        <f>Adds!$C$210*Curves!$BV$13</f>
        <v/>
      </c>
      <c r="D75" s="3">
        <f>SUMPRODUCT(Adds!$C$210:$D$210,Curves!$BU$13:$BV$13)</f>
        <v/>
      </c>
      <c r="E75" s="3">
        <f>SUMPRODUCT(Adds!$C$210:$E$210,Curves!$BT$13:$BV$13)</f>
        <v/>
      </c>
      <c r="F75" s="3">
        <f>SUMPRODUCT(Adds!$C$210:$F$210,Curves!$BS$13:$BV$13)</f>
        <v/>
      </c>
      <c r="G75" s="3">
        <f>SUMPRODUCT(Adds!$C$210:$G$210,Curves!$BR$13:$BV$13)</f>
        <v/>
      </c>
      <c r="H75" s="3">
        <f>SUMPRODUCT(Adds!$C$210:$H$210,Curves!$BQ$13:$BV$13)</f>
        <v/>
      </c>
      <c r="I75" s="3">
        <f>SUMPRODUCT(Adds!$C$210:$I$210,Curves!$BP$13:$BV$13)</f>
        <v/>
      </c>
      <c r="J75" s="3">
        <f>SUMPRODUCT(Adds!$C$210:$J$210,Curves!$BO$13:$BV$13)</f>
        <v/>
      </c>
      <c r="K75" s="3">
        <f>SUMPRODUCT(Adds!$C$210:$K$210,Curves!$BN$13:$BV$13)</f>
        <v/>
      </c>
      <c r="L75" s="3">
        <f>SUMPRODUCT(Adds!$C$210:$L$210,Curves!$BM$13:$BV$13)</f>
        <v/>
      </c>
      <c r="M75" s="3">
        <f>SUMPRODUCT(Adds!$C$210:$M$210,Curves!$BL$13:$BV$13)</f>
        <v/>
      </c>
      <c r="N75" s="3">
        <f>SUMPRODUCT(Adds!$C$210:$N$210,Curves!$BK$13:$BV$13)</f>
        <v/>
      </c>
      <c r="O75" s="3">
        <f>SUMPRODUCT(Adds!$C$210:$O$210,Curves!$BJ$13:$BV$13)</f>
        <v/>
      </c>
      <c r="P75" s="3">
        <f>SUMPRODUCT(Adds!$C$210:$P$210,Curves!$BI$13:$BV$13)</f>
        <v/>
      </c>
      <c r="Q75" s="3">
        <f>SUMPRODUCT(Adds!$C$210:$Q$210,Curves!$BH$13:$BV$13)</f>
        <v/>
      </c>
      <c r="R75" s="3">
        <f>SUMPRODUCT(Adds!$C$210:$R$210,Curves!$BG$13:$BV$13)</f>
        <v/>
      </c>
      <c r="S75" s="3">
        <f>SUMPRODUCT(Adds!$C$210:$S$210,Curves!$BF$13:$BV$13)</f>
        <v/>
      </c>
      <c r="T75" s="3">
        <f>SUMPRODUCT(Adds!$C$210:$T$210,Curves!$BE$13:$BV$13)</f>
        <v/>
      </c>
      <c r="U75" s="3">
        <f>SUMPRODUCT(Adds!$C$210:$U$210,Curves!$BD$13:$BV$13)</f>
        <v/>
      </c>
      <c r="V75" s="3">
        <f>SUMPRODUCT(Adds!$C$210:$V$210,Curves!$BC$13:$BV$13)</f>
        <v/>
      </c>
      <c r="W75" s="3">
        <f>SUMPRODUCT(Adds!$C$210:$W$210,Curves!$BB$13:$BV$13)</f>
        <v/>
      </c>
      <c r="X75" s="3">
        <f>SUMPRODUCT(Adds!$C$210:$X$210,Curves!$BA$13:$BV$13)</f>
        <v/>
      </c>
      <c r="Y75" s="3">
        <f>SUMPRODUCT(Adds!$C$210:$Y$210,Curves!$AZ$13:$BV$13)</f>
        <v/>
      </c>
      <c r="Z75" s="3">
        <f>SUMPRODUCT(Adds!$C$210:$Z$210,Curves!$AY$13:$BV$13)</f>
        <v/>
      </c>
      <c r="AA75" s="3">
        <f>SUMPRODUCT(Adds!$C$210:$AA$210,Curves!$AX$13:$BV$13)</f>
        <v/>
      </c>
      <c r="AB75" s="3">
        <f>SUMPRODUCT(Adds!$C$210:$AB$210,Curves!$AW$13:$BV$13)</f>
        <v/>
      </c>
      <c r="AC75" s="3">
        <f>SUMPRODUCT(Adds!$C$210:$AC$210,Curves!$AV$13:$BV$13)</f>
        <v/>
      </c>
      <c r="AD75" s="3">
        <f>SUMPRODUCT(Adds!$C$210:$AD$210,Curves!$AU$13:$BV$13)</f>
        <v/>
      </c>
      <c r="AE75" s="3">
        <f>SUMPRODUCT(Adds!$C$210:$AE$210,Curves!$AT$13:$BV$13)</f>
        <v/>
      </c>
      <c r="AF75" s="3">
        <f>SUMPRODUCT(Adds!$C$210:$AF$210,Curves!$AS$13:$BV$13)</f>
        <v/>
      </c>
      <c r="AG75" s="3">
        <f>SUMPRODUCT(Adds!$C$210:$AG$210,Curves!$AR$13:$BV$13)</f>
        <v/>
      </c>
      <c r="AH75" s="3">
        <f>SUMPRODUCT(Adds!$C$210:$AH$210,Curves!$AQ$13:$BV$13)</f>
        <v/>
      </c>
      <c r="AI75" s="3">
        <f>SUMPRODUCT(Adds!$C$210:$AI$210,Curves!$AP$13:$BV$13)</f>
        <v/>
      </c>
      <c r="AJ75" s="3">
        <f>SUMPRODUCT(Adds!$C$210:$AJ$210,Curves!$AO$13:$BV$13)</f>
        <v/>
      </c>
      <c r="AK75" s="3">
        <f>SUMPRODUCT(Adds!$C$210:$AK$210,Curves!$AN$13:$BV$13)</f>
        <v/>
      </c>
      <c r="AL75" s="3">
        <f>SUMPRODUCT(Adds!$C$210:$AL$210,Curves!$AM$13:$BV$13)</f>
        <v/>
      </c>
      <c r="AM75" s="3">
        <f>SUMPRODUCT(Adds!$C$210:$AM$210,Curves!$AL$13:$BV$13)</f>
        <v/>
      </c>
      <c r="AN75" s="3">
        <f>SUMPRODUCT(Adds!$C$210:$AN$210,Curves!$AK$13:$BV$13)</f>
        <v/>
      </c>
      <c r="AO75" s="3">
        <f>SUMPRODUCT(Adds!$C$210:$AO$210,Curves!$AJ$13:$BV$13)</f>
        <v/>
      </c>
      <c r="AP75" s="3">
        <f>SUMPRODUCT(Adds!$C$210:$AP$210,Curves!$AI$13:$BV$13)</f>
        <v/>
      </c>
      <c r="AQ75" s="3">
        <f>SUMPRODUCT(Adds!$C$210:$AQ$210,Curves!$AH$13:$BV$13)</f>
        <v/>
      </c>
      <c r="AR75" s="3">
        <f>SUMPRODUCT(Adds!$C$210:$AR$210,Curves!$AG$13:$BV$13)</f>
        <v/>
      </c>
      <c r="AS75" s="3">
        <f>SUMPRODUCT(Adds!$C$210:$AS$210,Curves!$AF$13:$BV$13)</f>
        <v/>
      </c>
      <c r="AT75" s="3">
        <f>SUMPRODUCT(Adds!$C$210:$AT$210,Curves!$AE$13:$BV$13)</f>
        <v/>
      </c>
      <c r="AU75" s="3">
        <f>SUMPRODUCT(Adds!$C$210:$AU$210,Curves!$AD$13:$BV$13)</f>
        <v/>
      </c>
      <c r="AV75" s="3">
        <f>SUMPRODUCT(Adds!$C$210:$AV$210,Curves!$AC$13:$BV$13)</f>
        <v/>
      </c>
      <c r="AW75" s="3">
        <f>SUMPRODUCT(Adds!$C$210:$AW$210,Curves!$AB$13:$BV$13)</f>
        <v/>
      </c>
      <c r="AX75" s="3">
        <f>SUMPRODUCT(Adds!$C$210:$AX$210,Curves!$AA$13:$BV$13)</f>
        <v/>
      </c>
      <c r="AY75" s="3">
        <f>SUMPRODUCT(Adds!$C$210:$AY$210,Curves!$Z$13:$BV$13)</f>
        <v/>
      </c>
      <c r="AZ75" s="3">
        <f>SUMPRODUCT(Adds!$C$210:$AZ$210,Curves!$Y$13:$BV$13)</f>
        <v/>
      </c>
      <c r="BA75" s="3">
        <f>SUMPRODUCT(Adds!$C$210:$BA$210,Curves!$X$13:$BV$13)</f>
        <v/>
      </c>
      <c r="BB75" s="3">
        <f>SUMPRODUCT(Adds!$C$210:$BB$210,Curves!$W$13:$BV$13)</f>
        <v/>
      </c>
      <c r="BC75" s="3">
        <f>SUMPRODUCT(Adds!$C$210:$BC$210,Curves!$V$13:$BV$13)</f>
        <v/>
      </c>
      <c r="BD75" s="3">
        <f>SUMPRODUCT(Adds!$C$210:$BD$210,Curves!$U$13:$BV$13)</f>
        <v/>
      </c>
      <c r="BE75" s="3">
        <f>SUMPRODUCT(Adds!$C$210:$BE$210,Curves!$T$13:$BV$13)</f>
        <v/>
      </c>
      <c r="BF75" s="3">
        <f>SUMPRODUCT(Adds!$C$210:$BF$210,Curves!$S$13:$BV$13)</f>
        <v/>
      </c>
      <c r="BG75" s="3">
        <f>SUMPRODUCT(Adds!$C$210:$BG$210,Curves!$R$13:$BV$13)</f>
        <v/>
      </c>
      <c r="BH75" s="3">
        <f>SUMPRODUCT(Adds!$C$210:$BH$210,Curves!$Q$13:$BV$13)</f>
        <v/>
      </c>
      <c r="BI75" s="3">
        <f>SUMPRODUCT(Adds!$C$210:$BI$210,Curves!$P$13:$BV$13)</f>
        <v/>
      </c>
      <c r="BJ75" s="3">
        <f>SUMPRODUCT(Adds!$C$210:$BJ$210,Curves!$O$13:$BV$13)</f>
        <v/>
      </c>
      <c r="BK75" s="3">
        <f>SUMPRODUCT(Adds!$C$210:$BK$210,Curves!$N$13:$BV$13)</f>
        <v/>
      </c>
      <c r="BL75" s="3">
        <f>SUMPRODUCT(Adds!$C$210:$BL$210,Curves!$M$13:$BV$13)</f>
        <v/>
      </c>
      <c r="BM75" s="3">
        <f>SUMPRODUCT(Adds!$C$210:$BM$210,Curves!$L$13:$BV$13)</f>
        <v/>
      </c>
      <c r="BN75" s="3">
        <f>SUMPRODUCT(Adds!$C$210:$BN$210,Curves!$K$13:$BV$13)</f>
        <v/>
      </c>
      <c r="BO75" s="3">
        <f>SUMPRODUCT(Adds!$C$210:$BO$210,Curves!$J$13:$BV$13)</f>
        <v/>
      </c>
      <c r="BP75" s="3">
        <f>SUMPRODUCT(Adds!$C$210:$BP$210,Curves!$I$13:$BV$13)</f>
        <v/>
      </c>
      <c r="BQ75" s="3">
        <f>SUMPRODUCT(Adds!$C$210:$BQ$210,Curves!$H$13:$BV$13)</f>
        <v/>
      </c>
      <c r="BR75" s="3">
        <f>SUMPRODUCT(Adds!$C$210:$BR$210,Curves!$G$13:$BV$13)</f>
        <v/>
      </c>
      <c r="BS75" s="3">
        <f>SUMPRODUCT(Adds!$C$210:$BS$210,Curves!$F$13:$BV$13)</f>
        <v/>
      </c>
      <c r="BT75" s="3">
        <f>SUMPRODUCT(Adds!$C$210:$BT$210,Curves!$E$13:$BV$13)</f>
        <v/>
      </c>
      <c r="BU75" s="3">
        <f>SUMPRODUCT(Adds!$C$210:$BU$210,Curves!$D$13:$BV$13)</f>
        <v/>
      </c>
      <c r="BV75" s="3">
        <f>SUMPRODUCT(Adds!$C$210:$BV$210,Curves!$C$13:$BV$13)</f>
        <v/>
      </c>
    </row>
    <row r="76">
      <c r="A76" t="inlineStr">
        <is>
          <t>active yr 1</t>
        </is>
      </c>
      <c r="B76" t="inlineStr">
        <is>
          <t>ROW|BASIC_M</t>
        </is>
      </c>
      <c r="C76" s="3">
        <f>Adds!$C$210*Curves!$BV$20</f>
        <v/>
      </c>
      <c r="D76" s="3">
        <f>SUMPRODUCT(Adds!$C$210:$D$210,Curves!$BU$20:$BV$20)</f>
        <v/>
      </c>
      <c r="E76" s="3">
        <f>SUMPRODUCT(Adds!$C$210:$E$210,Curves!$BT$20:$BV$20)</f>
        <v/>
      </c>
      <c r="F76" s="3">
        <f>SUMPRODUCT(Adds!$C$210:$F$210,Curves!$BS$20:$BV$20)</f>
        <v/>
      </c>
      <c r="G76" s="3">
        <f>SUMPRODUCT(Adds!$C$210:$G$210,Curves!$BR$20:$BV$20)</f>
        <v/>
      </c>
      <c r="H76" s="3">
        <f>SUMPRODUCT(Adds!$C$210:$H$210,Curves!$BQ$20:$BV$20)</f>
        <v/>
      </c>
      <c r="I76" s="3">
        <f>SUMPRODUCT(Adds!$C$210:$I$210,Curves!$BP$20:$BV$20)</f>
        <v/>
      </c>
      <c r="J76" s="3">
        <f>SUMPRODUCT(Adds!$C$210:$J$210,Curves!$BO$20:$BV$20)</f>
        <v/>
      </c>
      <c r="K76" s="3">
        <f>SUMPRODUCT(Adds!$C$210:$K$210,Curves!$BN$20:$BV$20)</f>
        <v/>
      </c>
      <c r="L76" s="3">
        <f>SUMPRODUCT(Adds!$C$210:$L$210,Curves!$BM$20:$BV$20)</f>
        <v/>
      </c>
      <c r="M76" s="3">
        <f>SUMPRODUCT(Adds!$C$210:$M$210,Curves!$BL$20:$BV$20)</f>
        <v/>
      </c>
      <c r="N76" s="3">
        <f>SUMPRODUCT(Adds!$C$210:$N$210,Curves!$BK$20:$BV$20)</f>
        <v/>
      </c>
      <c r="O76" s="3">
        <f>SUMPRODUCT(Adds!$C$210:$O$210,Curves!$BJ$20:$BV$20)</f>
        <v/>
      </c>
      <c r="P76" s="3">
        <f>SUMPRODUCT(Adds!$C$210:$P$210,Curves!$BI$20:$BV$20)</f>
        <v/>
      </c>
      <c r="Q76" s="3">
        <f>SUMPRODUCT(Adds!$C$210:$Q$210,Curves!$BH$20:$BV$20)</f>
        <v/>
      </c>
      <c r="R76" s="3">
        <f>SUMPRODUCT(Adds!$C$210:$R$210,Curves!$BG$20:$BV$20)</f>
        <v/>
      </c>
      <c r="S76" s="3">
        <f>SUMPRODUCT(Adds!$C$210:$S$210,Curves!$BF$20:$BV$20)</f>
        <v/>
      </c>
      <c r="T76" s="3">
        <f>SUMPRODUCT(Adds!$C$210:$T$210,Curves!$BE$20:$BV$20)</f>
        <v/>
      </c>
      <c r="U76" s="3">
        <f>SUMPRODUCT(Adds!$C$210:$U$210,Curves!$BD$20:$BV$20)</f>
        <v/>
      </c>
      <c r="V76" s="3">
        <f>SUMPRODUCT(Adds!$C$210:$V$210,Curves!$BC$20:$BV$20)</f>
        <v/>
      </c>
      <c r="W76" s="3">
        <f>SUMPRODUCT(Adds!$C$210:$W$210,Curves!$BB$20:$BV$20)</f>
        <v/>
      </c>
      <c r="X76" s="3">
        <f>SUMPRODUCT(Adds!$C$210:$X$210,Curves!$BA$20:$BV$20)</f>
        <v/>
      </c>
      <c r="Y76" s="3">
        <f>SUMPRODUCT(Adds!$C$210:$Y$210,Curves!$AZ$20:$BV$20)</f>
        <v/>
      </c>
      <c r="Z76" s="3">
        <f>SUMPRODUCT(Adds!$C$210:$Z$210,Curves!$AY$20:$BV$20)</f>
        <v/>
      </c>
      <c r="AA76" s="3">
        <f>SUMPRODUCT(Adds!$C$210:$AA$210,Curves!$AX$20:$BV$20)</f>
        <v/>
      </c>
      <c r="AB76" s="3">
        <f>SUMPRODUCT(Adds!$C$210:$AB$210,Curves!$AW$20:$BV$20)</f>
        <v/>
      </c>
      <c r="AC76" s="3">
        <f>SUMPRODUCT(Adds!$C$210:$AC$210,Curves!$AV$20:$BV$20)</f>
        <v/>
      </c>
      <c r="AD76" s="3">
        <f>SUMPRODUCT(Adds!$C$210:$AD$210,Curves!$AU$20:$BV$20)</f>
        <v/>
      </c>
      <c r="AE76" s="3">
        <f>SUMPRODUCT(Adds!$C$210:$AE$210,Curves!$AT$20:$BV$20)</f>
        <v/>
      </c>
      <c r="AF76" s="3">
        <f>SUMPRODUCT(Adds!$C$210:$AF$210,Curves!$AS$20:$BV$20)</f>
        <v/>
      </c>
      <c r="AG76" s="3">
        <f>SUMPRODUCT(Adds!$C$210:$AG$210,Curves!$AR$20:$BV$20)</f>
        <v/>
      </c>
      <c r="AH76" s="3">
        <f>SUMPRODUCT(Adds!$C$210:$AH$210,Curves!$AQ$20:$BV$20)</f>
        <v/>
      </c>
      <c r="AI76" s="3">
        <f>SUMPRODUCT(Adds!$C$210:$AI$210,Curves!$AP$20:$BV$20)</f>
        <v/>
      </c>
      <c r="AJ76" s="3">
        <f>SUMPRODUCT(Adds!$C$210:$AJ$210,Curves!$AO$20:$BV$20)</f>
        <v/>
      </c>
      <c r="AK76" s="3">
        <f>SUMPRODUCT(Adds!$C$210:$AK$210,Curves!$AN$20:$BV$20)</f>
        <v/>
      </c>
      <c r="AL76" s="3">
        <f>SUMPRODUCT(Adds!$C$210:$AL$210,Curves!$AM$20:$BV$20)</f>
        <v/>
      </c>
      <c r="AM76" s="3">
        <f>SUMPRODUCT(Adds!$C$210:$AM$210,Curves!$AL$20:$BV$20)</f>
        <v/>
      </c>
      <c r="AN76" s="3">
        <f>SUMPRODUCT(Adds!$C$210:$AN$210,Curves!$AK$20:$BV$20)</f>
        <v/>
      </c>
      <c r="AO76" s="3">
        <f>SUMPRODUCT(Adds!$C$210:$AO$210,Curves!$AJ$20:$BV$20)</f>
        <v/>
      </c>
      <c r="AP76" s="3">
        <f>SUMPRODUCT(Adds!$C$210:$AP$210,Curves!$AI$20:$BV$20)</f>
        <v/>
      </c>
      <c r="AQ76" s="3">
        <f>SUMPRODUCT(Adds!$C$210:$AQ$210,Curves!$AH$20:$BV$20)</f>
        <v/>
      </c>
      <c r="AR76" s="3">
        <f>SUMPRODUCT(Adds!$C$210:$AR$210,Curves!$AG$20:$BV$20)</f>
        <v/>
      </c>
      <c r="AS76" s="3">
        <f>SUMPRODUCT(Adds!$C$210:$AS$210,Curves!$AF$20:$BV$20)</f>
        <v/>
      </c>
      <c r="AT76" s="3">
        <f>SUMPRODUCT(Adds!$C$210:$AT$210,Curves!$AE$20:$BV$20)</f>
        <v/>
      </c>
      <c r="AU76" s="3">
        <f>SUMPRODUCT(Adds!$C$210:$AU$210,Curves!$AD$20:$BV$20)</f>
        <v/>
      </c>
      <c r="AV76" s="3">
        <f>SUMPRODUCT(Adds!$C$210:$AV$210,Curves!$AC$20:$BV$20)</f>
        <v/>
      </c>
      <c r="AW76" s="3">
        <f>SUMPRODUCT(Adds!$C$210:$AW$210,Curves!$AB$20:$BV$20)</f>
        <v/>
      </c>
      <c r="AX76" s="3">
        <f>SUMPRODUCT(Adds!$C$210:$AX$210,Curves!$AA$20:$BV$20)</f>
        <v/>
      </c>
      <c r="AY76" s="3">
        <f>SUMPRODUCT(Adds!$C$210:$AY$210,Curves!$Z$20:$BV$20)</f>
        <v/>
      </c>
      <c r="AZ76" s="3">
        <f>SUMPRODUCT(Adds!$C$210:$AZ$210,Curves!$Y$20:$BV$20)</f>
        <v/>
      </c>
      <c r="BA76" s="3">
        <f>SUMPRODUCT(Adds!$C$210:$BA$210,Curves!$X$20:$BV$20)</f>
        <v/>
      </c>
      <c r="BB76" s="3">
        <f>SUMPRODUCT(Adds!$C$210:$BB$210,Curves!$W$20:$BV$20)</f>
        <v/>
      </c>
      <c r="BC76" s="3">
        <f>SUMPRODUCT(Adds!$C$210:$BC$210,Curves!$V$20:$BV$20)</f>
        <v/>
      </c>
      <c r="BD76" s="3">
        <f>SUMPRODUCT(Adds!$C$210:$BD$210,Curves!$U$20:$BV$20)</f>
        <v/>
      </c>
      <c r="BE76" s="3">
        <f>SUMPRODUCT(Adds!$C$210:$BE$210,Curves!$T$20:$BV$20)</f>
        <v/>
      </c>
      <c r="BF76" s="3">
        <f>SUMPRODUCT(Adds!$C$210:$BF$210,Curves!$S$20:$BV$20)</f>
        <v/>
      </c>
      <c r="BG76" s="3">
        <f>SUMPRODUCT(Adds!$C$210:$BG$210,Curves!$R$20:$BV$20)</f>
        <v/>
      </c>
      <c r="BH76" s="3">
        <f>SUMPRODUCT(Adds!$C$210:$BH$210,Curves!$Q$20:$BV$20)</f>
        <v/>
      </c>
      <c r="BI76" s="3">
        <f>SUMPRODUCT(Adds!$C$210:$BI$210,Curves!$P$20:$BV$20)</f>
        <v/>
      </c>
      <c r="BJ76" s="3">
        <f>SUMPRODUCT(Adds!$C$210:$BJ$210,Curves!$O$20:$BV$20)</f>
        <v/>
      </c>
      <c r="BK76" s="3">
        <f>SUMPRODUCT(Adds!$C$210:$BK$210,Curves!$N$20:$BV$20)</f>
        <v/>
      </c>
      <c r="BL76" s="3">
        <f>SUMPRODUCT(Adds!$C$210:$BL$210,Curves!$M$20:$BV$20)</f>
        <v/>
      </c>
      <c r="BM76" s="3">
        <f>SUMPRODUCT(Adds!$C$210:$BM$210,Curves!$L$20:$BV$20)</f>
        <v/>
      </c>
      <c r="BN76" s="3">
        <f>SUMPRODUCT(Adds!$C$210:$BN$210,Curves!$K$20:$BV$20)</f>
        <v/>
      </c>
      <c r="BO76" s="3">
        <f>SUMPRODUCT(Adds!$C$210:$BO$210,Curves!$J$20:$BV$20)</f>
        <v/>
      </c>
      <c r="BP76" s="3">
        <f>SUMPRODUCT(Adds!$C$210:$BP$210,Curves!$I$20:$BV$20)</f>
        <v/>
      </c>
      <c r="BQ76" s="3">
        <f>SUMPRODUCT(Adds!$C$210:$BQ$210,Curves!$H$20:$BV$20)</f>
        <v/>
      </c>
      <c r="BR76" s="3">
        <f>SUMPRODUCT(Adds!$C$210:$BR$210,Curves!$G$20:$BV$20)</f>
        <v/>
      </c>
      <c r="BS76" s="3">
        <f>SUMPRODUCT(Adds!$C$210:$BS$210,Curves!$F$20:$BV$20)</f>
        <v/>
      </c>
      <c r="BT76" s="3">
        <f>SUMPRODUCT(Adds!$C$210:$BT$210,Curves!$E$20:$BV$20)</f>
        <v/>
      </c>
      <c r="BU76" s="3">
        <f>SUMPRODUCT(Adds!$C$210:$BU$210,Curves!$D$20:$BV$20)</f>
        <v/>
      </c>
      <c r="BV76" s="3">
        <f>SUMPRODUCT(Adds!$C$210:$BV$210,Curves!$C$20:$BV$20)</f>
        <v/>
      </c>
    </row>
    <row r="77">
      <c r="A77" t="inlineStr">
        <is>
          <t>churned</t>
        </is>
      </c>
      <c r="B77" t="inlineStr">
        <is>
          <t>ROW|BASIC_M</t>
        </is>
      </c>
      <c r="C77" s="3">
        <f>Adds!$C$210*Curves!$BV$15</f>
        <v/>
      </c>
      <c r="D77" s="3">
        <f>SUMPRODUCT(Adds!$C$210:$D$210,Curves!$BU$15:$BV$15)</f>
        <v/>
      </c>
      <c r="E77" s="3">
        <f>SUMPRODUCT(Adds!$C$210:$E$210,Curves!$BT$15:$BV$15)</f>
        <v/>
      </c>
      <c r="F77" s="3">
        <f>SUMPRODUCT(Adds!$C$210:$F$210,Curves!$BS$15:$BV$15)</f>
        <v/>
      </c>
      <c r="G77" s="3">
        <f>SUMPRODUCT(Adds!$C$210:$G$210,Curves!$BR$15:$BV$15)</f>
        <v/>
      </c>
      <c r="H77" s="3">
        <f>SUMPRODUCT(Adds!$C$210:$H$210,Curves!$BQ$15:$BV$15)</f>
        <v/>
      </c>
      <c r="I77" s="3">
        <f>SUMPRODUCT(Adds!$C$210:$I$210,Curves!$BP$15:$BV$15)</f>
        <v/>
      </c>
      <c r="J77" s="3">
        <f>SUMPRODUCT(Adds!$C$210:$J$210,Curves!$BO$15:$BV$15)</f>
        <v/>
      </c>
      <c r="K77" s="3">
        <f>SUMPRODUCT(Adds!$C$210:$K$210,Curves!$BN$15:$BV$15)</f>
        <v/>
      </c>
      <c r="L77" s="3">
        <f>SUMPRODUCT(Adds!$C$210:$L$210,Curves!$BM$15:$BV$15)</f>
        <v/>
      </c>
      <c r="M77" s="3">
        <f>SUMPRODUCT(Adds!$C$210:$M$210,Curves!$BL$15:$BV$15)</f>
        <v/>
      </c>
      <c r="N77" s="3">
        <f>SUMPRODUCT(Adds!$C$210:$N$210,Curves!$BK$15:$BV$15)</f>
        <v/>
      </c>
      <c r="O77" s="3">
        <f>SUMPRODUCT(Adds!$C$210:$O$210,Curves!$BJ$15:$BV$15)</f>
        <v/>
      </c>
      <c r="P77" s="3">
        <f>SUMPRODUCT(Adds!$C$210:$P$210,Curves!$BI$15:$BV$15)</f>
        <v/>
      </c>
      <c r="Q77" s="3">
        <f>SUMPRODUCT(Adds!$C$210:$Q$210,Curves!$BH$15:$BV$15)</f>
        <v/>
      </c>
      <c r="R77" s="3">
        <f>SUMPRODUCT(Adds!$C$210:$R$210,Curves!$BG$15:$BV$15)</f>
        <v/>
      </c>
      <c r="S77" s="3">
        <f>SUMPRODUCT(Adds!$C$210:$S$210,Curves!$BF$15:$BV$15)</f>
        <v/>
      </c>
      <c r="T77" s="3">
        <f>SUMPRODUCT(Adds!$C$210:$T$210,Curves!$BE$15:$BV$15)</f>
        <v/>
      </c>
      <c r="U77" s="3">
        <f>SUMPRODUCT(Adds!$C$210:$U$210,Curves!$BD$15:$BV$15)</f>
        <v/>
      </c>
      <c r="V77" s="3">
        <f>SUMPRODUCT(Adds!$C$210:$V$210,Curves!$BC$15:$BV$15)</f>
        <v/>
      </c>
      <c r="W77" s="3">
        <f>SUMPRODUCT(Adds!$C$210:$W$210,Curves!$BB$15:$BV$15)</f>
        <v/>
      </c>
      <c r="X77" s="3">
        <f>SUMPRODUCT(Adds!$C$210:$X$210,Curves!$BA$15:$BV$15)</f>
        <v/>
      </c>
      <c r="Y77" s="3">
        <f>SUMPRODUCT(Adds!$C$210:$Y$210,Curves!$AZ$15:$BV$15)</f>
        <v/>
      </c>
      <c r="Z77" s="3">
        <f>SUMPRODUCT(Adds!$C$210:$Z$210,Curves!$AY$15:$BV$15)</f>
        <v/>
      </c>
      <c r="AA77" s="3">
        <f>SUMPRODUCT(Adds!$C$210:$AA$210,Curves!$AX$15:$BV$15)</f>
        <v/>
      </c>
      <c r="AB77" s="3">
        <f>SUMPRODUCT(Adds!$C$210:$AB$210,Curves!$AW$15:$BV$15)</f>
        <v/>
      </c>
      <c r="AC77" s="3">
        <f>SUMPRODUCT(Adds!$C$210:$AC$210,Curves!$AV$15:$BV$15)</f>
        <v/>
      </c>
      <c r="AD77" s="3">
        <f>SUMPRODUCT(Adds!$C$210:$AD$210,Curves!$AU$15:$BV$15)</f>
        <v/>
      </c>
      <c r="AE77" s="3">
        <f>SUMPRODUCT(Adds!$C$210:$AE$210,Curves!$AT$15:$BV$15)</f>
        <v/>
      </c>
      <c r="AF77" s="3">
        <f>SUMPRODUCT(Adds!$C$210:$AF$210,Curves!$AS$15:$BV$15)</f>
        <v/>
      </c>
      <c r="AG77" s="3">
        <f>SUMPRODUCT(Adds!$C$210:$AG$210,Curves!$AR$15:$BV$15)</f>
        <v/>
      </c>
      <c r="AH77" s="3">
        <f>SUMPRODUCT(Adds!$C$210:$AH$210,Curves!$AQ$15:$BV$15)</f>
        <v/>
      </c>
      <c r="AI77" s="3">
        <f>SUMPRODUCT(Adds!$C$210:$AI$210,Curves!$AP$15:$BV$15)</f>
        <v/>
      </c>
      <c r="AJ77" s="3">
        <f>SUMPRODUCT(Adds!$C$210:$AJ$210,Curves!$AO$15:$BV$15)</f>
        <v/>
      </c>
      <c r="AK77" s="3">
        <f>SUMPRODUCT(Adds!$C$210:$AK$210,Curves!$AN$15:$BV$15)</f>
        <v/>
      </c>
      <c r="AL77" s="3">
        <f>SUMPRODUCT(Adds!$C$210:$AL$210,Curves!$AM$15:$BV$15)</f>
        <v/>
      </c>
      <c r="AM77" s="3">
        <f>SUMPRODUCT(Adds!$C$210:$AM$210,Curves!$AL$15:$BV$15)</f>
        <v/>
      </c>
      <c r="AN77" s="3">
        <f>SUMPRODUCT(Adds!$C$210:$AN$210,Curves!$AK$15:$BV$15)</f>
        <v/>
      </c>
      <c r="AO77" s="3">
        <f>SUMPRODUCT(Adds!$C$210:$AO$210,Curves!$AJ$15:$BV$15)</f>
        <v/>
      </c>
      <c r="AP77" s="3">
        <f>SUMPRODUCT(Adds!$C$210:$AP$210,Curves!$AI$15:$BV$15)</f>
        <v/>
      </c>
      <c r="AQ77" s="3">
        <f>SUMPRODUCT(Adds!$C$210:$AQ$210,Curves!$AH$15:$BV$15)</f>
        <v/>
      </c>
      <c r="AR77" s="3">
        <f>SUMPRODUCT(Adds!$C$210:$AR$210,Curves!$AG$15:$BV$15)</f>
        <v/>
      </c>
      <c r="AS77" s="3">
        <f>SUMPRODUCT(Adds!$C$210:$AS$210,Curves!$AF$15:$BV$15)</f>
        <v/>
      </c>
      <c r="AT77" s="3">
        <f>SUMPRODUCT(Adds!$C$210:$AT$210,Curves!$AE$15:$BV$15)</f>
        <v/>
      </c>
      <c r="AU77" s="3">
        <f>SUMPRODUCT(Adds!$C$210:$AU$210,Curves!$AD$15:$BV$15)</f>
        <v/>
      </c>
      <c r="AV77" s="3">
        <f>SUMPRODUCT(Adds!$C$210:$AV$210,Curves!$AC$15:$BV$15)</f>
        <v/>
      </c>
      <c r="AW77" s="3">
        <f>SUMPRODUCT(Adds!$C$210:$AW$210,Curves!$AB$15:$BV$15)</f>
        <v/>
      </c>
      <c r="AX77" s="3">
        <f>SUMPRODUCT(Adds!$C$210:$AX$210,Curves!$AA$15:$BV$15)</f>
        <v/>
      </c>
      <c r="AY77" s="3">
        <f>SUMPRODUCT(Adds!$C$210:$AY$210,Curves!$Z$15:$BV$15)</f>
        <v/>
      </c>
      <c r="AZ77" s="3">
        <f>SUMPRODUCT(Adds!$C$210:$AZ$210,Curves!$Y$15:$BV$15)</f>
        <v/>
      </c>
      <c r="BA77" s="3">
        <f>SUMPRODUCT(Adds!$C$210:$BA$210,Curves!$X$15:$BV$15)</f>
        <v/>
      </c>
      <c r="BB77" s="3">
        <f>SUMPRODUCT(Adds!$C$210:$BB$210,Curves!$W$15:$BV$15)</f>
        <v/>
      </c>
      <c r="BC77" s="3">
        <f>SUMPRODUCT(Adds!$C$210:$BC$210,Curves!$V$15:$BV$15)</f>
        <v/>
      </c>
      <c r="BD77" s="3">
        <f>SUMPRODUCT(Adds!$C$210:$BD$210,Curves!$U$15:$BV$15)</f>
        <v/>
      </c>
      <c r="BE77" s="3">
        <f>SUMPRODUCT(Adds!$C$210:$BE$210,Curves!$T$15:$BV$15)</f>
        <v/>
      </c>
      <c r="BF77" s="3">
        <f>SUMPRODUCT(Adds!$C$210:$BF$210,Curves!$S$15:$BV$15)</f>
        <v/>
      </c>
      <c r="BG77" s="3">
        <f>SUMPRODUCT(Adds!$C$210:$BG$210,Curves!$R$15:$BV$15)</f>
        <v/>
      </c>
      <c r="BH77" s="3">
        <f>SUMPRODUCT(Adds!$C$210:$BH$210,Curves!$Q$15:$BV$15)</f>
        <v/>
      </c>
      <c r="BI77" s="3">
        <f>SUMPRODUCT(Adds!$C$210:$BI$210,Curves!$P$15:$BV$15)</f>
        <v/>
      </c>
      <c r="BJ77" s="3">
        <f>SUMPRODUCT(Adds!$C$210:$BJ$210,Curves!$O$15:$BV$15)</f>
        <v/>
      </c>
      <c r="BK77" s="3">
        <f>SUMPRODUCT(Adds!$C$210:$BK$210,Curves!$N$15:$BV$15)</f>
        <v/>
      </c>
      <c r="BL77" s="3">
        <f>SUMPRODUCT(Adds!$C$210:$BL$210,Curves!$M$15:$BV$15)</f>
        <v/>
      </c>
      <c r="BM77" s="3">
        <f>SUMPRODUCT(Adds!$C$210:$BM$210,Curves!$L$15:$BV$15)</f>
        <v/>
      </c>
      <c r="BN77" s="3">
        <f>SUMPRODUCT(Adds!$C$210:$BN$210,Curves!$K$15:$BV$15)</f>
        <v/>
      </c>
      <c r="BO77" s="3">
        <f>SUMPRODUCT(Adds!$C$210:$BO$210,Curves!$J$15:$BV$15)</f>
        <v/>
      </c>
      <c r="BP77" s="3">
        <f>SUMPRODUCT(Adds!$C$210:$BP$210,Curves!$I$15:$BV$15)</f>
        <v/>
      </c>
      <c r="BQ77" s="3">
        <f>SUMPRODUCT(Adds!$C$210:$BQ$210,Curves!$H$15:$BV$15)</f>
        <v/>
      </c>
      <c r="BR77" s="3">
        <f>SUMPRODUCT(Adds!$C$210:$BR$210,Curves!$G$15:$BV$15)</f>
        <v/>
      </c>
      <c r="BS77" s="3">
        <f>SUMPRODUCT(Adds!$C$210:$BS$210,Curves!$F$15:$BV$15)</f>
        <v/>
      </c>
      <c r="BT77" s="3">
        <f>SUMPRODUCT(Adds!$C$210:$BT$210,Curves!$E$15:$BV$15)</f>
        <v/>
      </c>
      <c r="BU77" s="3">
        <f>SUMPRODUCT(Adds!$C$210:$BU$210,Curves!$D$15:$BV$15)</f>
        <v/>
      </c>
      <c r="BV77" s="3">
        <f>SUMPRODUCT(Adds!$C$210:$BV$210,Curves!$C$15:$BV$15)</f>
        <v/>
      </c>
    </row>
    <row r="79">
      <c r="A79" t="inlineStr">
        <is>
          <t>active</t>
        </is>
      </c>
      <c r="B79" t="inlineStr">
        <is>
          <t>ROW|BASIC_A</t>
        </is>
      </c>
      <c r="C79" s="3">
        <f>Adds!$C$221*Curves!$BV$14</f>
        <v/>
      </c>
      <c r="D79" s="3">
        <f>SUMPRODUCT(Adds!$C$221:$D$221,Curves!$BU$14:$BV$14)</f>
        <v/>
      </c>
      <c r="E79" s="3">
        <f>SUMPRODUCT(Adds!$C$221:$E$221,Curves!$BT$14:$BV$14)</f>
        <v/>
      </c>
      <c r="F79" s="3">
        <f>SUMPRODUCT(Adds!$C$221:$F$221,Curves!$BS$14:$BV$14)</f>
        <v/>
      </c>
      <c r="G79" s="3">
        <f>SUMPRODUCT(Adds!$C$221:$G$221,Curves!$BR$14:$BV$14)</f>
        <v/>
      </c>
      <c r="H79" s="3">
        <f>SUMPRODUCT(Adds!$C$221:$H$221,Curves!$BQ$14:$BV$14)</f>
        <v/>
      </c>
      <c r="I79" s="3">
        <f>SUMPRODUCT(Adds!$C$221:$I$221,Curves!$BP$14:$BV$14)</f>
        <v/>
      </c>
      <c r="J79" s="3">
        <f>SUMPRODUCT(Adds!$C$221:$J$221,Curves!$BO$14:$BV$14)</f>
        <v/>
      </c>
      <c r="K79" s="3">
        <f>SUMPRODUCT(Adds!$C$221:$K$221,Curves!$BN$14:$BV$14)</f>
        <v/>
      </c>
      <c r="L79" s="3">
        <f>SUMPRODUCT(Adds!$C$221:$L$221,Curves!$BM$14:$BV$14)</f>
        <v/>
      </c>
      <c r="M79" s="3">
        <f>SUMPRODUCT(Adds!$C$221:$M$221,Curves!$BL$14:$BV$14)</f>
        <v/>
      </c>
      <c r="N79" s="3">
        <f>SUMPRODUCT(Adds!$C$221:$N$221,Curves!$BK$14:$BV$14)</f>
        <v/>
      </c>
      <c r="O79" s="3">
        <f>SUMPRODUCT(Adds!$C$221:$O$221,Curves!$BJ$14:$BV$14)</f>
        <v/>
      </c>
      <c r="P79" s="3">
        <f>SUMPRODUCT(Adds!$C$221:$P$221,Curves!$BI$14:$BV$14)</f>
        <v/>
      </c>
      <c r="Q79" s="3">
        <f>SUMPRODUCT(Adds!$C$221:$Q$221,Curves!$BH$14:$BV$14)</f>
        <v/>
      </c>
      <c r="R79" s="3">
        <f>SUMPRODUCT(Adds!$C$221:$R$221,Curves!$BG$14:$BV$14)</f>
        <v/>
      </c>
      <c r="S79" s="3">
        <f>SUMPRODUCT(Adds!$C$221:$S$221,Curves!$BF$14:$BV$14)</f>
        <v/>
      </c>
      <c r="T79" s="3">
        <f>SUMPRODUCT(Adds!$C$221:$T$221,Curves!$BE$14:$BV$14)</f>
        <v/>
      </c>
      <c r="U79" s="3">
        <f>SUMPRODUCT(Adds!$C$221:$U$221,Curves!$BD$14:$BV$14)</f>
        <v/>
      </c>
      <c r="V79" s="3">
        <f>SUMPRODUCT(Adds!$C$221:$V$221,Curves!$BC$14:$BV$14)</f>
        <v/>
      </c>
      <c r="W79" s="3">
        <f>SUMPRODUCT(Adds!$C$221:$W$221,Curves!$BB$14:$BV$14)</f>
        <v/>
      </c>
      <c r="X79" s="3">
        <f>SUMPRODUCT(Adds!$C$221:$X$221,Curves!$BA$14:$BV$14)</f>
        <v/>
      </c>
      <c r="Y79" s="3">
        <f>SUMPRODUCT(Adds!$C$221:$Y$221,Curves!$AZ$14:$BV$14)</f>
        <v/>
      </c>
      <c r="Z79" s="3">
        <f>SUMPRODUCT(Adds!$C$221:$Z$221,Curves!$AY$14:$BV$14)</f>
        <v/>
      </c>
      <c r="AA79" s="3">
        <f>SUMPRODUCT(Adds!$C$221:$AA$221,Curves!$AX$14:$BV$14)</f>
        <v/>
      </c>
      <c r="AB79" s="3">
        <f>SUMPRODUCT(Adds!$C$221:$AB$221,Curves!$AW$14:$BV$14)</f>
        <v/>
      </c>
      <c r="AC79" s="3">
        <f>SUMPRODUCT(Adds!$C$221:$AC$221,Curves!$AV$14:$BV$14)</f>
        <v/>
      </c>
      <c r="AD79" s="3">
        <f>SUMPRODUCT(Adds!$C$221:$AD$221,Curves!$AU$14:$BV$14)</f>
        <v/>
      </c>
      <c r="AE79" s="3">
        <f>SUMPRODUCT(Adds!$C$221:$AE$221,Curves!$AT$14:$BV$14)</f>
        <v/>
      </c>
      <c r="AF79" s="3">
        <f>SUMPRODUCT(Adds!$C$221:$AF$221,Curves!$AS$14:$BV$14)</f>
        <v/>
      </c>
      <c r="AG79" s="3">
        <f>SUMPRODUCT(Adds!$C$221:$AG$221,Curves!$AR$14:$BV$14)</f>
        <v/>
      </c>
      <c r="AH79" s="3">
        <f>SUMPRODUCT(Adds!$C$221:$AH$221,Curves!$AQ$14:$BV$14)</f>
        <v/>
      </c>
      <c r="AI79" s="3">
        <f>SUMPRODUCT(Adds!$C$221:$AI$221,Curves!$AP$14:$BV$14)</f>
        <v/>
      </c>
      <c r="AJ79" s="3">
        <f>SUMPRODUCT(Adds!$C$221:$AJ$221,Curves!$AO$14:$BV$14)</f>
        <v/>
      </c>
      <c r="AK79" s="3">
        <f>SUMPRODUCT(Adds!$C$221:$AK$221,Curves!$AN$14:$BV$14)</f>
        <v/>
      </c>
      <c r="AL79" s="3">
        <f>SUMPRODUCT(Adds!$C$221:$AL$221,Curves!$AM$14:$BV$14)</f>
        <v/>
      </c>
      <c r="AM79" s="3">
        <f>SUMPRODUCT(Adds!$C$221:$AM$221,Curves!$AL$14:$BV$14)</f>
        <v/>
      </c>
      <c r="AN79" s="3">
        <f>SUMPRODUCT(Adds!$C$221:$AN$221,Curves!$AK$14:$BV$14)</f>
        <v/>
      </c>
      <c r="AO79" s="3">
        <f>SUMPRODUCT(Adds!$C$221:$AO$221,Curves!$AJ$14:$BV$14)</f>
        <v/>
      </c>
      <c r="AP79" s="3">
        <f>SUMPRODUCT(Adds!$C$221:$AP$221,Curves!$AI$14:$BV$14)</f>
        <v/>
      </c>
      <c r="AQ79" s="3">
        <f>SUMPRODUCT(Adds!$C$221:$AQ$221,Curves!$AH$14:$BV$14)</f>
        <v/>
      </c>
      <c r="AR79" s="3">
        <f>SUMPRODUCT(Adds!$C$221:$AR$221,Curves!$AG$14:$BV$14)</f>
        <v/>
      </c>
      <c r="AS79" s="3">
        <f>SUMPRODUCT(Adds!$C$221:$AS$221,Curves!$AF$14:$BV$14)</f>
        <v/>
      </c>
      <c r="AT79" s="3">
        <f>SUMPRODUCT(Adds!$C$221:$AT$221,Curves!$AE$14:$BV$14)</f>
        <v/>
      </c>
      <c r="AU79" s="3">
        <f>SUMPRODUCT(Adds!$C$221:$AU$221,Curves!$AD$14:$BV$14)</f>
        <v/>
      </c>
      <c r="AV79" s="3">
        <f>SUMPRODUCT(Adds!$C$221:$AV$221,Curves!$AC$14:$BV$14)</f>
        <v/>
      </c>
      <c r="AW79" s="3">
        <f>SUMPRODUCT(Adds!$C$221:$AW$221,Curves!$AB$14:$BV$14)</f>
        <v/>
      </c>
      <c r="AX79" s="3">
        <f>SUMPRODUCT(Adds!$C$221:$AX$221,Curves!$AA$14:$BV$14)</f>
        <v/>
      </c>
      <c r="AY79" s="3">
        <f>SUMPRODUCT(Adds!$C$221:$AY$221,Curves!$Z$14:$BV$14)</f>
        <v/>
      </c>
      <c r="AZ79" s="3">
        <f>SUMPRODUCT(Adds!$C$221:$AZ$221,Curves!$Y$14:$BV$14)</f>
        <v/>
      </c>
      <c r="BA79" s="3">
        <f>SUMPRODUCT(Adds!$C$221:$BA$221,Curves!$X$14:$BV$14)</f>
        <v/>
      </c>
      <c r="BB79" s="3">
        <f>SUMPRODUCT(Adds!$C$221:$BB$221,Curves!$W$14:$BV$14)</f>
        <v/>
      </c>
      <c r="BC79" s="3">
        <f>SUMPRODUCT(Adds!$C$221:$BC$221,Curves!$V$14:$BV$14)</f>
        <v/>
      </c>
      <c r="BD79" s="3">
        <f>SUMPRODUCT(Adds!$C$221:$BD$221,Curves!$U$14:$BV$14)</f>
        <v/>
      </c>
      <c r="BE79" s="3">
        <f>SUMPRODUCT(Adds!$C$221:$BE$221,Curves!$T$14:$BV$14)</f>
        <v/>
      </c>
      <c r="BF79" s="3">
        <f>SUMPRODUCT(Adds!$C$221:$BF$221,Curves!$S$14:$BV$14)</f>
        <v/>
      </c>
      <c r="BG79" s="3">
        <f>SUMPRODUCT(Adds!$C$221:$BG$221,Curves!$R$14:$BV$14)</f>
        <v/>
      </c>
      <c r="BH79" s="3">
        <f>SUMPRODUCT(Adds!$C$221:$BH$221,Curves!$Q$14:$BV$14)</f>
        <v/>
      </c>
      <c r="BI79" s="3">
        <f>SUMPRODUCT(Adds!$C$221:$BI$221,Curves!$P$14:$BV$14)</f>
        <v/>
      </c>
      <c r="BJ79" s="3">
        <f>SUMPRODUCT(Adds!$C$221:$BJ$221,Curves!$O$14:$BV$14)</f>
        <v/>
      </c>
      <c r="BK79" s="3">
        <f>SUMPRODUCT(Adds!$C$221:$BK$221,Curves!$N$14:$BV$14)</f>
        <v/>
      </c>
      <c r="BL79" s="3">
        <f>SUMPRODUCT(Adds!$C$221:$BL$221,Curves!$M$14:$BV$14)</f>
        <v/>
      </c>
      <c r="BM79" s="3">
        <f>SUMPRODUCT(Adds!$C$221:$BM$221,Curves!$L$14:$BV$14)</f>
        <v/>
      </c>
      <c r="BN79" s="3">
        <f>SUMPRODUCT(Adds!$C$221:$BN$221,Curves!$K$14:$BV$14)</f>
        <v/>
      </c>
      <c r="BO79" s="3">
        <f>SUMPRODUCT(Adds!$C$221:$BO$221,Curves!$J$14:$BV$14)</f>
        <v/>
      </c>
      <c r="BP79" s="3">
        <f>SUMPRODUCT(Adds!$C$221:$BP$221,Curves!$I$14:$BV$14)</f>
        <v/>
      </c>
      <c r="BQ79" s="3">
        <f>SUMPRODUCT(Adds!$C$221:$BQ$221,Curves!$H$14:$BV$14)</f>
        <v/>
      </c>
      <c r="BR79" s="3">
        <f>SUMPRODUCT(Adds!$C$221:$BR$221,Curves!$G$14:$BV$14)</f>
        <v/>
      </c>
      <c r="BS79" s="3">
        <f>SUMPRODUCT(Adds!$C$221:$BS$221,Curves!$F$14:$BV$14)</f>
        <v/>
      </c>
      <c r="BT79" s="3">
        <f>SUMPRODUCT(Adds!$C$221:$BT$221,Curves!$E$14:$BV$14)</f>
        <v/>
      </c>
      <c r="BU79" s="3">
        <f>SUMPRODUCT(Adds!$C$221:$BU$221,Curves!$D$14:$BV$14)</f>
        <v/>
      </c>
      <c r="BV79" s="3">
        <f>SUMPRODUCT(Adds!$C$221:$BV$221,Curves!$C$14:$BV$14)</f>
        <v/>
      </c>
    </row>
    <row r="80">
      <c r="A80" t="inlineStr">
        <is>
          <t>active yr 1</t>
        </is>
      </c>
      <c r="B80" t="inlineStr">
        <is>
          <t>ROW|BASIC_A</t>
        </is>
      </c>
      <c r="C80" s="3">
        <f>Adds!$C$221*Curves!$BV$21</f>
        <v/>
      </c>
      <c r="D80" s="3">
        <f>SUMPRODUCT(Adds!$C$221:$D$221,Curves!$BU$21:$BV$21)</f>
        <v/>
      </c>
      <c r="E80" s="3">
        <f>SUMPRODUCT(Adds!$C$221:$E$221,Curves!$BT$21:$BV$21)</f>
        <v/>
      </c>
      <c r="F80" s="3">
        <f>SUMPRODUCT(Adds!$C$221:$F$221,Curves!$BS$21:$BV$21)</f>
        <v/>
      </c>
      <c r="G80" s="3">
        <f>SUMPRODUCT(Adds!$C$221:$G$221,Curves!$BR$21:$BV$21)</f>
        <v/>
      </c>
      <c r="H80" s="3">
        <f>SUMPRODUCT(Adds!$C$221:$H$221,Curves!$BQ$21:$BV$21)</f>
        <v/>
      </c>
      <c r="I80" s="3">
        <f>SUMPRODUCT(Adds!$C$221:$I$221,Curves!$BP$21:$BV$21)</f>
        <v/>
      </c>
      <c r="J80" s="3">
        <f>SUMPRODUCT(Adds!$C$221:$J$221,Curves!$BO$21:$BV$21)</f>
        <v/>
      </c>
      <c r="K80" s="3">
        <f>SUMPRODUCT(Adds!$C$221:$K$221,Curves!$BN$21:$BV$21)</f>
        <v/>
      </c>
      <c r="L80" s="3">
        <f>SUMPRODUCT(Adds!$C$221:$L$221,Curves!$BM$21:$BV$21)</f>
        <v/>
      </c>
      <c r="M80" s="3">
        <f>SUMPRODUCT(Adds!$C$221:$M$221,Curves!$BL$21:$BV$21)</f>
        <v/>
      </c>
      <c r="N80" s="3">
        <f>SUMPRODUCT(Adds!$C$221:$N$221,Curves!$BK$21:$BV$21)</f>
        <v/>
      </c>
      <c r="O80" s="3">
        <f>SUMPRODUCT(Adds!$C$221:$O$221,Curves!$BJ$21:$BV$21)</f>
        <v/>
      </c>
      <c r="P80" s="3">
        <f>SUMPRODUCT(Adds!$C$221:$P$221,Curves!$BI$21:$BV$21)</f>
        <v/>
      </c>
      <c r="Q80" s="3">
        <f>SUMPRODUCT(Adds!$C$221:$Q$221,Curves!$BH$21:$BV$21)</f>
        <v/>
      </c>
      <c r="R80" s="3">
        <f>SUMPRODUCT(Adds!$C$221:$R$221,Curves!$BG$21:$BV$21)</f>
        <v/>
      </c>
      <c r="S80" s="3">
        <f>SUMPRODUCT(Adds!$C$221:$S$221,Curves!$BF$21:$BV$21)</f>
        <v/>
      </c>
      <c r="T80" s="3">
        <f>SUMPRODUCT(Adds!$C$221:$T$221,Curves!$BE$21:$BV$21)</f>
        <v/>
      </c>
      <c r="U80" s="3">
        <f>SUMPRODUCT(Adds!$C$221:$U$221,Curves!$BD$21:$BV$21)</f>
        <v/>
      </c>
      <c r="V80" s="3">
        <f>SUMPRODUCT(Adds!$C$221:$V$221,Curves!$BC$21:$BV$21)</f>
        <v/>
      </c>
      <c r="W80" s="3">
        <f>SUMPRODUCT(Adds!$C$221:$W$221,Curves!$BB$21:$BV$21)</f>
        <v/>
      </c>
      <c r="X80" s="3">
        <f>SUMPRODUCT(Adds!$C$221:$X$221,Curves!$BA$21:$BV$21)</f>
        <v/>
      </c>
      <c r="Y80" s="3">
        <f>SUMPRODUCT(Adds!$C$221:$Y$221,Curves!$AZ$21:$BV$21)</f>
        <v/>
      </c>
      <c r="Z80" s="3">
        <f>SUMPRODUCT(Adds!$C$221:$Z$221,Curves!$AY$21:$BV$21)</f>
        <v/>
      </c>
      <c r="AA80" s="3">
        <f>SUMPRODUCT(Adds!$C$221:$AA$221,Curves!$AX$21:$BV$21)</f>
        <v/>
      </c>
      <c r="AB80" s="3">
        <f>SUMPRODUCT(Adds!$C$221:$AB$221,Curves!$AW$21:$BV$21)</f>
        <v/>
      </c>
      <c r="AC80" s="3">
        <f>SUMPRODUCT(Adds!$C$221:$AC$221,Curves!$AV$21:$BV$21)</f>
        <v/>
      </c>
      <c r="AD80" s="3">
        <f>SUMPRODUCT(Adds!$C$221:$AD$221,Curves!$AU$21:$BV$21)</f>
        <v/>
      </c>
      <c r="AE80" s="3">
        <f>SUMPRODUCT(Adds!$C$221:$AE$221,Curves!$AT$21:$BV$21)</f>
        <v/>
      </c>
      <c r="AF80" s="3">
        <f>SUMPRODUCT(Adds!$C$221:$AF$221,Curves!$AS$21:$BV$21)</f>
        <v/>
      </c>
      <c r="AG80" s="3">
        <f>SUMPRODUCT(Adds!$C$221:$AG$221,Curves!$AR$21:$BV$21)</f>
        <v/>
      </c>
      <c r="AH80" s="3">
        <f>SUMPRODUCT(Adds!$C$221:$AH$221,Curves!$AQ$21:$BV$21)</f>
        <v/>
      </c>
      <c r="AI80" s="3">
        <f>SUMPRODUCT(Adds!$C$221:$AI$221,Curves!$AP$21:$BV$21)</f>
        <v/>
      </c>
      <c r="AJ80" s="3">
        <f>SUMPRODUCT(Adds!$C$221:$AJ$221,Curves!$AO$21:$BV$21)</f>
        <v/>
      </c>
      <c r="AK80" s="3">
        <f>SUMPRODUCT(Adds!$C$221:$AK$221,Curves!$AN$21:$BV$21)</f>
        <v/>
      </c>
      <c r="AL80" s="3">
        <f>SUMPRODUCT(Adds!$C$221:$AL$221,Curves!$AM$21:$BV$21)</f>
        <v/>
      </c>
      <c r="AM80" s="3">
        <f>SUMPRODUCT(Adds!$C$221:$AM$221,Curves!$AL$21:$BV$21)</f>
        <v/>
      </c>
      <c r="AN80" s="3">
        <f>SUMPRODUCT(Adds!$C$221:$AN$221,Curves!$AK$21:$BV$21)</f>
        <v/>
      </c>
      <c r="AO80" s="3">
        <f>SUMPRODUCT(Adds!$C$221:$AO$221,Curves!$AJ$21:$BV$21)</f>
        <v/>
      </c>
      <c r="AP80" s="3">
        <f>SUMPRODUCT(Adds!$C$221:$AP$221,Curves!$AI$21:$BV$21)</f>
        <v/>
      </c>
      <c r="AQ80" s="3">
        <f>SUMPRODUCT(Adds!$C$221:$AQ$221,Curves!$AH$21:$BV$21)</f>
        <v/>
      </c>
      <c r="AR80" s="3">
        <f>SUMPRODUCT(Adds!$C$221:$AR$221,Curves!$AG$21:$BV$21)</f>
        <v/>
      </c>
      <c r="AS80" s="3">
        <f>SUMPRODUCT(Adds!$C$221:$AS$221,Curves!$AF$21:$BV$21)</f>
        <v/>
      </c>
      <c r="AT80" s="3">
        <f>SUMPRODUCT(Adds!$C$221:$AT$221,Curves!$AE$21:$BV$21)</f>
        <v/>
      </c>
      <c r="AU80" s="3">
        <f>SUMPRODUCT(Adds!$C$221:$AU$221,Curves!$AD$21:$BV$21)</f>
        <v/>
      </c>
      <c r="AV80" s="3">
        <f>SUMPRODUCT(Adds!$C$221:$AV$221,Curves!$AC$21:$BV$21)</f>
        <v/>
      </c>
      <c r="AW80" s="3">
        <f>SUMPRODUCT(Adds!$C$221:$AW$221,Curves!$AB$21:$BV$21)</f>
        <v/>
      </c>
      <c r="AX80" s="3">
        <f>SUMPRODUCT(Adds!$C$221:$AX$221,Curves!$AA$21:$BV$21)</f>
        <v/>
      </c>
      <c r="AY80" s="3">
        <f>SUMPRODUCT(Adds!$C$221:$AY$221,Curves!$Z$21:$BV$21)</f>
        <v/>
      </c>
      <c r="AZ80" s="3">
        <f>SUMPRODUCT(Adds!$C$221:$AZ$221,Curves!$Y$21:$BV$21)</f>
        <v/>
      </c>
      <c r="BA80" s="3">
        <f>SUMPRODUCT(Adds!$C$221:$BA$221,Curves!$X$21:$BV$21)</f>
        <v/>
      </c>
      <c r="BB80" s="3">
        <f>SUMPRODUCT(Adds!$C$221:$BB$221,Curves!$W$21:$BV$21)</f>
        <v/>
      </c>
      <c r="BC80" s="3">
        <f>SUMPRODUCT(Adds!$C$221:$BC$221,Curves!$V$21:$BV$21)</f>
        <v/>
      </c>
      <c r="BD80" s="3">
        <f>SUMPRODUCT(Adds!$C$221:$BD$221,Curves!$U$21:$BV$21)</f>
        <v/>
      </c>
      <c r="BE80" s="3">
        <f>SUMPRODUCT(Adds!$C$221:$BE$221,Curves!$T$21:$BV$21)</f>
        <v/>
      </c>
      <c r="BF80" s="3">
        <f>SUMPRODUCT(Adds!$C$221:$BF$221,Curves!$S$21:$BV$21)</f>
        <v/>
      </c>
      <c r="BG80" s="3">
        <f>SUMPRODUCT(Adds!$C$221:$BG$221,Curves!$R$21:$BV$21)</f>
        <v/>
      </c>
      <c r="BH80" s="3">
        <f>SUMPRODUCT(Adds!$C$221:$BH$221,Curves!$Q$21:$BV$21)</f>
        <v/>
      </c>
      <c r="BI80" s="3">
        <f>SUMPRODUCT(Adds!$C$221:$BI$221,Curves!$P$21:$BV$21)</f>
        <v/>
      </c>
      <c r="BJ80" s="3">
        <f>SUMPRODUCT(Adds!$C$221:$BJ$221,Curves!$O$21:$BV$21)</f>
        <v/>
      </c>
      <c r="BK80" s="3">
        <f>SUMPRODUCT(Adds!$C$221:$BK$221,Curves!$N$21:$BV$21)</f>
        <v/>
      </c>
      <c r="BL80" s="3">
        <f>SUMPRODUCT(Adds!$C$221:$BL$221,Curves!$M$21:$BV$21)</f>
        <v/>
      </c>
      <c r="BM80" s="3">
        <f>SUMPRODUCT(Adds!$C$221:$BM$221,Curves!$L$21:$BV$21)</f>
        <v/>
      </c>
      <c r="BN80" s="3">
        <f>SUMPRODUCT(Adds!$C$221:$BN$221,Curves!$K$21:$BV$21)</f>
        <v/>
      </c>
      <c r="BO80" s="3">
        <f>SUMPRODUCT(Adds!$C$221:$BO$221,Curves!$J$21:$BV$21)</f>
        <v/>
      </c>
      <c r="BP80" s="3">
        <f>SUMPRODUCT(Adds!$C$221:$BP$221,Curves!$I$21:$BV$21)</f>
        <v/>
      </c>
      <c r="BQ80" s="3">
        <f>SUMPRODUCT(Adds!$C$221:$BQ$221,Curves!$H$21:$BV$21)</f>
        <v/>
      </c>
      <c r="BR80" s="3">
        <f>SUMPRODUCT(Adds!$C$221:$BR$221,Curves!$G$21:$BV$21)</f>
        <v/>
      </c>
      <c r="BS80" s="3">
        <f>SUMPRODUCT(Adds!$C$221:$BS$221,Curves!$F$21:$BV$21)</f>
        <v/>
      </c>
      <c r="BT80" s="3">
        <f>SUMPRODUCT(Adds!$C$221:$BT$221,Curves!$E$21:$BV$21)</f>
        <v/>
      </c>
      <c r="BU80" s="3">
        <f>SUMPRODUCT(Adds!$C$221:$BU$221,Curves!$D$21:$BV$21)</f>
        <v/>
      </c>
      <c r="BV80" s="3">
        <f>SUMPRODUCT(Adds!$C$221:$BV$221,Curves!$C$21:$BV$21)</f>
        <v/>
      </c>
    </row>
    <row r="81">
      <c r="A81" t="inlineStr">
        <is>
          <t>churned</t>
        </is>
      </c>
      <c r="B81" t="inlineStr">
        <is>
          <t>ROW|BASIC_A</t>
        </is>
      </c>
      <c r="C81" s="3">
        <f>Adds!$C$221*Curves!$BV$16</f>
        <v/>
      </c>
      <c r="D81" s="3">
        <f>SUMPRODUCT(Adds!$C$221:$D$221,Curves!$BU$16:$BV$16)</f>
        <v/>
      </c>
      <c r="E81" s="3">
        <f>SUMPRODUCT(Adds!$C$221:$E$221,Curves!$BT$16:$BV$16)</f>
        <v/>
      </c>
      <c r="F81" s="3">
        <f>SUMPRODUCT(Adds!$C$221:$F$221,Curves!$BS$16:$BV$16)</f>
        <v/>
      </c>
      <c r="G81" s="3">
        <f>SUMPRODUCT(Adds!$C$221:$G$221,Curves!$BR$16:$BV$16)</f>
        <v/>
      </c>
      <c r="H81" s="3">
        <f>SUMPRODUCT(Adds!$C$221:$H$221,Curves!$BQ$16:$BV$16)</f>
        <v/>
      </c>
      <c r="I81" s="3">
        <f>SUMPRODUCT(Adds!$C$221:$I$221,Curves!$BP$16:$BV$16)</f>
        <v/>
      </c>
      <c r="J81" s="3">
        <f>SUMPRODUCT(Adds!$C$221:$J$221,Curves!$BO$16:$BV$16)</f>
        <v/>
      </c>
      <c r="K81" s="3">
        <f>SUMPRODUCT(Adds!$C$221:$K$221,Curves!$BN$16:$BV$16)</f>
        <v/>
      </c>
      <c r="L81" s="3">
        <f>SUMPRODUCT(Adds!$C$221:$L$221,Curves!$BM$16:$BV$16)</f>
        <v/>
      </c>
      <c r="M81" s="3">
        <f>SUMPRODUCT(Adds!$C$221:$M$221,Curves!$BL$16:$BV$16)</f>
        <v/>
      </c>
      <c r="N81" s="3">
        <f>SUMPRODUCT(Adds!$C$221:$N$221,Curves!$BK$16:$BV$16)</f>
        <v/>
      </c>
      <c r="O81" s="3">
        <f>SUMPRODUCT(Adds!$C$221:$O$221,Curves!$BJ$16:$BV$16)</f>
        <v/>
      </c>
      <c r="P81" s="3">
        <f>SUMPRODUCT(Adds!$C$221:$P$221,Curves!$BI$16:$BV$16)</f>
        <v/>
      </c>
      <c r="Q81" s="3">
        <f>SUMPRODUCT(Adds!$C$221:$Q$221,Curves!$BH$16:$BV$16)</f>
        <v/>
      </c>
      <c r="R81" s="3">
        <f>SUMPRODUCT(Adds!$C$221:$R$221,Curves!$BG$16:$BV$16)</f>
        <v/>
      </c>
      <c r="S81" s="3">
        <f>SUMPRODUCT(Adds!$C$221:$S$221,Curves!$BF$16:$BV$16)</f>
        <v/>
      </c>
      <c r="T81" s="3">
        <f>SUMPRODUCT(Adds!$C$221:$T$221,Curves!$BE$16:$BV$16)</f>
        <v/>
      </c>
      <c r="U81" s="3">
        <f>SUMPRODUCT(Adds!$C$221:$U$221,Curves!$BD$16:$BV$16)</f>
        <v/>
      </c>
      <c r="V81" s="3">
        <f>SUMPRODUCT(Adds!$C$221:$V$221,Curves!$BC$16:$BV$16)</f>
        <v/>
      </c>
      <c r="W81" s="3">
        <f>SUMPRODUCT(Adds!$C$221:$W$221,Curves!$BB$16:$BV$16)</f>
        <v/>
      </c>
      <c r="X81" s="3">
        <f>SUMPRODUCT(Adds!$C$221:$X$221,Curves!$BA$16:$BV$16)</f>
        <v/>
      </c>
      <c r="Y81" s="3">
        <f>SUMPRODUCT(Adds!$C$221:$Y$221,Curves!$AZ$16:$BV$16)</f>
        <v/>
      </c>
      <c r="Z81" s="3">
        <f>SUMPRODUCT(Adds!$C$221:$Z$221,Curves!$AY$16:$BV$16)</f>
        <v/>
      </c>
      <c r="AA81" s="3">
        <f>SUMPRODUCT(Adds!$C$221:$AA$221,Curves!$AX$16:$BV$16)</f>
        <v/>
      </c>
      <c r="AB81" s="3">
        <f>SUMPRODUCT(Adds!$C$221:$AB$221,Curves!$AW$16:$BV$16)</f>
        <v/>
      </c>
      <c r="AC81" s="3">
        <f>SUMPRODUCT(Adds!$C$221:$AC$221,Curves!$AV$16:$BV$16)</f>
        <v/>
      </c>
      <c r="AD81" s="3">
        <f>SUMPRODUCT(Adds!$C$221:$AD$221,Curves!$AU$16:$BV$16)</f>
        <v/>
      </c>
      <c r="AE81" s="3">
        <f>SUMPRODUCT(Adds!$C$221:$AE$221,Curves!$AT$16:$BV$16)</f>
        <v/>
      </c>
      <c r="AF81" s="3">
        <f>SUMPRODUCT(Adds!$C$221:$AF$221,Curves!$AS$16:$BV$16)</f>
        <v/>
      </c>
      <c r="AG81" s="3">
        <f>SUMPRODUCT(Adds!$C$221:$AG$221,Curves!$AR$16:$BV$16)</f>
        <v/>
      </c>
      <c r="AH81" s="3">
        <f>SUMPRODUCT(Adds!$C$221:$AH$221,Curves!$AQ$16:$BV$16)</f>
        <v/>
      </c>
      <c r="AI81" s="3">
        <f>SUMPRODUCT(Adds!$C$221:$AI$221,Curves!$AP$16:$BV$16)</f>
        <v/>
      </c>
      <c r="AJ81" s="3">
        <f>SUMPRODUCT(Adds!$C$221:$AJ$221,Curves!$AO$16:$BV$16)</f>
        <v/>
      </c>
      <c r="AK81" s="3">
        <f>SUMPRODUCT(Adds!$C$221:$AK$221,Curves!$AN$16:$BV$16)</f>
        <v/>
      </c>
      <c r="AL81" s="3">
        <f>SUMPRODUCT(Adds!$C$221:$AL$221,Curves!$AM$16:$BV$16)</f>
        <v/>
      </c>
      <c r="AM81" s="3">
        <f>SUMPRODUCT(Adds!$C$221:$AM$221,Curves!$AL$16:$BV$16)</f>
        <v/>
      </c>
      <c r="AN81" s="3">
        <f>SUMPRODUCT(Adds!$C$221:$AN$221,Curves!$AK$16:$BV$16)</f>
        <v/>
      </c>
      <c r="AO81" s="3">
        <f>SUMPRODUCT(Adds!$C$221:$AO$221,Curves!$AJ$16:$BV$16)</f>
        <v/>
      </c>
      <c r="AP81" s="3">
        <f>SUMPRODUCT(Adds!$C$221:$AP$221,Curves!$AI$16:$BV$16)</f>
        <v/>
      </c>
      <c r="AQ81" s="3">
        <f>SUMPRODUCT(Adds!$C$221:$AQ$221,Curves!$AH$16:$BV$16)</f>
        <v/>
      </c>
      <c r="AR81" s="3">
        <f>SUMPRODUCT(Adds!$C$221:$AR$221,Curves!$AG$16:$BV$16)</f>
        <v/>
      </c>
      <c r="AS81" s="3">
        <f>SUMPRODUCT(Adds!$C$221:$AS$221,Curves!$AF$16:$BV$16)</f>
        <v/>
      </c>
      <c r="AT81" s="3">
        <f>SUMPRODUCT(Adds!$C$221:$AT$221,Curves!$AE$16:$BV$16)</f>
        <v/>
      </c>
      <c r="AU81" s="3">
        <f>SUMPRODUCT(Adds!$C$221:$AU$221,Curves!$AD$16:$BV$16)</f>
        <v/>
      </c>
      <c r="AV81" s="3">
        <f>SUMPRODUCT(Adds!$C$221:$AV$221,Curves!$AC$16:$BV$16)</f>
        <v/>
      </c>
      <c r="AW81" s="3">
        <f>SUMPRODUCT(Adds!$C$221:$AW$221,Curves!$AB$16:$BV$16)</f>
        <v/>
      </c>
      <c r="AX81" s="3">
        <f>SUMPRODUCT(Adds!$C$221:$AX$221,Curves!$AA$16:$BV$16)</f>
        <v/>
      </c>
      <c r="AY81" s="3">
        <f>SUMPRODUCT(Adds!$C$221:$AY$221,Curves!$Z$16:$BV$16)</f>
        <v/>
      </c>
      <c r="AZ81" s="3">
        <f>SUMPRODUCT(Adds!$C$221:$AZ$221,Curves!$Y$16:$BV$16)</f>
        <v/>
      </c>
      <c r="BA81" s="3">
        <f>SUMPRODUCT(Adds!$C$221:$BA$221,Curves!$X$16:$BV$16)</f>
        <v/>
      </c>
      <c r="BB81" s="3">
        <f>SUMPRODUCT(Adds!$C$221:$BB$221,Curves!$W$16:$BV$16)</f>
        <v/>
      </c>
      <c r="BC81" s="3">
        <f>SUMPRODUCT(Adds!$C$221:$BC$221,Curves!$V$16:$BV$16)</f>
        <v/>
      </c>
      <c r="BD81" s="3">
        <f>SUMPRODUCT(Adds!$C$221:$BD$221,Curves!$U$16:$BV$16)</f>
        <v/>
      </c>
      <c r="BE81" s="3">
        <f>SUMPRODUCT(Adds!$C$221:$BE$221,Curves!$T$16:$BV$16)</f>
        <v/>
      </c>
      <c r="BF81" s="3">
        <f>SUMPRODUCT(Adds!$C$221:$BF$221,Curves!$S$16:$BV$16)</f>
        <v/>
      </c>
      <c r="BG81" s="3">
        <f>SUMPRODUCT(Adds!$C$221:$BG$221,Curves!$R$16:$BV$16)</f>
        <v/>
      </c>
      <c r="BH81" s="3">
        <f>SUMPRODUCT(Adds!$C$221:$BH$221,Curves!$Q$16:$BV$16)</f>
        <v/>
      </c>
      <c r="BI81" s="3">
        <f>SUMPRODUCT(Adds!$C$221:$BI$221,Curves!$P$16:$BV$16)</f>
        <v/>
      </c>
      <c r="BJ81" s="3">
        <f>SUMPRODUCT(Adds!$C$221:$BJ$221,Curves!$O$16:$BV$16)</f>
        <v/>
      </c>
      <c r="BK81" s="3">
        <f>SUMPRODUCT(Adds!$C$221:$BK$221,Curves!$N$16:$BV$16)</f>
        <v/>
      </c>
      <c r="BL81" s="3">
        <f>SUMPRODUCT(Adds!$C$221:$BL$221,Curves!$M$16:$BV$16)</f>
        <v/>
      </c>
      <c r="BM81" s="3">
        <f>SUMPRODUCT(Adds!$C$221:$BM$221,Curves!$L$16:$BV$16)</f>
        <v/>
      </c>
      <c r="BN81" s="3">
        <f>SUMPRODUCT(Adds!$C$221:$BN$221,Curves!$K$16:$BV$16)</f>
        <v/>
      </c>
      <c r="BO81" s="3">
        <f>SUMPRODUCT(Adds!$C$221:$BO$221,Curves!$J$16:$BV$16)</f>
        <v/>
      </c>
      <c r="BP81" s="3">
        <f>SUMPRODUCT(Adds!$C$221:$BP$221,Curves!$I$16:$BV$16)</f>
        <v/>
      </c>
      <c r="BQ81" s="3">
        <f>SUMPRODUCT(Adds!$C$221:$BQ$221,Curves!$H$16:$BV$16)</f>
        <v/>
      </c>
      <c r="BR81" s="3">
        <f>SUMPRODUCT(Adds!$C$221:$BR$221,Curves!$G$16:$BV$16)</f>
        <v/>
      </c>
      <c r="BS81" s="3">
        <f>SUMPRODUCT(Adds!$C$221:$BS$221,Curves!$F$16:$BV$16)</f>
        <v/>
      </c>
      <c r="BT81" s="3">
        <f>SUMPRODUCT(Adds!$C$221:$BT$221,Curves!$E$16:$BV$16)</f>
        <v/>
      </c>
      <c r="BU81" s="3">
        <f>SUMPRODUCT(Adds!$C$221:$BU$221,Curves!$D$16:$BV$16)</f>
        <v/>
      </c>
      <c r="BV81" s="3">
        <f>SUMPRODUCT(Adds!$C$221:$BV$221,Curves!$C$16:$BV$16)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V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first-year share</t>
        </is>
      </c>
      <c r="B3" t="inlineStr">
        <is>
          <t>all</t>
        </is>
      </c>
      <c r="C3" s="6">
        <f>Params!$B$21*MAX(0,1-C$2/12)</f>
        <v/>
      </c>
      <c r="D3" s="6">
        <f>Params!$B$21*MAX(0,1-D$2/12)</f>
        <v/>
      </c>
      <c r="E3" s="6">
        <f>Params!$B$21*MAX(0,1-E$2/12)</f>
        <v/>
      </c>
      <c r="F3" s="6">
        <f>Params!$B$21*MAX(0,1-F$2/12)</f>
        <v/>
      </c>
      <c r="G3" s="6">
        <f>Params!$B$21*MAX(0,1-G$2/12)</f>
        <v/>
      </c>
      <c r="H3" s="6">
        <f>Params!$B$21*MAX(0,1-H$2/12)</f>
        <v/>
      </c>
      <c r="I3" s="6">
        <f>Params!$B$21*MAX(0,1-I$2/12)</f>
        <v/>
      </c>
      <c r="J3" s="6">
        <f>Params!$B$21*MAX(0,1-J$2/12)</f>
        <v/>
      </c>
      <c r="K3" s="6">
        <f>Params!$B$21*MAX(0,1-K$2/12)</f>
        <v/>
      </c>
      <c r="L3" s="6">
        <f>Params!$B$21*MAX(0,1-L$2/12)</f>
        <v/>
      </c>
      <c r="M3" s="6">
        <f>Params!$B$21*MAX(0,1-M$2/12)</f>
        <v/>
      </c>
      <c r="N3" s="6">
        <f>Params!$B$21*MAX(0,1-N$2/12)</f>
        <v/>
      </c>
      <c r="O3" s="6">
        <f>Params!$B$21*MAX(0,1-O$2/12)</f>
        <v/>
      </c>
      <c r="P3" s="6">
        <f>Params!$B$21*MAX(0,1-P$2/12)</f>
        <v/>
      </c>
      <c r="Q3" s="6">
        <f>Params!$B$21*MAX(0,1-Q$2/12)</f>
        <v/>
      </c>
      <c r="R3" s="6">
        <f>Params!$B$21*MAX(0,1-R$2/12)</f>
        <v/>
      </c>
      <c r="S3" s="6">
        <f>Params!$B$21*MAX(0,1-S$2/12)</f>
        <v/>
      </c>
      <c r="T3" s="6">
        <f>Params!$B$21*MAX(0,1-T$2/12)</f>
        <v/>
      </c>
      <c r="U3" s="6">
        <f>Params!$B$21*MAX(0,1-U$2/12)</f>
        <v/>
      </c>
      <c r="V3" s="6">
        <f>Params!$B$21*MAX(0,1-V$2/12)</f>
        <v/>
      </c>
      <c r="W3" s="6">
        <f>Params!$B$21*MAX(0,1-W$2/12)</f>
        <v/>
      </c>
      <c r="X3" s="6">
        <f>Params!$B$21*MAX(0,1-X$2/12)</f>
        <v/>
      </c>
      <c r="Y3" s="6">
        <f>Params!$B$21*MAX(0,1-Y$2/12)</f>
        <v/>
      </c>
      <c r="Z3" s="6">
        <f>Params!$B$21*MAX(0,1-Z$2/12)</f>
        <v/>
      </c>
      <c r="AA3" s="6">
        <f>Params!$B$21*MAX(0,1-AA$2/12)</f>
        <v/>
      </c>
      <c r="AB3" s="6">
        <f>Params!$B$21*MAX(0,1-AB$2/12)</f>
        <v/>
      </c>
      <c r="AC3" s="6">
        <f>Params!$B$21*MAX(0,1-AC$2/12)</f>
        <v/>
      </c>
      <c r="AD3" s="6">
        <f>Params!$B$21*MAX(0,1-AD$2/12)</f>
        <v/>
      </c>
      <c r="AE3" s="6">
        <f>Params!$B$21*MAX(0,1-AE$2/12)</f>
        <v/>
      </c>
      <c r="AF3" s="6">
        <f>Params!$B$21*MAX(0,1-AF$2/12)</f>
        <v/>
      </c>
      <c r="AG3" s="6">
        <f>Params!$B$21*MAX(0,1-AG$2/12)</f>
        <v/>
      </c>
      <c r="AH3" s="6">
        <f>Params!$B$21*MAX(0,1-AH$2/12)</f>
        <v/>
      </c>
      <c r="AI3" s="6">
        <f>Params!$B$21*MAX(0,1-AI$2/12)</f>
        <v/>
      </c>
      <c r="AJ3" s="6">
        <f>Params!$B$21*MAX(0,1-AJ$2/12)</f>
        <v/>
      </c>
      <c r="AK3" s="6">
        <f>Params!$B$21*MAX(0,1-AK$2/12)</f>
        <v/>
      </c>
      <c r="AL3" s="6">
        <f>Params!$B$21*MAX(0,1-AL$2/12)</f>
        <v/>
      </c>
      <c r="AM3" s="6">
        <f>Params!$B$21*MAX(0,1-AM$2/12)</f>
        <v/>
      </c>
      <c r="AN3" s="6">
        <f>Params!$B$21*MAX(0,1-AN$2/12)</f>
        <v/>
      </c>
      <c r="AO3" s="6">
        <f>Params!$B$21*MAX(0,1-AO$2/12)</f>
        <v/>
      </c>
      <c r="AP3" s="6">
        <f>Params!$B$21*MAX(0,1-AP$2/12)</f>
        <v/>
      </c>
      <c r="AQ3" s="6">
        <f>Params!$B$21*MAX(0,1-AQ$2/12)</f>
        <v/>
      </c>
      <c r="AR3" s="6">
        <f>Params!$B$21*MAX(0,1-AR$2/12)</f>
        <v/>
      </c>
      <c r="AS3" s="6">
        <f>Params!$B$21*MAX(0,1-AS$2/12)</f>
        <v/>
      </c>
      <c r="AT3" s="6">
        <f>Params!$B$21*MAX(0,1-AT$2/12)</f>
        <v/>
      </c>
      <c r="AU3" s="6">
        <f>Params!$B$21*MAX(0,1-AU$2/12)</f>
        <v/>
      </c>
      <c r="AV3" s="6">
        <f>Params!$B$21*MAX(0,1-AV$2/12)</f>
        <v/>
      </c>
      <c r="AW3" s="6">
        <f>Params!$B$21*MAX(0,1-AW$2/12)</f>
        <v/>
      </c>
      <c r="AX3" s="6">
        <f>Params!$B$21*MAX(0,1-AX$2/12)</f>
        <v/>
      </c>
      <c r="AY3" s="6">
        <f>Params!$B$21*MAX(0,1-AY$2/12)</f>
        <v/>
      </c>
      <c r="AZ3" s="6">
        <f>Params!$B$21*MAX(0,1-AZ$2/12)</f>
        <v/>
      </c>
      <c r="BA3" s="6">
        <f>Params!$B$21*MAX(0,1-BA$2/12)</f>
        <v/>
      </c>
      <c r="BB3" s="6">
        <f>Params!$B$21*MAX(0,1-BB$2/12)</f>
        <v/>
      </c>
      <c r="BC3" s="6">
        <f>Params!$B$21*MAX(0,1-BC$2/12)</f>
        <v/>
      </c>
      <c r="BD3" s="6">
        <f>Params!$B$21*MAX(0,1-BD$2/12)</f>
        <v/>
      </c>
      <c r="BE3" s="6">
        <f>Params!$B$21*MAX(0,1-BE$2/12)</f>
        <v/>
      </c>
      <c r="BF3" s="6">
        <f>Params!$B$21*MAX(0,1-BF$2/12)</f>
        <v/>
      </c>
      <c r="BG3" s="6">
        <f>Params!$B$21*MAX(0,1-BG$2/12)</f>
        <v/>
      </c>
      <c r="BH3" s="6">
        <f>Params!$B$21*MAX(0,1-BH$2/12)</f>
        <v/>
      </c>
      <c r="BI3" s="6">
        <f>Params!$B$21*MAX(0,1-BI$2/12)</f>
        <v/>
      </c>
      <c r="BJ3" s="6">
        <f>Params!$B$21*MAX(0,1-BJ$2/12)</f>
        <v/>
      </c>
      <c r="BK3" s="6">
        <f>Params!$B$21*MAX(0,1-BK$2/12)</f>
        <v/>
      </c>
      <c r="BL3" s="6">
        <f>Params!$B$21*MAX(0,1-BL$2/12)</f>
        <v/>
      </c>
      <c r="BM3" s="6">
        <f>Params!$B$21*MAX(0,1-BM$2/12)</f>
        <v/>
      </c>
      <c r="BN3" s="6">
        <f>Params!$B$21*MAX(0,1-BN$2/12)</f>
        <v/>
      </c>
      <c r="BO3" s="6">
        <f>Params!$B$21*MAX(0,1-BO$2/12)</f>
        <v/>
      </c>
      <c r="BP3" s="6">
        <f>Params!$B$21*MAX(0,1-BP$2/12)</f>
        <v/>
      </c>
      <c r="BQ3" s="6">
        <f>Params!$B$21*MAX(0,1-BQ$2/12)</f>
        <v/>
      </c>
      <c r="BR3" s="6">
        <f>Params!$B$21*MAX(0,1-BR$2/12)</f>
        <v/>
      </c>
      <c r="BS3" s="6">
        <f>Params!$B$21*MAX(0,1-BS$2/12)</f>
        <v/>
      </c>
      <c r="BT3" s="6">
        <f>Params!$B$21*MAX(0,1-BT$2/12)</f>
        <v/>
      </c>
      <c r="BU3" s="6">
        <f>Params!$B$21*MAX(0,1-BU$2/12)</f>
        <v/>
      </c>
      <c r="BV3" s="6">
        <f>Params!$B$21*MAX(0,1-BV$2/12)</f>
        <v/>
      </c>
    </row>
    <row r="5">
      <c r="A5" t="inlineStr">
        <is>
          <t>opening book (Jan 2025)</t>
        </is>
      </c>
      <c r="B5" t="inlineStr">
        <is>
          <t>US_CA|NITRO_M</t>
        </is>
      </c>
      <c r="C5" s="3">
        <f>Params!$B$19*Params!$B$51*Params!$B$75</f>
        <v/>
      </c>
    </row>
    <row r="6">
      <c r="A6" t="inlineStr">
        <is>
          <t>active</t>
        </is>
      </c>
      <c r="B6" t="inlineStr">
        <is>
          <t>US_CA|NITRO_M</t>
        </is>
      </c>
      <c r="C6" s="3">
        <f>$C$5*(1-Params!$B$20)^(C$2+1)</f>
        <v/>
      </c>
      <c r="D6" s="3">
        <f>$C$5*(1-Params!$B$20)^(D$2+1)</f>
        <v/>
      </c>
      <c r="E6" s="3">
        <f>$C$5*(1-Params!$B$20)^(E$2+1)</f>
        <v/>
      </c>
      <c r="F6" s="3">
        <f>$C$5*(1-Params!$B$20)^(F$2+1)</f>
        <v/>
      </c>
      <c r="G6" s="3">
        <f>$C$5*(1-Params!$B$20)^(G$2+1)</f>
        <v/>
      </c>
      <c r="H6" s="3">
        <f>$C$5*(1-Params!$B$20)^(H$2+1)</f>
        <v/>
      </c>
      <c r="I6" s="3">
        <f>$C$5*(1-Params!$B$20)^(I$2+1)</f>
        <v/>
      </c>
      <c r="J6" s="3">
        <f>$C$5*(1-Params!$B$20)^(J$2+1)</f>
        <v/>
      </c>
      <c r="K6" s="3">
        <f>$C$5*(1-Params!$B$20)^(K$2+1)</f>
        <v/>
      </c>
      <c r="L6" s="3">
        <f>$C$5*(1-Params!$B$20)^(L$2+1)</f>
        <v/>
      </c>
      <c r="M6" s="3">
        <f>$C$5*(1-Params!$B$20)^(M$2+1)</f>
        <v/>
      </c>
      <c r="N6" s="3">
        <f>$C$5*(1-Params!$B$20)^(N$2+1)</f>
        <v/>
      </c>
      <c r="O6" s="3">
        <f>$C$5*(1-Params!$B$20)^(O$2+1)</f>
        <v/>
      </c>
      <c r="P6" s="3">
        <f>$C$5*(1-Params!$B$20)^(P$2+1)</f>
        <v/>
      </c>
      <c r="Q6" s="3">
        <f>$C$5*(1-Params!$B$20)^(Q$2+1)</f>
        <v/>
      </c>
      <c r="R6" s="3">
        <f>$C$5*(1-Params!$B$20)^(R$2+1)</f>
        <v/>
      </c>
      <c r="S6" s="3">
        <f>$C$5*(1-Params!$B$20)^(S$2+1)</f>
        <v/>
      </c>
      <c r="T6" s="3">
        <f>$C$5*(1-Params!$B$20)^(T$2+1)</f>
        <v/>
      </c>
      <c r="U6" s="3">
        <f>$C$5*(1-Params!$B$20)^(U$2+1)</f>
        <v/>
      </c>
      <c r="V6" s="3">
        <f>$C$5*(1-Params!$B$20)^(V$2+1)</f>
        <v/>
      </c>
      <c r="W6" s="3">
        <f>$C$5*(1-Params!$B$20)^(W$2+1)</f>
        <v/>
      </c>
      <c r="X6" s="3">
        <f>$C$5*(1-Params!$B$20)^(X$2+1)</f>
        <v/>
      </c>
      <c r="Y6" s="3">
        <f>$C$5*(1-Params!$B$20)^(Y$2+1)</f>
        <v/>
      </c>
      <c r="Z6" s="3">
        <f>$C$5*(1-Params!$B$20)^(Z$2+1)</f>
        <v/>
      </c>
      <c r="AA6" s="3">
        <f>$C$5*(1-Params!$B$20)^(AA$2+1)</f>
        <v/>
      </c>
      <c r="AB6" s="3">
        <f>$C$5*(1-Params!$B$20)^(AB$2+1)</f>
        <v/>
      </c>
      <c r="AC6" s="3">
        <f>$C$5*(1-Params!$B$20)^(AC$2+1)</f>
        <v/>
      </c>
      <c r="AD6" s="3">
        <f>$C$5*(1-Params!$B$20)^(AD$2+1)</f>
        <v/>
      </c>
      <c r="AE6" s="3">
        <f>$C$5*(1-Params!$B$20)^(AE$2+1)</f>
        <v/>
      </c>
      <c r="AF6" s="3">
        <f>$C$5*(1-Params!$B$20)^(AF$2+1)</f>
        <v/>
      </c>
      <c r="AG6" s="3">
        <f>$C$5*(1-Params!$B$20)^(AG$2+1)</f>
        <v/>
      </c>
      <c r="AH6" s="3">
        <f>$C$5*(1-Params!$B$20)^(AH$2+1)</f>
        <v/>
      </c>
      <c r="AI6" s="3">
        <f>$C$5*(1-Params!$B$20)^(AI$2+1)</f>
        <v/>
      </c>
      <c r="AJ6" s="3">
        <f>$C$5*(1-Params!$B$20)^(AJ$2+1)</f>
        <v/>
      </c>
      <c r="AK6" s="3">
        <f>$C$5*(1-Params!$B$20)^(AK$2+1)</f>
        <v/>
      </c>
      <c r="AL6" s="3">
        <f>$C$5*(1-Params!$B$20)^(AL$2+1)</f>
        <v/>
      </c>
      <c r="AM6" s="3">
        <f>$C$5*(1-Params!$B$20)^(AM$2+1)</f>
        <v/>
      </c>
      <c r="AN6" s="3">
        <f>$C$5*(1-Params!$B$20)^(AN$2+1)</f>
        <v/>
      </c>
      <c r="AO6" s="3">
        <f>$C$5*(1-Params!$B$20)^(AO$2+1)</f>
        <v/>
      </c>
      <c r="AP6" s="3">
        <f>$C$5*(1-Params!$B$20)^(AP$2+1)</f>
        <v/>
      </c>
      <c r="AQ6" s="3">
        <f>$C$5*(1-Params!$B$20)^(AQ$2+1)</f>
        <v/>
      </c>
      <c r="AR6" s="3">
        <f>$C$5*(1-Params!$B$20)^(AR$2+1)</f>
        <v/>
      </c>
      <c r="AS6" s="3">
        <f>$C$5*(1-Params!$B$20)^(AS$2+1)</f>
        <v/>
      </c>
      <c r="AT6" s="3">
        <f>$C$5*(1-Params!$B$20)^(AT$2+1)</f>
        <v/>
      </c>
      <c r="AU6" s="3">
        <f>$C$5*(1-Params!$B$20)^(AU$2+1)</f>
        <v/>
      </c>
      <c r="AV6" s="3">
        <f>$C$5*(1-Params!$B$20)^(AV$2+1)</f>
        <v/>
      </c>
      <c r="AW6" s="3">
        <f>$C$5*(1-Params!$B$20)^(AW$2+1)</f>
        <v/>
      </c>
      <c r="AX6" s="3">
        <f>$C$5*(1-Params!$B$20)^(AX$2+1)</f>
        <v/>
      </c>
      <c r="AY6" s="3">
        <f>$C$5*(1-Params!$B$20)^(AY$2+1)</f>
        <v/>
      </c>
      <c r="AZ6" s="3">
        <f>$C$5*(1-Params!$B$20)^(AZ$2+1)</f>
        <v/>
      </c>
      <c r="BA6" s="3">
        <f>$C$5*(1-Params!$B$20)^(BA$2+1)</f>
        <v/>
      </c>
      <c r="BB6" s="3">
        <f>$C$5*(1-Params!$B$20)^(BB$2+1)</f>
        <v/>
      </c>
      <c r="BC6" s="3">
        <f>$C$5*(1-Params!$B$20)^(BC$2+1)</f>
        <v/>
      </c>
      <c r="BD6" s="3">
        <f>$C$5*(1-Params!$B$20)^(BD$2+1)</f>
        <v/>
      </c>
      <c r="BE6" s="3">
        <f>$C$5*(1-Params!$B$20)^(BE$2+1)</f>
        <v/>
      </c>
      <c r="BF6" s="3">
        <f>$C$5*(1-Params!$B$20)^(BF$2+1)</f>
        <v/>
      </c>
      <c r="BG6" s="3">
        <f>$C$5*(1-Params!$B$20)^(BG$2+1)</f>
        <v/>
      </c>
      <c r="BH6" s="3">
        <f>$C$5*(1-Params!$B$20)^(BH$2+1)</f>
        <v/>
      </c>
      <c r="BI6" s="3">
        <f>$C$5*(1-Params!$B$20)^(BI$2+1)</f>
        <v/>
      </c>
      <c r="BJ6" s="3">
        <f>$C$5*(1-Params!$B$20)^(BJ$2+1)</f>
        <v/>
      </c>
      <c r="BK6" s="3">
        <f>$C$5*(1-Params!$B$20)^(BK$2+1)</f>
        <v/>
      </c>
      <c r="BL6" s="3">
        <f>$C$5*(1-Params!$B$20)^(BL$2+1)</f>
        <v/>
      </c>
      <c r="BM6" s="3">
        <f>$C$5*(1-Params!$B$20)^(BM$2+1)</f>
        <v/>
      </c>
      <c r="BN6" s="3">
        <f>$C$5*(1-Params!$B$20)^(BN$2+1)</f>
        <v/>
      </c>
      <c r="BO6" s="3">
        <f>$C$5*(1-Params!$B$20)^(BO$2+1)</f>
        <v/>
      </c>
      <c r="BP6" s="3">
        <f>$C$5*(1-Params!$B$20)^(BP$2+1)</f>
        <v/>
      </c>
      <c r="BQ6" s="3">
        <f>$C$5*(1-Params!$B$20)^(BQ$2+1)</f>
        <v/>
      </c>
      <c r="BR6" s="3">
        <f>$C$5*(1-Params!$B$20)^(BR$2+1)</f>
        <v/>
      </c>
      <c r="BS6" s="3">
        <f>$C$5*(1-Params!$B$20)^(BS$2+1)</f>
        <v/>
      </c>
      <c r="BT6" s="3">
        <f>$C$5*(1-Params!$B$20)^(BT$2+1)</f>
        <v/>
      </c>
      <c r="BU6" s="3">
        <f>$C$5*(1-Params!$B$20)^(BU$2+1)</f>
        <v/>
      </c>
      <c r="BV6" s="3">
        <f>$C$5*(1-Params!$B$20)^(BV$2+1)</f>
        <v/>
      </c>
    </row>
    <row r="7">
      <c r="A7" t="inlineStr">
        <is>
          <t>churned</t>
        </is>
      </c>
      <c r="B7" t="inlineStr">
        <is>
          <t>US_CA|NITRO_M</t>
        </is>
      </c>
      <c r="C7" s="3">
        <f>$C$5-C6</f>
        <v/>
      </c>
      <c r="D7" s="3">
        <f>C6-D6</f>
        <v/>
      </c>
      <c r="E7" s="3">
        <f>D6-E6</f>
        <v/>
      </c>
      <c r="F7" s="3">
        <f>E6-F6</f>
        <v/>
      </c>
      <c r="G7" s="3">
        <f>F6-G6</f>
        <v/>
      </c>
      <c r="H7" s="3">
        <f>G6-H6</f>
        <v/>
      </c>
      <c r="I7" s="3">
        <f>H6-I6</f>
        <v/>
      </c>
      <c r="J7" s="3">
        <f>I6-J6</f>
        <v/>
      </c>
      <c r="K7" s="3">
        <f>J6-K6</f>
        <v/>
      </c>
      <c r="L7" s="3">
        <f>K6-L6</f>
        <v/>
      </c>
      <c r="M7" s="3">
        <f>L6-M6</f>
        <v/>
      </c>
      <c r="N7" s="3">
        <f>M6-N6</f>
        <v/>
      </c>
      <c r="O7" s="3">
        <f>N6-O6</f>
        <v/>
      </c>
      <c r="P7" s="3">
        <f>O6-P6</f>
        <v/>
      </c>
      <c r="Q7" s="3">
        <f>P6-Q6</f>
        <v/>
      </c>
      <c r="R7" s="3">
        <f>Q6-R6</f>
        <v/>
      </c>
      <c r="S7" s="3">
        <f>R6-S6</f>
        <v/>
      </c>
      <c r="T7" s="3">
        <f>S6-T6</f>
        <v/>
      </c>
      <c r="U7" s="3">
        <f>T6-U6</f>
        <v/>
      </c>
      <c r="V7" s="3">
        <f>U6-V6</f>
        <v/>
      </c>
      <c r="W7" s="3">
        <f>V6-W6</f>
        <v/>
      </c>
      <c r="X7" s="3">
        <f>W6-X6</f>
        <v/>
      </c>
      <c r="Y7" s="3">
        <f>X6-Y6</f>
        <v/>
      </c>
      <c r="Z7" s="3">
        <f>Y6-Z6</f>
        <v/>
      </c>
      <c r="AA7" s="3">
        <f>Z6-AA6</f>
        <v/>
      </c>
      <c r="AB7" s="3">
        <f>AA6-AB6</f>
        <v/>
      </c>
      <c r="AC7" s="3">
        <f>AB6-AC6</f>
        <v/>
      </c>
      <c r="AD7" s="3">
        <f>AC6-AD6</f>
        <v/>
      </c>
      <c r="AE7" s="3">
        <f>AD6-AE6</f>
        <v/>
      </c>
      <c r="AF7" s="3">
        <f>AE6-AF6</f>
        <v/>
      </c>
      <c r="AG7" s="3">
        <f>AF6-AG6</f>
        <v/>
      </c>
      <c r="AH7" s="3">
        <f>AG6-AH6</f>
        <v/>
      </c>
      <c r="AI7" s="3">
        <f>AH6-AI6</f>
        <v/>
      </c>
      <c r="AJ7" s="3">
        <f>AI6-AJ6</f>
        <v/>
      </c>
      <c r="AK7" s="3">
        <f>AJ6-AK6</f>
        <v/>
      </c>
      <c r="AL7" s="3">
        <f>AK6-AL6</f>
        <v/>
      </c>
      <c r="AM7" s="3">
        <f>AL6-AM6</f>
        <v/>
      </c>
      <c r="AN7" s="3">
        <f>AM6-AN6</f>
        <v/>
      </c>
      <c r="AO7" s="3">
        <f>AN6-AO6</f>
        <v/>
      </c>
      <c r="AP7" s="3">
        <f>AO6-AP6</f>
        <v/>
      </c>
      <c r="AQ7" s="3">
        <f>AP6-AQ6</f>
        <v/>
      </c>
      <c r="AR7" s="3">
        <f>AQ6-AR6</f>
        <v/>
      </c>
      <c r="AS7" s="3">
        <f>AR6-AS6</f>
        <v/>
      </c>
      <c r="AT7" s="3">
        <f>AS6-AT6</f>
        <v/>
      </c>
      <c r="AU7" s="3">
        <f>AT6-AU6</f>
        <v/>
      </c>
      <c r="AV7" s="3">
        <f>AU6-AV6</f>
        <v/>
      </c>
      <c r="AW7" s="3">
        <f>AV6-AW6</f>
        <v/>
      </c>
      <c r="AX7" s="3">
        <f>AW6-AX6</f>
        <v/>
      </c>
      <c r="AY7" s="3">
        <f>AX6-AY6</f>
        <v/>
      </c>
      <c r="AZ7" s="3">
        <f>AY6-AZ6</f>
        <v/>
      </c>
      <c r="BA7" s="3">
        <f>AZ6-BA6</f>
        <v/>
      </c>
      <c r="BB7" s="3">
        <f>BA6-BB6</f>
        <v/>
      </c>
      <c r="BC7" s="3">
        <f>BB6-BC6</f>
        <v/>
      </c>
      <c r="BD7" s="3">
        <f>BC6-BD6</f>
        <v/>
      </c>
      <c r="BE7" s="3">
        <f>BD6-BE6</f>
        <v/>
      </c>
      <c r="BF7" s="3">
        <f>BE6-BF6</f>
        <v/>
      </c>
      <c r="BG7" s="3">
        <f>BF6-BG6</f>
        <v/>
      </c>
      <c r="BH7" s="3">
        <f>BG6-BH6</f>
        <v/>
      </c>
      <c r="BI7" s="3">
        <f>BH6-BI6</f>
        <v/>
      </c>
      <c r="BJ7" s="3">
        <f>BI6-BJ6</f>
        <v/>
      </c>
      <c r="BK7" s="3">
        <f>BJ6-BK6</f>
        <v/>
      </c>
      <c r="BL7" s="3">
        <f>BK6-BL6</f>
        <v/>
      </c>
      <c r="BM7" s="3">
        <f>BL6-BM6</f>
        <v/>
      </c>
      <c r="BN7" s="3">
        <f>BM6-BN6</f>
        <v/>
      </c>
      <c r="BO7" s="3">
        <f>BN6-BO6</f>
        <v/>
      </c>
      <c r="BP7" s="3">
        <f>BO6-BP6</f>
        <v/>
      </c>
      <c r="BQ7" s="3">
        <f>BP6-BQ6</f>
        <v/>
      </c>
      <c r="BR7" s="3">
        <f>BQ6-BR6</f>
        <v/>
      </c>
      <c r="BS7" s="3">
        <f>BR6-BS6</f>
        <v/>
      </c>
      <c r="BT7" s="3">
        <f>BS6-BT6</f>
        <v/>
      </c>
      <c r="BU7" s="3">
        <f>BT6-BU6</f>
        <v/>
      </c>
      <c r="BV7" s="3">
        <f>BU6-BV6</f>
        <v/>
      </c>
    </row>
    <row r="9">
      <c r="A9" t="inlineStr">
        <is>
          <t>opening book (Jan 2025)</t>
        </is>
      </c>
      <c r="B9" t="inlineStr">
        <is>
          <t>US_CA|NITRO_A</t>
        </is>
      </c>
      <c r="C9" s="3">
        <f>Params!$B$19*Params!$B$51*Params!$B$76</f>
        <v/>
      </c>
    </row>
    <row r="10">
      <c r="A10" t="inlineStr">
        <is>
          <t>active</t>
        </is>
      </c>
      <c r="B10" t="inlineStr">
        <is>
          <t>US_CA|NITRO_A</t>
        </is>
      </c>
      <c r="C10" s="3">
        <f>$C$9*((MOD(C$2,12)+1)*Params!$B$15^(INT(C$2/12)+1)+(11-MOD(C$2,12))*Params!$B$15^INT(C$2/12))/12</f>
        <v/>
      </c>
      <c r="D10" s="3">
        <f>$C$9*((MOD(D$2,12)+1)*Params!$B$15^(INT(D$2/12)+1)+(11-MOD(D$2,12))*Params!$B$15^INT(D$2/12))/12</f>
        <v/>
      </c>
      <c r="E10" s="3">
        <f>$C$9*((MOD(E$2,12)+1)*Params!$B$15^(INT(E$2/12)+1)+(11-MOD(E$2,12))*Params!$B$15^INT(E$2/12))/12</f>
        <v/>
      </c>
      <c r="F10" s="3">
        <f>$C$9*((MOD(F$2,12)+1)*Params!$B$15^(INT(F$2/12)+1)+(11-MOD(F$2,12))*Params!$B$15^INT(F$2/12))/12</f>
        <v/>
      </c>
      <c r="G10" s="3">
        <f>$C$9*((MOD(G$2,12)+1)*Params!$B$15^(INT(G$2/12)+1)+(11-MOD(G$2,12))*Params!$B$15^INT(G$2/12))/12</f>
        <v/>
      </c>
      <c r="H10" s="3">
        <f>$C$9*((MOD(H$2,12)+1)*Params!$B$15^(INT(H$2/12)+1)+(11-MOD(H$2,12))*Params!$B$15^INT(H$2/12))/12</f>
        <v/>
      </c>
      <c r="I10" s="3">
        <f>$C$9*((MOD(I$2,12)+1)*Params!$B$15^(INT(I$2/12)+1)+(11-MOD(I$2,12))*Params!$B$15^INT(I$2/12))/12</f>
        <v/>
      </c>
      <c r="J10" s="3">
        <f>$C$9*((MOD(J$2,12)+1)*Params!$B$15^(INT(J$2/12)+1)+(11-MOD(J$2,12))*Params!$B$15^INT(J$2/12))/12</f>
        <v/>
      </c>
      <c r="K10" s="3">
        <f>$C$9*((MOD(K$2,12)+1)*Params!$B$15^(INT(K$2/12)+1)+(11-MOD(K$2,12))*Params!$B$15^INT(K$2/12))/12</f>
        <v/>
      </c>
      <c r="L10" s="3">
        <f>$C$9*((MOD(L$2,12)+1)*Params!$B$15^(INT(L$2/12)+1)+(11-MOD(L$2,12))*Params!$B$15^INT(L$2/12))/12</f>
        <v/>
      </c>
      <c r="M10" s="3">
        <f>$C$9*((MOD(M$2,12)+1)*Params!$B$15^(INT(M$2/12)+1)+(11-MOD(M$2,12))*Params!$B$15^INT(M$2/12))/12</f>
        <v/>
      </c>
      <c r="N10" s="3">
        <f>$C$9*((MOD(N$2,12)+1)*Params!$B$15^(INT(N$2/12)+1)+(11-MOD(N$2,12))*Params!$B$15^INT(N$2/12))/12</f>
        <v/>
      </c>
      <c r="O10" s="3">
        <f>$C$9*((MOD(O$2,12)+1)*Params!$B$15^(INT(O$2/12)+1)+(11-MOD(O$2,12))*Params!$B$15^INT(O$2/12))/12</f>
        <v/>
      </c>
      <c r="P10" s="3">
        <f>$C$9*((MOD(P$2,12)+1)*Params!$B$15^(INT(P$2/12)+1)+(11-MOD(P$2,12))*Params!$B$15^INT(P$2/12))/12</f>
        <v/>
      </c>
      <c r="Q10" s="3">
        <f>$C$9*((MOD(Q$2,12)+1)*Params!$B$15^(INT(Q$2/12)+1)+(11-MOD(Q$2,12))*Params!$B$15^INT(Q$2/12))/12</f>
        <v/>
      </c>
      <c r="R10" s="3">
        <f>$C$9*((MOD(R$2,12)+1)*Params!$B$15^(INT(R$2/12)+1)+(11-MOD(R$2,12))*Params!$B$15^INT(R$2/12))/12</f>
        <v/>
      </c>
      <c r="S10" s="3">
        <f>$C$9*((MOD(S$2,12)+1)*Params!$B$15^(INT(S$2/12)+1)+(11-MOD(S$2,12))*Params!$B$15^INT(S$2/12))/12</f>
        <v/>
      </c>
      <c r="T10" s="3">
        <f>$C$9*((MOD(T$2,12)+1)*Params!$B$15^(INT(T$2/12)+1)+(11-MOD(T$2,12))*Params!$B$15^INT(T$2/12))/12</f>
        <v/>
      </c>
      <c r="U10" s="3">
        <f>$C$9*((MOD(U$2,12)+1)*Params!$B$15^(INT(U$2/12)+1)+(11-MOD(U$2,12))*Params!$B$15^INT(U$2/12))/12</f>
        <v/>
      </c>
      <c r="V10" s="3">
        <f>$C$9*((MOD(V$2,12)+1)*Params!$B$15^(INT(V$2/12)+1)+(11-MOD(V$2,12))*Params!$B$15^INT(V$2/12))/12</f>
        <v/>
      </c>
      <c r="W10" s="3">
        <f>$C$9*((MOD(W$2,12)+1)*Params!$B$15^(INT(W$2/12)+1)+(11-MOD(W$2,12))*Params!$B$15^INT(W$2/12))/12</f>
        <v/>
      </c>
      <c r="X10" s="3">
        <f>$C$9*((MOD(X$2,12)+1)*Params!$B$15^(INT(X$2/12)+1)+(11-MOD(X$2,12))*Params!$B$15^INT(X$2/12))/12</f>
        <v/>
      </c>
      <c r="Y10" s="3">
        <f>$C$9*((MOD(Y$2,12)+1)*Params!$B$15^(INT(Y$2/12)+1)+(11-MOD(Y$2,12))*Params!$B$15^INT(Y$2/12))/12</f>
        <v/>
      </c>
      <c r="Z10" s="3">
        <f>$C$9*((MOD(Z$2,12)+1)*Params!$B$15^(INT(Z$2/12)+1)+(11-MOD(Z$2,12))*Params!$B$15^INT(Z$2/12))/12</f>
        <v/>
      </c>
      <c r="AA10" s="3">
        <f>$C$9*((MOD(AA$2,12)+1)*Params!$B$15^(INT(AA$2/12)+1)+(11-MOD(AA$2,12))*Params!$B$15^INT(AA$2/12))/12</f>
        <v/>
      </c>
      <c r="AB10" s="3">
        <f>$C$9*((MOD(AB$2,12)+1)*Params!$B$15^(INT(AB$2/12)+1)+(11-MOD(AB$2,12))*Params!$B$15^INT(AB$2/12))/12</f>
        <v/>
      </c>
      <c r="AC10" s="3">
        <f>$C$9*((MOD(AC$2,12)+1)*Params!$B$15^(INT(AC$2/12)+1)+(11-MOD(AC$2,12))*Params!$B$15^INT(AC$2/12))/12</f>
        <v/>
      </c>
      <c r="AD10" s="3">
        <f>$C$9*((MOD(AD$2,12)+1)*Params!$B$15^(INT(AD$2/12)+1)+(11-MOD(AD$2,12))*Params!$B$15^INT(AD$2/12))/12</f>
        <v/>
      </c>
      <c r="AE10" s="3">
        <f>$C$9*((MOD(AE$2,12)+1)*Params!$B$15^(INT(AE$2/12)+1)+(11-MOD(AE$2,12))*Params!$B$15^INT(AE$2/12))/12</f>
        <v/>
      </c>
      <c r="AF10" s="3">
        <f>$C$9*((MOD(AF$2,12)+1)*Params!$B$15^(INT(AF$2/12)+1)+(11-MOD(AF$2,12))*Params!$B$15^INT(AF$2/12))/12</f>
        <v/>
      </c>
      <c r="AG10" s="3">
        <f>$C$9*((MOD(AG$2,12)+1)*Params!$B$15^(INT(AG$2/12)+1)+(11-MOD(AG$2,12))*Params!$B$15^INT(AG$2/12))/12</f>
        <v/>
      </c>
      <c r="AH10" s="3">
        <f>$C$9*((MOD(AH$2,12)+1)*Params!$B$15^(INT(AH$2/12)+1)+(11-MOD(AH$2,12))*Params!$B$15^INT(AH$2/12))/12</f>
        <v/>
      </c>
      <c r="AI10" s="3">
        <f>$C$9*((MOD(AI$2,12)+1)*Params!$B$15^(INT(AI$2/12)+1)+(11-MOD(AI$2,12))*Params!$B$15^INT(AI$2/12))/12</f>
        <v/>
      </c>
      <c r="AJ10" s="3">
        <f>$C$9*((MOD(AJ$2,12)+1)*Params!$B$15^(INT(AJ$2/12)+1)+(11-MOD(AJ$2,12))*Params!$B$15^INT(AJ$2/12))/12</f>
        <v/>
      </c>
      <c r="AK10" s="3">
        <f>$C$9*((MOD(AK$2,12)+1)*Params!$B$15^(INT(AK$2/12)+1)+(11-MOD(AK$2,12))*Params!$B$15^INT(AK$2/12))/12</f>
        <v/>
      </c>
      <c r="AL10" s="3">
        <f>$C$9*((MOD(AL$2,12)+1)*Params!$B$15^(INT(AL$2/12)+1)+(11-MOD(AL$2,12))*Params!$B$15^INT(AL$2/12))/12</f>
        <v/>
      </c>
      <c r="AM10" s="3">
        <f>$C$9*((MOD(AM$2,12)+1)*Params!$B$15^(INT(AM$2/12)+1)+(11-MOD(AM$2,12))*Params!$B$15^INT(AM$2/12))/12</f>
        <v/>
      </c>
      <c r="AN10" s="3">
        <f>$C$9*((MOD(AN$2,12)+1)*Params!$B$15^(INT(AN$2/12)+1)+(11-MOD(AN$2,12))*Params!$B$15^INT(AN$2/12))/12</f>
        <v/>
      </c>
      <c r="AO10" s="3">
        <f>$C$9*((MOD(AO$2,12)+1)*Params!$B$15^(INT(AO$2/12)+1)+(11-MOD(AO$2,12))*Params!$B$15^INT(AO$2/12))/12</f>
        <v/>
      </c>
      <c r="AP10" s="3">
        <f>$C$9*((MOD(AP$2,12)+1)*Params!$B$15^(INT(AP$2/12)+1)+(11-MOD(AP$2,12))*Params!$B$15^INT(AP$2/12))/12</f>
        <v/>
      </c>
      <c r="AQ10" s="3">
        <f>$C$9*((MOD(AQ$2,12)+1)*Params!$B$15^(INT(AQ$2/12)+1)+(11-MOD(AQ$2,12))*Params!$B$15^INT(AQ$2/12))/12</f>
        <v/>
      </c>
      <c r="AR10" s="3">
        <f>$C$9*((MOD(AR$2,12)+1)*Params!$B$15^(INT(AR$2/12)+1)+(11-MOD(AR$2,12))*Params!$B$15^INT(AR$2/12))/12</f>
        <v/>
      </c>
      <c r="AS10" s="3">
        <f>$C$9*((MOD(AS$2,12)+1)*Params!$B$15^(INT(AS$2/12)+1)+(11-MOD(AS$2,12))*Params!$B$15^INT(AS$2/12))/12</f>
        <v/>
      </c>
      <c r="AT10" s="3">
        <f>$C$9*((MOD(AT$2,12)+1)*Params!$B$15^(INT(AT$2/12)+1)+(11-MOD(AT$2,12))*Params!$B$15^INT(AT$2/12))/12</f>
        <v/>
      </c>
      <c r="AU10" s="3">
        <f>$C$9*((MOD(AU$2,12)+1)*Params!$B$15^(INT(AU$2/12)+1)+(11-MOD(AU$2,12))*Params!$B$15^INT(AU$2/12))/12</f>
        <v/>
      </c>
      <c r="AV10" s="3">
        <f>$C$9*((MOD(AV$2,12)+1)*Params!$B$15^(INT(AV$2/12)+1)+(11-MOD(AV$2,12))*Params!$B$15^INT(AV$2/12))/12</f>
        <v/>
      </c>
      <c r="AW10" s="3">
        <f>$C$9*((MOD(AW$2,12)+1)*Params!$B$15^(INT(AW$2/12)+1)+(11-MOD(AW$2,12))*Params!$B$15^INT(AW$2/12))/12</f>
        <v/>
      </c>
      <c r="AX10" s="3">
        <f>$C$9*((MOD(AX$2,12)+1)*Params!$B$15^(INT(AX$2/12)+1)+(11-MOD(AX$2,12))*Params!$B$15^INT(AX$2/12))/12</f>
        <v/>
      </c>
      <c r="AY10" s="3">
        <f>$C$9*((MOD(AY$2,12)+1)*Params!$B$15^(INT(AY$2/12)+1)+(11-MOD(AY$2,12))*Params!$B$15^INT(AY$2/12))/12</f>
        <v/>
      </c>
      <c r="AZ10" s="3">
        <f>$C$9*((MOD(AZ$2,12)+1)*Params!$B$15^(INT(AZ$2/12)+1)+(11-MOD(AZ$2,12))*Params!$B$15^INT(AZ$2/12))/12</f>
        <v/>
      </c>
      <c r="BA10" s="3">
        <f>$C$9*((MOD(BA$2,12)+1)*Params!$B$15^(INT(BA$2/12)+1)+(11-MOD(BA$2,12))*Params!$B$15^INT(BA$2/12))/12</f>
        <v/>
      </c>
      <c r="BB10" s="3">
        <f>$C$9*((MOD(BB$2,12)+1)*Params!$B$15^(INT(BB$2/12)+1)+(11-MOD(BB$2,12))*Params!$B$15^INT(BB$2/12))/12</f>
        <v/>
      </c>
      <c r="BC10" s="3">
        <f>$C$9*((MOD(BC$2,12)+1)*Params!$B$15^(INT(BC$2/12)+1)+(11-MOD(BC$2,12))*Params!$B$15^INT(BC$2/12))/12</f>
        <v/>
      </c>
      <c r="BD10" s="3">
        <f>$C$9*((MOD(BD$2,12)+1)*Params!$B$15^(INT(BD$2/12)+1)+(11-MOD(BD$2,12))*Params!$B$15^INT(BD$2/12))/12</f>
        <v/>
      </c>
      <c r="BE10" s="3">
        <f>$C$9*((MOD(BE$2,12)+1)*Params!$B$15^(INT(BE$2/12)+1)+(11-MOD(BE$2,12))*Params!$B$15^INT(BE$2/12))/12</f>
        <v/>
      </c>
      <c r="BF10" s="3">
        <f>$C$9*((MOD(BF$2,12)+1)*Params!$B$15^(INT(BF$2/12)+1)+(11-MOD(BF$2,12))*Params!$B$15^INT(BF$2/12))/12</f>
        <v/>
      </c>
      <c r="BG10" s="3">
        <f>$C$9*((MOD(BG$2,12)+1)*Params!$B$15^(INT(BG$2/12)+1)+(11-MOD(BG$2,12))*Params!$B$15^INT(BG$2/12))/12</f>
        <v/>
      </c>
      <c r="BH10" s="3">
        <f>$C$9*((MOD(BH$2,12)+1)*Params!$B$15^(INT(BH$2/12)+1)+(11-MOD(BH$2,12))*Params!$B$15^INT(BH$2/12))/12</f>
        <v/>
      </c>
      <c r="BI10" s="3">
        <f>$C$9*((MOD(BI$2,12)+1)*Params!$B$15^(INT(BI$2/12)+1)+(11-MOD(BI$2,12))*Params!$B$15^INT(BI$2/12))/12</f>
        <v/>
      </c>
      <c r="BJ10" s="3">
        <f>$C$9*((MOD(BJ$2,12)+1)*Params!$B$15^(INT(BJ$2/12)+1)+(11-MOD(BJ$2,12))*Params!$B$15^INT(BJ$2/12))/12</f>
        <v/>
      </c>
      <c r="BK10" s="3">
        <f>$C$9*((MOD(BK$2,12)+1)*Params!$B$15^(INT(BK$2/12)+1)+(11-MOD(BK$2,12))*Params!$B$15^INT(BK$2/12))/12</f>
        <v/>
      </c>
      <c r="BL10" s="3">
        <f>$C$9*((MOD(BL$2,12)+1)*Params!$B$15^(INT(BL$2/12)+1)+(11-MOD(BL$2,12))*Params!$B$15^INT(BL$2/12))/12</f>
        <v/>
      </c>
      <c r="BM10" s="3">
        <f>$C$9*((MOD(BM$2,12)+1)*Params!$B$15^(INT(BM$2/12)+1)+(11-MOD(BM$2,12))*Params!$B$15^INT(BM$2/12))/12</f>
        <v/>
      </c>
      <c r="BN10" s="3">
        <f>$C$9*((MOD(BN$2,12)+1)*Params!$B$15^(INT(BN$2/12)+1)+(11-MOD(BN$2,12))*Params!$B$15^INT(BN$2/12))/12</f>
        <v/>
      </c>
      <c r="BO10" s="3">
        <f>$C$9*((MOD(BO$2,12)+1)*Params!$B$15^(INT(BO$2/12)+1)+(11-MOD(BO$2,12))*Params!$B$15^INT(BO$2/12))/12</f>
        <v/>
      </c>
      <c r="BP10" s="3">
        <f>$C$9*((MOD(BP$2,12)+1)*Params!$B$15^(INT(BP$2/12)+1)+(11-MOD(BP$2,12))*Params!$B$15^INT(BP$2/12))/12</f>
        <v/>
      </c>
      <c r="BQ10" s="3">
        <f>$C$9*((MOD(BQ$2,12)+1)*Params!$B$15^(INT(BQ$2/12)+1)+(11-MOD(BQ$2,12))*Params!$B$15^INT(BQ$2/12))/12</f>
        <v/>
      </c>
      <c r="BR10" s="3">
        <f>$C$9*((MOD(BR$2,12)+1)*Params!$B$15^(INT(BR$2/12)+1)+(11-MOD(BR$2,12))*Params!$B$15^INT(BR$2/12))/12</f>
        <v/>
      </c>
      <c r="BS10" s="3">
        <f>$C$9*((MOD(BS$2,12)+1)*Params!$B$15^(INT(BS$2/12)+1)+(11-MOD(BS$2,12))*Params!$B$15^INT(BS$2/12))/12</f>
        <v/>
      </c>
      <c r="BT10" s="3">
        <f>$C$9*((MOD(BT$2,12)+1)*Params!$B$15^(INT(BT$2/12)+1)+(11-MOD(BT$2,12))*Params!$B$15^INT(BT$2/12))/12</f>
        <v/>
      </c>
      <c r="BU10" s="3">
        <f>$C$9*((MOD(BU$2,12)+1)*Params!$B$15^(INT(BU$2/12)+1)+(11-MOD(BU$2,12))*Params!$B$15^INT(BU$2/12))/12</f>
        <v/>
      </c>
      <c r="BV10" s="3">
        <f>$C$9*((MOD(BV$2,12)+1)*Params!$B$15^(INT(BV$2/12)+1)+(11-MOD(BV$2,12))*Params!$B$15^INT(BV$2/12))/12</f>
        <v/>
      </c>
    </row>
    <row r="11">
      <c r="A11" t="inlineStr">
        <is>
          <t>churned</t>
        </is>
      </c>
      <c r="B11" t="inlineStr">
        <is>
          <t>US_CA|NITRO_A</t>
        </is>
      </c>
      <c r="C11" s="3">
        <f>$C$9-C10</f>
        <v/>
      </c>
      <c r="D11" s="3">
        <f>C10-D10</f>
        <v/>
      </c>
      <c r="E11" s="3">
        <f>D10-E10</f>
        <v/>
      </c>
      <c r="F11" s="3">
        <f>E10-F10</f>
        <v/>
      </c>
      <c r="G11" s="3">
        <f>F10-G10</f>
        <v/>
      </c>
      <c r="H11" s="3">
        <f>G10-H10</f>
        <v/>
      </c>
      <c r="I11" s="3">
        <f>H10-I10</f>
        <v/>
      </c>
      <c r="J11" s="3">
        <f>I10-J10</f>
        <v/>
      </c>
      <c r="K11" s="3">
        <f>J10-K10</f>
        <v/>
      </c>
      <c r="L11" s="3">
        <f>K10-L10</f>
        <v/>
      </c>
      <c r="M11" s="3">
        <f>L10-M10</f>
        <v/>
      </c>
      <c r="N11" s="3">
        <f>M10-N10</f>
        <v/>
      </c>
      <c r="O11" s="3">
        <f>N10-O10</f>
        <v/>
      </c>
      <c r="P11" s="3">
        <f>O10-P10</f>
        <v/>
      </c>
      <c r="Q11" s="3">
        <f>P10-Q10</f>
        <v/>
      </c>
      <c r="R11" s="3">
        <f>Q10-R10</f>
        <v/>
      </c>
      <c r="S11" s="3">
        <f>R10-S10</f>
        <v/>
      </c>
      <c r="T11" s="3">
        <f>S10-T10</f>
        <v/>
      </c>
      <c r="U11" s="3">
        <f>T10-U10</f>
        <v/>
      </c>
      <c r="V11" s="3">
        <f>U10-V10</f>
        <v/>
      </c>
      <c r="W11" s="3">
        <f>V10-W10</f>
        <v/>
      </c>
      <c r="X11" s="3">
        <f>W10-X10</f>
        <v/>
      </c>
      <c r="Y11" s="3">
        <f>X10-Y10</f>
        <v/>
      </c>
      <c r="Z11" s="3">
        <f>Y10-Z10</f>
        <v/>
      </c>
      <c r="AA11" s="3">
        <f>Z10-AA10</f>
        <v/>
      </c>
      <c r="AB11" s="3">
        <f>AA10-AB10</f>
        <v/>
      </c>
      <c r="AC11" s="3">
        <f>AB10-AC10</f>
        <v/>
      </c>
      <c r="AD11" s="3">
        <f>AC10-AD10</f>
        <v/>
      </c>
      <c r="AE11" s="3">
        <f>AD10-AE10</f>
        <v/>
      </c>
      <c r="AF11" s="3">
        <f>AE10-AF10</f>
        <v/>
      </c>
      <c r="AG11" s="3">
        <f>AF10-AG10</f>
        <v/>
      </c>
      <c r="AH11" s="3">
        <f>AG10-AH10</f>
        <v/>
      </c>
      <c r="AI11" s="3">
        <f>AH10-AI10</f>
        <v/>
      </c>
      <c r="AJ11" s="3">
        <f>AI10-AJ10</f>
        <v/>
      </c>
      <c r="AK11" s="3">
        <f>AJ10-AK10</f>
        <v/>
      </c>
      <c r="AL11" s="3">
        <f>AK10-AL10</f>
        <v/>
      </c>
      <c r="AM11" s="3">
        <f>AL10-AM10</f>
        <v/>
      </c>
      <c r="AN11" s="3">
        <f>AM10-AN10</f>
        <v/>
      </c>
      <c r="AO11" s="3">
        <f>AN10-AO10</f>
        <v/>
      </c>
      <c r="AP11" s="3">
        <f>AO10-AP10</f>
        <v/>
      </c>
      <c r="AQ11" s="3">
        <f>AP10-AQ10</f>
        <v/>
      </c>
      <c r="AR11" s="3">
        <f>AQ10-AR10</f>
        <v/>
      </c>
      <c r="AS11" s="3">
        <f>AR10-AS10</f>
        <v/>
      </c>
      <c r="AT11" s="3">
        <f>AS10-AT10</f>
        <v/>
      </c>
      <c r="AU11" s="3">
        <f>AT10-AU10</f>
        <v/>
      </c>
      <c r="AV11" s="3">
        <f>AU10-AV10</f>
        <v/>
      </c>
      <c r="AW11" s="3">
        <f>AV10-AW10</f>
        <v/>
      </c>
      <c r="AX11" s="3">
        <f>AW10-AX10</f>
        <v/>
      </c>
      <c r="AY11" s="3">
        <f>AX10-AY10</f>
        <v/>
      </c>
      <c r="AZ11" s="3">
        <f>AY10-AZ10</f>
        <v/>
      </c>
      <c r="BA11" s="3">
        <f>AZ10-BA10</f>
        <v/>
      </c>
      <c r="BB11" s="3">
        <f>BA10-BB10</f>
        <v/>
      </c>
      <c r="BC11" s="3">
        <f>BB10-BC10</f>
        <v/>
      </c>
      <c r="BD11" s="3">
        <f>BC10-BD10</f>
        <v/>
      </c>
      <c r="BE11" s="3">
        <f>BD10-BE10</f>
        <v/>
      </c>
      <c r="BF11" s="3">
        <f>BE10-BF10</f>
        <v/>
      </c>
      <c r="BG11" s="3">
        <f>BF10-BG10</f>
        <v/>
      </c>
      <c r="BH11" s="3">
        <f>BG10-BH10</f>
        <v/>
      </c>
      <c r="BI11" s="3">
        <f>BH10-BI10</f>
        <v/>
      </c>
      <c r="BJ11" s="3">
        <f>BI10-BJ10</f>
        <v/>
      </c>
      <c r="BK11" s="3">
        <f>BJ10-BK10</f>
        <v/>
      </c>
      <c r="BL11" s="3">
        <f>BK10-BL10</f>
        <v/>
      </c>
      <c r="BM11" s="3">
        <f>BL10-BM10</f>
        <v/>
      </c>
      <c r="BN11" s="3">
        <f>BM10-BN10</f>
        <v/>
      </c>
      <c r="BO11" s="3">
        <f>BN10-BO10</f>
        <v/>
      </c>
      <c r="BP11" s="3">
        <f>BO10-BP10</f>
        <v/>
      </c>
      <c r="BQ11" s="3">
        <f>BP10-BQ10</f>
        <v/>
      </c>
      <c r="BR11" s="3">
        <f>BQ10-BR10</f>
        <v/>
      </c>
      <c r="BS11" s="3">
        <f>BR10-BS10</f>
        <v/>
      </c>
      <c r="BT11" s="3">
        <f>BS10-BT10</f>
        <v/>
      </c>
      <c r="BU11" s="3">
        <f>BT10-BU10</f>
        <v/>
      </c>
      <c r="BV11" s="3">
        <f>BU10-BV10</f>
        <v/>
      </c>
    </row>
    <row r="13">
      <c r="A13" t="inlineStr">
        <is>
          <t>opening book (Jan 2025)</t>
        </is>
      </c>
      <c r="B13" t="inlineStr">
        <is>
          <t>US_CA|BASIC_M</t>
        </is>
      </c>
      <c r="C13" s="3">
        <f>Params!$B$19*Params!$B$51*Params!$B$77</f>
        <v/>
      </c>
    </row>
    <row r="14">
      <c r="A14" t="inlineStr">
        <is>
          <t>active</t>
        </is>
      </c>
      <c r="B14" t="inlineStr">
        <is>
          <t>US_CA|BASIC_M</t>
        </is>
      </c>
      <c r="C14" s="3">
        <f>$C$13*(1-Params!$B$20)^(C$2+1)</f>
        <v/>
      </c>
      <c r="D14" s="3">
        <f>$C$13*(1-Params!$B$20)^(D$2+1)</f>
        <v/>
      </c>
      <c r="E14" s="3">
        <f>$C$13*(1-Params!$B$20)^(E$2+1)</f>
        <v/>
      </c>
      <c r="F14" s="3">
        <f>$C$13*(1-Params!$B$20)^(F$2+1)</f>
        <v/>
      </c>
      <c r="G14" s="3">
        <f>$C$13*(1-Params!$B$20)^(G$2+1)</f>
        <v/>
      </c>
      <c r="H14" s="3">
        <f>$C$13*(1-Params!$B$20)^(H$2+1)</f>
        <v/>
      </c>
      <c r="I14" s="3">
        <f>$C$13*(1-Params!$B$20)^(I$2+1)</f>
        <v/>
      </c>
      <c r="J14" s="3">
        <f>$C$13*(1-Params!$B$20)^(J$2+1)</f>
        <v/>
      </c>
      <c r="K14" s="3">
        <f>$C$13*(1-Params!$B$20)^(K$2+1)</f>
        <v/>
      </c>
      <c r="L14" s="3">
        <f>$C$13*(1-Params!$B$20)^(L$2+1)</f>
        <v/>
      </c>
      <c r="M14" s="3">
        <f>$C$13*(1-Params!$B$20)^(M$2+1)</f>
        <v/>
      </c>
      <c r="N14" s="3">
        <f>$C$13*(1-Params!$B$20)^(N$2+1)</f>
        <v/>
      </c>
      <c r="O14" s="3">
        <f>$C$13*(1-Params!$B$20)^(O$2+1)</f>
        <v/>
      </c>
      <c r="P14" s="3">
        <f>$C$13*(1-Params!$B$20)^(P$2+1)</f>
        <v/>
      </c>
      <c r="Q14" s="3">
        <f>$C$13*(1-Params!$B$20)^(Q$2+1)</f>
        <v/>
      </c>
      <c r="R14" s="3">
        <f>$C$13*(1-Params!$B$20)^(R$2+1)</f>
        <v/>
      </c>
      <c r="S14" s="3">
        <f>$C$13*(1-Params!$B$20)^(S$2+1)</f>
        <v/>
      </c>
      <c r="T14" s="3">
        <f>$C$13*(1-Params!$B$20)^(T$2+1)</f>
        <v/>
      </c>
      <c r="U14" s="3">
        <f>$C$13*(1-Params!$B$20)^(U$2+1)</f>
        <v/>
      </c>
      <c r="V14" s="3">
        <f>$C$13*(1-Params!$B$20)^(V$2+1)</f>
        <v/>
      </c>
      <c r="W14" s="3">
        <f>$C$13*(1-Params!$B$20)^(W$2+1)</f>
        <v/>
      </c>
      <c r="X14" s="3">
        <f>$C$13*(1-Params!$B$20)^(X$2+1)</f>
        <v/>
      </c>
      <c r="Y14" s="3">
        <f>$C$13*(1-Params!$B$20)^(Y$2+1)</f>
        <v/>
      </c>
      <c r="Z14" s="3">
        <f>$C$13*(1-Params!$B$20)^(Z$2+1)</f>
        <v/>
      </c>
      <c r="AA14" s="3">
        <f>$C$13*(1-Params!$B$20)^(AA$2+1)</f>
        <v/>
      </c>
      <c r="AB14" s="3">
        <f>$C$13*(1-Params!$B$20)^(AB$2+1)</f>
        <v/>
      </c>
      <c r="AC14" s="3">
        <f>$C$13*(1-Params!$B$20)^(AC$2+1)</f>
        <v/>
      </c>
      <c r="AD14" s="3">
        <f>$C$13*(1-Params!$B$20)^(AD$2+1)</f>
        <v/>
      </c>
      <c r="AE14" s="3">
        <f>$C$13*(1-Params!$B$20)^(AE$2+1)</f>
        <v/>
      </c>
      <c r="AF14" s="3">
        <f>$C$13*(1-Params!$B$20)^(AF$2+1)</f>
        <v/>
      </c>
      <c r="AG14" s="3">
        <f>$C$13*(1-Params!$B$20)^(AG$2+1)</f>
        <v/>
      </c>
      <c r="AH14" s="3">
        <f>$C$13*(1-Params!$B$20)^(AH$2+1)</f>
        <v/>
      </c>
      <c r="AI14" s="3">
        <f>$C$13*(1-Params!$B$20)^(AI$2+1)</f>
        <v/>
      </c>
      <c r="AJ14" s="3">
        <f>$C$13*(1-Params!$B$20)^(AJ$2+1)</f>
        <v/>
      </c>
      <c r="AK14" s="3">
        <f>$C$13*(1-Params!$B$20)^(AK$2+1)</f>
        <v/>
      </c>
      <c r="AL14" s="3">
        <f>$C$13*(1-Params!$B$20)^(AL$2+1)</f>
        <v/>
      </c>
      <c r="AM14" s="3">
        <f>$C$13*(1-Params!$B$20)^(AM$2+1)</f>
        <v/>
      </c>
      <c r="AN14" s="3">
        <f>$C$13*(1-Params!$B$20)^(AN$2+1)</f>
        <v/>
      </c>
      <c r="AO14" s="3">
        <f>$C$13*(1-Params!$B$20)^(AO$2+1)</f>
        <v/>
      </c>
      <c r="AP14" s="3">
        <f>$C$13*(1-Params!$B$20)^(AP$2+1)</f>
        <v/>
      </c>
      <c r="AQ14" s="3">
        <f>$C$13*(1-Params!$B$20)^(AQ$2+1)</f>
        <v/>
      </c>
      <c r="AR14" s="3">
        <f>$C$13*(1-Params!$B$20)^(AR$2+1)</f>
        <v/>
      </c>
      <c r="AS14" s="3">
        <f>$C$13*(1-Params!$B$20)^(AS$2+1)</f>
        <v/>
      </c>
      <c r="AT14" s="3">
        <f>$C$13*(1-Params!$B$20)^(AT$2+1)</f>
        <v/>
      </c>
      <c r="AU14" s="3">
        <f>$C$13*(1-Params!$B$20)^(AU$2+1)</f>
        <v/>
      </c>
      <c r="AV14" s="3">
        <f>$C$13*(1-Params!$B$20)^(AV$2+1)</f>
        <v/>
      </c>
      <c r="AW14" s="3">
        <f>$C$13*(1-Params!$B$20)^(AW$2+1)</f>
        <v/>
      </c>
      <c r="AX14" s="3">
        <f>$C$13*(1-Params!$B$20)^(AX$2+1)</f>
        <v/>
      </c>
      <c r="AY14" s="3">
        <f>$C$13*(1-Params!$B$20)^(AY$2+1)</f>
        <v/>
      </c>
      <c r="AZ14" s="3">
        <f>$C$13*(1-Params!$B$20)^(AZ$2+1)</f>
        <v/>
      </c>
      <c r="BA14" s="3">
        <f>$C$13*(1-Params!$B$20)^(BA$2+1)</f>
        <v/>
      </c>
      <c r="BB14" s="3">
        <f>$C$13*(1-Params!$B$20)^(BB$2+1)</f>
        <v/>
      </c>
      <c r="BC14" s="3">
        <f>$C$13*(1-Params!$B$20)^(BC$2+1)</f>
        <v/>
      </c>
      <c r="BD14" s="3">
        <f>$C$13*(1-Params!$B$20)^(BD$2+1)</f>
        <v/>
      </c>
      <c r="BE14" s="3">
        <f>$C$13*(1-Params!$B$20)^(BE$2+1)</f>
        <v/>
      </c>
      <c r="BF14" s="3">
        <f>$C$13*(1-Params!$B$20)^(BF$2+1)</f>
        <v/>
      </c>
      <c r="BG14" s="3">
        <f>$C$13*(1-Params!$B$20)^(BG$2+1)</f>
        <v/>
      </c>
      <c r="BH14" s="3">
        <f>$C$13*(1-Params!$B$20)^(BH$2+1)</f>
        <v/>
      </c>
      <c r="BI14" s="3">
        <f>$C$13*(1-Params!$B$20)^(BI$2+1)</f>
        <v/>
      </c>
      <c r="BJ14" s="3">
        <f>$C$13*(1-Params!$B$20)^(BJ$2+1)</f>
        <v/>
      </c>
      <c r="BK14" s="3">
        <f>$C$13*(1-Params!$B$20)^(BK$2+1)</f>
        <v/>
      </c>
      <c r="BL14" s="3">
        <f>$C$13*(1-Params!$B$20)^(BL$2+1)</f>
        <v/>
      </c>
      <c r="BM14" s="3">
        <f>$C$13*(1-Params!$B$20)^(BM$2+1)</f>
        <v/>
      </c>
      <c r="BN14" s="3">
        <f>$C$13*(1-Params!$B$20)^(BN$2+1)</f>
        <v/>
      </c>
      <c r="BO14" s="3">
        <f>$C$13*(1-Params!$B$20)^(BO$2+1)</f>
        <v/>
      </c>
      <c r="BP14" s="3">
        <f>$C$13*(1-Params!$B$20)^(BP$2+1)</f>
        <v/>
      </c>
      <c r="BQ14" s="3">
        <f>$C$13*(1-Params!$B$20)^(BQ$2+1)</f>
        <v/>
      </c>
      <c r="BR14" s="3">
        <f>$C$13*(1-Params!$B$20)^(BR$2+1)</f>
        <v/>
      </c>
      <c r="BS14" s="3">
        <f>$C$13*(1-Params!$B$20)^(BS$2+1)</f>
        <v/>
      </c>
      <c r="BT14" s="3">
        <f>$C$13*(1-Params!$B$20)^(BT$2+1)</f>
        <v/>
      </c>
      <c r="BU14" s="3">
        <f>$C$13*(1-Params!$B$20)^(BU$2+1)</f>
        <v/>
      </c>
      <c r="BV14" s="3">
        <f>$C$13*(1-Params!$B$20)^(BV$2+1)</f>
        <v/>
      </c>
    </row>
    <row r="15">
      <c r="A15" t="inlineStr">
        <is>
          <t>churned</t>
        </is>
      </c>
      <c r="B15" t="inlineStr">
        <is>
          <t>US_CA|BASIC_M</t>
        </is>
      </c>
      <c r="C15" s="3">
        <f>$C$13-C14</f>
        <v/>
      </c>
      <c r="D15" s="3">
        <f>C14-D14</f>
        <v/>
      </c>
      <c r="E15" s="3">
        <f>D14-E14</f>
        <v/>
      </c>
      <c r="F15" s="3">
        <f>E14-F14</f>
        <v/>
      </c>
      <c r="G15" s="3">
        <f>F14-G14</f>
        <v/>
      </c>
      <c r="H15" s="3">
        <f>G14-H14</f>
        <v/>
      </c>
      <c r="I15" s="3">
        <f>H14-I14</f>
        <v/>
      </c>
      <c r="J15" s="3">
        <f>I14-J14</f>
        <v/>
      </c>
      <c r="K15" s="3">
        <f>J14-K14</f>
        <v/>
      </c>
      <c r="L15" s="3">
        <f>K14-L14</f>
        <v/>
      </c>
      <c r="M15" s="3">
        <f>L14-M14</f>
        <v/>
      </c>
      <c r="N15" s="3">
        <f>M14-N14</f>
        <v/>
      </c>
      <c r="O15" s="3">
        <f>N14-O14</f>
        <v/>
      </c>
      <c r="P15" s="3">
        <f>O14-P14</f>
        <v/>
      </c>
      <c r="Q15" s="3">
        <f>P14-Q14</f>
        <v/>
      </c>
      <c r="R15" s="3">
        <f>Q14-R14</f>
        <v/>
      </c>
      <c r="S15" s="3">
        <f>R14-S14</f>
        <v/>
      </c>
      <c r="T15" s="3">
        <f>S14-T14</f>
        <v/>
      </c>
      <c r="U15" s="3">
        <f>T14-U14</f>
        <v/>
      </c>
      <c r="V15" s="3">
        <f>U14-V14</f>
        <v/>
      </c>
      <c r="W15" s="3">
        <f>V14-W14</f>
        <v/>
      </c>
      <c r="X15" s="3">
        <f>W14-X14</f>
        <v/>
      </c>
      <c r="Y15" s="3">
        <f>X14-Y14</f>
        <v/>
      </c>
      <c r="Z15" s="3">
        <f>Y14-Z14</f>
        <v/>
      </c>
      <c r="AA15" s="3">
        <f>Z14-AA14</f>
        <v/>
      </c>
      <c r="AB15" s="3">
        <f>AA14-AB14</f>
        <v/>
      </c>
      <c r="AC15" s="3">
        <f>AB14-AC14</f>
        <v/>
      </c>
      <c r="AD15" s="3">
        <f>AC14-AD14</f>
        <v/>
      </c>
      <c r="AE15" s="3">
        <f>AD14-AE14</f>
        <v/>
      </c>
      <c r="AF15" s="3">
        <f>AE14-AF14</f>
        <v/>
      </c>
      <c r="AG15" s="3">
        <f>AF14-AG14</f>
        <v/>
      </c>
      <c r="AH15" s="3">
        <f>AG14-AH14</f>
        <v/>
      </c>
      <c r="AI15" s="3">
        <f>AH14-AI14</f>
        <v/>
      </c>
      <c r="AJ15" s="3">
        <f>AI14-AJ14</f>
        <v/>
      </c>
      <c r="AK15" s="3">
        <f>AJ14-AK14</f>
        <v/>
      </c>
      <c r="AL15" s="3">
        <f>AK14-AL14</f>
        <v/>
      </c>
      <c r="AM15" s="3">
        <f>AL14-AM14</f>
        <v/>
      </c>
      <c r="AN15" s="3">
        <f>AM14-AN14</f>
        <v/>
      </c>
      <c r="AO15" s="3">
        <f>AN14-AO14</f>
        <v/>
      </c>
      <c r="AP15" s="3">
        <f>AO14-AP14</f>
        <v/>
      </c>
      <c r="AQ15" s="3">
        <f>AP14-AQ14</f>
        <v/>
      </c>
      <c r="AR15" s="3">
        <f>AQ14-AR14</f>
        <v/>
      </c>
      <c r="AS15" s="3">
        <f>AR14-AS14</f>
        <v/>
      </c>
      <c r="AT15" s="3">
        <f>AS14-AT14</f>
        <v/>
      </c>
      <c r="AU15" s="3">
        <f>AT14-AU14</f>
        <v/>
      </c>
      <c r="AV15" s="3">
        <f>AU14-AV14</f>
        <v/>
      </c>
      <c r="AW15" s="3">
        <f>AV14-AW14</f>
        <v/>
      </c>
      <c r="AX15" s="3">
        <f>AW14-AX14</f>
        <v/>
      </c>
      <c r="AY15" s="3">
        <f>AX14-AY14</f>
        <v/>
      </c>
      <c r="AZ15" s="3">
        <f>AY14-AZ14</f>
        <v/>
      </c>
      <c r="BA15" s="3">
        <f>AZ14-BA14</f>
        <v/>
      </c>
      <c r="BB15" s="3">
        <f>BA14-BB14</f>
        <v/>
      </c>
      <c r="BC15" s="3">
        <f>BB14-BC14</f>
        <v/>
      </c>
      <c r="BD15" s="3">
        <f>BC14-BD14</f>
        <v/>
      </c>
      <c r="BE15" s="3">
        <f>BD14-BE14</f>
        <v/>
      </c>
      <c r="BF15" s="3">
        <f>BE14-BF14</f>
        <v/>
      </c>
      <c r="BG15" s="3">
        <f>BF14-BG14</f>
        <v/>
      </c>
      <c r="BH15" s="3">
        <f>BG14-BH14</f>
        <v/>
      </c>
      <c r="BI15" s="3">
        <f>BH14-BI14</f>
        <v/>
      </c>
      <c r="BJ15" s="3">
        <f>BI14-BJ14</f>
        <v/>
      </c>
      <c r="BK15" s="3">
        <f>BJ14-BK14</f>
        <v/>
      </c>
      <c r="BL15" s="3">
        <f>BK14-BL14</f>
        <v/>
      </c>
      <c r="BM15" s="3">
        <f>BL14-BM14</f>
        <v/>
      </c>
      <c r="BN15" s="3">
        <f>BM14-BN14</f>
        <v/>
      </c>
      <c r="BO15" s="3">
        <f>BN14-BO14</f>
        <v/>
      </c>
      <c r="BP15" s="3">
        <f>BO14-BP14</f>
        <v/>
      </c>
      <c r="BQ15" s="3">
        <f>BP14-BQ14</f>
        <v/>
      </c>
      <c r="BR15" s="3">
        <f>BQ14-BR14</f>
        <v/>
      </c>
      <c r="BS15" s="3">
        <f>BR14-BS14</f>
        <v/>
      </c>
      <c r="BT15" s="3">
        <f>BS14-BT14</f>
        <v/>
      </c>
      <c r="BU15" s="3">
        <f>BT14-BU14</f>
        <v/>
      </c>
      <c r="BV15" s="3">
        <f>BU14-BV14</f>
        <v/>
      </c>
    </row>
    <row r="17">
      <c r="A17" t="inlineStr">
        <is>
          <t>opening book (Jan 2025)</t>
        </is>
      </c>
      <c r="B17" t="inlineStr">
        <is>
          <t>US_CA|BASIC_A</t>
        </is>
      </c>
      <c r="C17" s="3">
        <f>Params!$B$19*Params!$B$51*Params!$B$78</f>
        <v/>
      </c>
    </row>
    <row r="18">
      <c r="A18" t="inlineStr">
        <is>
          <t>active</t>
        </is>
      </c>
      <c r="B18" t="inlineStr">
        <is>
          <t>US_CA|BASIC_A</t>
        </is>
      </c>
      <c r="C18" s="3">
        <f>$C$17*((MOD(C$2,12)+1)*Params!$B$15^(INT(C$2/12)+1)+(11-MOD(C$2,12))*Params!$B$15^INT(C$2/12))/12</f>
        <v/>
      </c>
      <c r="D18" s="3">
        <f>$C$17*((MOD(D$2,12)+1)*Params!$B$15^(INT(D$2/12)+1)+(11-MOD(D$2,12))*Params!$B$15^INT(D$2/12))/12</f>
        <v/>
      </c>
      <c r="E18" s="3">
        <f>$C$17*((MOD(E$2,12)+1)*Params!$B$15^(INT(E$2/12)+1)+(11-MOD(E$2,12))*Params!$B$15^INT(E$2/12))/12</f>
        <v/>
      </c>
      <c r="F18" s="3">
        <f>$C$17*((MOD(F$2,12)+1)*Params!$B$15^(INT(F$2/12)+1)+(11-MOD(F$2,12))*Params!$B$15^INT(F$2/12))/12</f>
        <v/>
      </c>
      <c r="G18" s="3">
        <f>$C$17*((MOD(G$2,12)+1)*Params!$B$15^(INT(G$2/12)+1)+(11-MOD(G$2,12))*Params!$B$15^INT(G$2/12))/12</f>
        <v/>
      </c>
      <c r="H18" s="3">
        <f>$C$17*((MOD(H$2,12)+1)*Params!$B$15^(INT(H$2/12)+1)+(11-MOD(H$2,12))*Params!$B$15^INT(H$2/12))/12</f>
        <v/>
      </c>
      <c r="I18" s="3">
        <f>$C$17*((MOD(I$2,12)+1)*Params!$B$15^(INT(I$2/12)+1)+(11-MOD(I$2,12))*Params!$B$15^INT(I$2/12))/12</f>
        <v/>
      </c>
      <c r="J18" s="3">
        <f>$C$17*((MOD(J$2,12)+1)*Params!$B$15^(INT(J$2/12)+1)+(11-MOD(J$2,12))*Params!$B$15^INT(J$2/12))/12</f>
        <v/>
      </c>
      <c r="K18" s="3">
        <f>$C$17*((MOD(K$2,12)+1)*Params!$B$15^(INT(K$2/12)+1)+(11-MOD(K$2,12))*Params!$B$15^INT(K$2/12))/12</f>
        <v/>
      </c>
      <c r="L18" s="3">
        <f>$C$17*((MOD(L$2,12)+1)*Params!$B$15^(INT(L$2/12)+1)+(11-MOD(L$2,12))*Params!$B$15^INT(L$2/12))/12</f>
        <v/>
      </c>
      <c r="M18" s="3">
        <f>$C$17*((MOD(M$2,12)+1)*Params!$B$15^(INT(M$2/12)+1)+(11-MOD(M$2,12))*Params!$B$15^INT(M$2/12))/12</f>
        <v/>
      </c>
      <c r="N18" s="3">
        <f>$C$17*((MOD(N$2,12)+1)*Params!$B$15^(INT(N$2/12)+1)+(11-MOD(N$2,12))*Params!$B$15^INT(N$2/12))/12</f>
        <v/>
      </c>
      <c r="O18" s="3">
        <f>$C$17*((MOD(O$2,12)+1)*Params!$B$15^(INT(O$2/12)+1)+(11-MOD(O$2,12))*Params!$B$15^INT(O$2/12))/12</f>
        <v/>
      </c>
      <c r="P18" s="3">
        <f>$C$17*((MOD(P$2,12)+1)*Params!$B$15^(INT(P$2/12)+1)+(11-MOD(P$2,12))*Params!$B$15^INT(P$2/12))/12</f>
        <v/>
      </c>
      <c r="Q18" s="3">
        <f>$C$17*((MOD(Q$2,12)+1)*Params!$B$15^(INT(Q$2/12)+1)+(11-MOD(Q$2,12))*Params!$B$15^INT(Q$2/12))/12</f>
        <v/>
      </c>
      <c r="R18" s="3">
        <f>$C$17*((MOD(R$2,12)+1)*Params!$B$15^(INT(R$2/12)+1)+(11-MOD(R$2,12))*Params!$B$15^INT(R$2/12))/12</f>
        <v/>
      </c>
      <c r="S18" s="3">
        <f>$C$17*((MOD(S$2,12)+1)*Params!$B$15^(INT(S$2/12)+1)+(11-MOD(S$2,12))*Params!$B$15^INT(S$2/12))/12</f>
        <v/>
      </c>
      <c r="T18" s="3">
        <f>$C$17*((MOD(T$2,12)+1)*Params!$B$15^(INT(T$2/12)+1)+(11-MOD(T$2,12))*Params!$B$15^INT(T$2/12))/12</f>
        <v/>
      </c>
      <c r="U18" s="3">
        <f>$C$17*((MOD(U$2,12)+1)*Params!$B$15^(INT(U$2/12)+1)+(11-MOD(U$2,12))*Params!$B$15^INT(U$2/12))/12</f>
        <v/>
      </c>
      <c r="V18" s="3">
        <f>$C$17*((MOD(V$2,12)+1)*Params!$B$15^(INT(V$2/12)+1)+(11-MOD(V$2,12))*Params!$B$15^INT(V$2/12))/12</f>
        <v/>
      </c>
      <c r="W18" s="3">
        <f>$C$17*((MOD(W$2,12)+1)*Params!$B$15^(INT(W$2/12)+1)+(11-MOD(W$2,12))*Params!$B$15^INT(W$2/12))/12</f>
        <v/>
      </c>
      <c r="X18" s="3">
        <f>$C$17*((MOD(X$2,12)+1)*Params!$B$15^(INT(X$2/12)+1)+(11-MOD(X$2,12))*Params!$B$15^INT(X$2/12))/12</f>
        <v/>
      </c>
      <c r="Y18" s="3">
        <f>$C$17*((MOD(Y$2,12)+1)*Params!$B$15^(INT(Y$2/12)+1)+(11-MOD(Y$2,12))*Params!$B$15^INT(Y$2/12))/12</f>
        <v/>
      </c>
      <c r="Z18" s="3">
        <f>$C$17*((MOD(Z$2,12)+1)*Params!$B$15^(INT(Z$2/12)+1)+(11-MOD(Z$2,12))*Params!$B$15^INT(Z$2/12))/12</f>
        <v/>
      </c>
      <c r="AA18" s="3">
        <f>$C$17*((MOD(AA$2,12)+1)*Params!$B$15^(INT(AA$2/12)+1)+(11-MOD(AA$2,12))*Params!$B$15^INT(AA$2/12))/12</f>
        <v/>
      </c>
      <c r="AB18" s="3">
        <f>$C$17*((MOD(AB$2,12)+1)*Params!$B$15^(INT(AB$2/12)+1)+(11-MOD(AB$2,12))*Params!$B$15^INT(AB$2/12))/12</f>
        <v/>
      </c>
      <c r="AC18" s="3">
        <f>$C$17*((MOD(AC$2,12)+1)*Params!$B$15^(INT(AC$2/12)+1)+(11-MOD(AC$2,12))*Params!$B$15^INT(AC$2/12))/12</f>
        <v/>
      </c>
      <c r="AD18" s="3">
        <f>$C$17*((MOD(AD$2,12)+1)*Params!$B$15^(INT(AD$2/12)+1)+(11-MOD(AD$2,12))*Params!$B$15^INT(AD$2/12))/12</f>
        <v/>
      </c>
      <c r="AE18" s="3">
        <f>$C$17*((MOD(AE$2,12)+1)*Params!$B$15^(INT(AE$2/12)+1)+(11-MOD(AE$2,12))*Params!$B$15^INT(AE$2/12))/12</f>
        <v/>
      </c>
      <c r="AF18" s="3">
        <f>$C$17*((MOD(AF$2,12)+1)*Params!$B$15^(INT(AF$2/12)+1)+(11-MOD(AF$2,12))*Params!$B$15^INT(AF$2/12))/12</f>
        <v/>
      </c>
      <c r="AG18" s="3">
        <f>$C$17*((MOD(AG$2,12)+1)*Params!$B$15^(INT(AG$2/12)+1)+(11-MOD(AG$2,12))*Params!$B$15^INT(AG$2/12))/12</f>
        <v/>
      </c>
      <c r="AH18" s="3">
        <f>$C$17*((MOD(AH$2,12)+1)*Params!$B$15^(INT(AH$2/12)+1)+(11-MOD(AH$2,12))*Params!$B$15^INT(AH$2/12))/12</f>
        <v/>
      </c>
      <c r="AI18" s="3">
        <f>$C$17*((MOD(AI$2,12)+1)*Params!$B$15^(INT(AI$2/12)+1)+(11-MOD(AI$2,12))*Params!$B$15^INT(AI$2/12))/12</f>
        <v/>
      </c>
      <c r="AJ18" s="3">
        <f>$C$17*((MOD(AJ$2,12)+1)*Params!$B$15^(INT(AJ$2/12)+1)+(11-MOD(AJ$2,12))*Params!$B$15^INT(AJ$2/12))/12</f>
        <v/>
      </c>
      <c r="AK18" s="3">
        <f>$C$17*((MOD(AK$2,12)+1)*Params!$B$15^(INT(AK$2/12)+1)+(11-MOD(AK$2,12))*Params!$B$15^INT(AK$2/12))/12</f>
        <v/>
      </c>
      <c r="AL18" s="3">
        <f>$C$17*((MOD(AL$2,12)+1)*Params!$B$15^(INT(AL$2/12)+1)+(11-MOD(AL$2,12))*Params!$B$15^INT(AL$2/12))/12</f>
        <v/>
      </c>
      <c r="AM18" s="3">
        <f>$C$17*((MOD(AM$2,12)+1)*Params!$B$15^(INT(AM$2/12)+1)+(11-MOD(AM$2,12))*Params!$B$15^INT(AM$2/12))/12</f>
        <v/>
      </c>
      <c r="AN18" s="3">
        <f>$C$17*((MOD(AN$2,12)+1)*Params!$B$15^(INT(AN$2/12)+1)+(11-MOD(AN$2,12))*Params!$B$15^INT(AN$2/12))/12</f>
        <v/>
      </c>
      <c r="AO18" s="3">
        <f>$C$17*((MOD(AO$2,12)+1)*Params!$B$15^(INT(AO$2/12)+1)+(11-MOD(AO$2,12))*Params!$B$15^INT(AO$2/12))/12</f>
        <v/>
      </c>
      <c r="AP18" s="3">
        <f>$C$17*((MOD(AP$2,12)+1)*Params!$B$15^(INT(AP$2/12)+1)+(11-MOD(AP$2,12))*Params!$B$15^INT(AP$2/12))/12</f>
        <v/>
      </c>
      <c r="AQ18" s="3">
        <f>$C$17*((MOD(AQ$2,12)+1)*Params!$B$15^(INT(AQ$2/12)+1)+(11-MOD(AQ$2,12))*Params!$B$15^INT(AQ$2/12))/12</f>
        <v/>
      </c>
      <c r="AR18" s="3">
        <f>$C$17*((MOD(AR$2,12)+1)*Params!$B$15^(INT(AR$2/12)+1)+(11-MOD(AR$2,12))*Params!$B$15^INT(AR$2/12))/12</f>
        <v/>
      </c>
      <c r="AS18" s="3">
        <f>$C$17*((MOD(AS$2,12)+1)*Params!$B$15^(INT(AS$2/12)+1)+(11-MOD(AS$2,12))*Params!$B$15^INT(AS$2/12))/12</f>
        <v/>
      </c>
      <c r="AT18" s="3">
        <f>$C$17*((MOD(AT$2,12)+1)*Params!$B$15^(INT(AT$2/12)+1)+(11-MOD(AT$2,12))*Params!$B$15^INT(AT$2/12))/12</f>
        <v/>
      </c>
      <c r="AU18" s="3">
        <f>$C$17*((MOD(AU$2,12)+1)*Params!$B$15^(INT(AU$2/12)+1)+(11-MOD(AU$2,12))*Params!$B$15^INT(AU$2/12))/12</f>
        <v/>
      </c>
      <c r="AV18" s="3">
        <f>$C$17*((MOD(AV$2,12)+1)*Params!$B$15^(INT(AV$2/12)+1)+(11-MOD(AV$2,12))*Params!$B$15^INT(AV$2/12))/12</f>
        <v/>
      </c>
      <c r="AW18" s="3">
        <f>$C$17*((MOD(AW$2,12)+1)*Params!$B$15^(INT(AW$2/12)+1)+(11-MOD(AW$2,12))*Params!$B$15^INT(AW$2/12))/12</f>
        <v/>
      </c>
      <c r="AX18" s="3">
        <f>$C$17*((MOD(AX$2,12)+1)*Params!$B$15^(INT(AX$2/12)+1)+(11-MOD(AX$2,12))*Params!$B$15^INT(AX$2/12))/12</f>
        <v/>
      </c>
      <c r="AY18" s="3">
        <f>$C$17*((MOD(AY$2,12)+1)*Params!$B$15^(INT(AY$2/12)+1)+(11-MOD(AY$2,12))*Params!$B$15^INT(AY$2/12))/12</f>
        <v/>
      </c>
      <c r="AZ18" s="3">
        <f>$C$17*((MOD(AZ$2,12)+1)*Params!$B$15^(INT(AZ$2/12)+1)+(11-MOD(AZ$2,12))*Params!$B$15^INT(AZ$2/12))/12</f>
        <v/>
      </c>
      <c r="BA18" s="3">
        <f>$C$17*((MOD(BA$2,12)+1)*Params!$B$15^(INT(BA$2/12)+1)+(11-MOD(BA$2,12))*Params!$B$15^INT(BA$2/12))/12</f>
        <v/>
      </c>
      <c r="BB18" s="3">
        <f>$C$17*((MOD(BB$2,12)+1)*Params!$B$15^(INT(BB$2/12)+1)+(11-MOD(BB$2,12))*Params!$B$15^INT(BB$2/12))/12</f>
        <v/>
      </c>
      <c r="BC18" s="3">
        <f>$C$17*((MOD(BC$2,12)+1)*Params!$B$15^(INT(BC$2/12)+1)+(11-MOD(BC$2,12))*Params!$B$15^INT(BC$2/12))/12</f>
        <v/>
      </c>
      <c r="BD18" s="3">
        <f>$C$17*((MOD(BD$2,12)+1)*Params!$B$15^(INT(BD$2/12)+1)+(11-MOD(BD$2,12))*Params!$B$15^INT(BD$2/12))/12</f>
        <v/>
      </c>
      <c r="BE18" s="3">
        <f>$C$17*((MOD(BE$2,12)+1)*Params!$B$15^(INT(BE$2/12)+1)+(11-MOD(BE$2,12))*Params!$B$15^INT(BE$2/12))/12</f>
        <v/>
      </c>
      <c r="BF18" s="3">
        <f>$C$17*((MOD(BF$2,12)+1)*Params!$B$15^(INT(BF$2/12)+1)+(11-MOD(BF$2,12))*Params!$B$15^INT(BF$2/12))/12</f>
        <v/>
      </c>
      <c r="BG18" s="3">
        <f>$C$17*((MOD(BG$2,12)+1)*Params!$B$15^(INT(BG$2/12)+1)+(11-MOD(BG$2,12))*Params!$B$15^INT(BG$2/12))/12</f>
        <v/>
      </c>
      <c r="BH18" s="3">
        <f>$C$17*((MOD(BH$2,12)+1)*Params!$B$15^(INT(BH$2/12)+1)+(11-MOD(BH$2,12))*Params!$B$15^INT(BH$2/12))/12</f>
        <v/>
      </c>
      <c r="BI18" s="3">
        <f>$C$17*((MOD(BI$2,12)+1)*Params!$B$15^(INT(BI$2/12)+1)+(11-MOD(BI$2,12))*Params!$B$15^INT(BI$2/12))/12</f>
        <v/>
      </c>
      <c r="BJ18" s="3">
        <f>$C$17*((MOD(BJ$2,12)+1)*Params!$B$15^(INT(BJ$2/12)+1)+(11-MOD(BJ$2,12))*Params!$B$15^INT(BJ$2/12))/12</f>
        <v/>
      </c>
      <c r="BK18" s="3">
        <f>$C$17*((MOD(BK$2,12)+1)*Params!$B$15^(INT(BK$2/12)+1)+(11-MOD(BK$2,12))*Params!$B$15^INT(BK$2/12))/12</f>
        <v/>
      </c>
      <c r="BL18" s="3">
        <f>$C$17*((MOD(BL$2,12)+1)*Params!$B$15^(INT(BL$2/12)+1)+(11-MOD(BL$2,12))*Params!$B$15^INT(BL$2/12))/12</f>
        <v/>
      </c>
      <c r="BM18" s="3">
        <f>$C$17*((MOD(BM$2,12)+1)*Params!$B$15^(INT(BM$2/12)+1)+(11-MOD(BM$2,12))*Params!$B$15^INT(BM$2/12))/12</f>
        <v/>
      </c>
      <c r="BN18" s="3">
        <f>$C$17*((MOD(BN$2,12)+1)*Params!$B$15^(INT(BN$2/12)+1)+(11-MOD(BN$2,12))*Params!$B$15^INT(BN$2/12))/12</f>
        <v/>
      </c>
      <c r="BO18" s="3">
        <f>$C$17*((MOD(BO$2,12)+1)*Params!$B$15^(INT(BO$2/12)+1)+(11-MOD(BO$2,12))*Params!$B$15^INT(BO$2/12))/12</f>
        <v/>
      </c>
      <c r="BP18" s="3">
        <f>$C$17*((MOD(BP$2,12)+1)*Params!$B$15^(INT(BP$2/12)+1)+(11-MOD(BP$2,12))*Params!$B$15^INT(BP$2/12))/12</f>
        <v/>
      </c>
      <c r="BQ18" s="3">
        <f>$C$17*((MOD(BQ$2,12)+1)*Params!$B$15^(INT(BQ$2/12)+1)+(11-MOD(BQ$2,12))*Params!$B$15^INT(BQ$2/12))/12</f>
        <v/>
      </c>
      <c r="BR18" s="3">
        <f>$C$17*((MOD(BR$2,12)+1)*Params!$B$15^(INT(BR$2/12)+1)+(11-MOD(BR$2,12))*Params!$B$15^INT(BR$2/12))/12</f>
        <v/>
      </c>
      <c r="BS18" s="3">
        <f>$C$17*((MOD(BS$2,12)+1)*Params!$B$15^(INT(BS$2/12)+1)+(11-MOD(BS$2,12))*Params!$B$15^INT(BS$2/12))/12</f>
        <v/>
      </c>
      <c r="BT18" s="3">
        <f>$C$17*((MOD(BT$2,12)+1)*Params!$B$15^(INT(BT$2/12)+1)+(11-MOD(BT$2,12))*Params!$B$15^INT(BT$2/12))/12</f>
        <v/>
      </c>
      <c r="BU18" s="3">
        <f>$C$17*((MOD(BU$2,12)+1)*Params!$B$15^(INT(BU$2/12)+1)+(11-MOD(BU$2,12))*Params!$B$15^INT(BU$2/12))/12</f>
        <v/>
      </c>
      <c r="BV18" s="3">
        <f>$C$17*((MOD(BV$2,12)+1)*Params!$B$15^(INT(BV$2/12)+1)+(11-MOD(BV$2,12))*Params!$B$15^INT(BV$2/12))/12</f>
        <v/>
      </c>
    </row>
    <row r="19">
      <c r="A19" t="inlineStr">
        <is>
          <t>churned</t>
        </is>
      </c>
      <c r="B19" t="inlineStr">
        <is>
          <t>US_CA|BASIC_A</t>
        </is>
      </c>
      <c r="C19" s="3">
        <f>$C$17-C18</f>
        <v/>
      </c>
      <c r="D19" s="3">
        <f>C18-D18</f>
        <v/>
      </c>
      <c r="E19" s="3">
        <f>D18-E18</f>
        <v/>
      </c>
      <c r="F19" s="3">
        <f>E18-F18</f>
        <v/>
      </c>
      <c r="G19" s="3">
        <f>F18-G18</f>
        <v/>
      </c>
      <c r="H19" s="3">
        <f>G18-H18</f>
        <v/>
      </c>
      <c r="I19" s="3">
        <f>H18-I18</f>
        <v/>
      </c>
      <c r="J19" s="3">
        <f>I18-J18</f>
        <v/>
      </c>
      <c r="K19" s="3">
        <f>J18-K18</f>
        <v/>
      </c>
      <c r="L19" s="3">
        <f>K18-L18</f>
        <v/>
      </c>
      <c r="M19" s="3">
        <f>L18-M18</f>
        <v/>
      </c>
      <c r="N19" s="3">
        <f>M18-N18</f>
        <v/>
      </c>
      <c r="O19" s="3">
        <f>N18-O18</f>
        <v/>
      </c>
      <c r="P19" s="3">
        <f>O18-P18</f>
        <v/>
      </c>
      <c r="Q19" s="3">
        <f>P18-Q18</f>
        <v/>
      </c>
      <c r="R19" s="3">
        <f>Q18-R18</f>
        <v/>
      </c>
      <c r="S19" s="3">
        <f>R18-S18</f>
        <v/>
      </c>
      <c r="T19" s="3">
        <f>S18-T18</f>
        <v/>
      </c>
      <c r="U19" s="3">
        <f>T18-U18</f>
        <v/>
      </c>
      <c r="V19" s="3">
        <f>U18-V18</f>
        <v/>
      </c>
      <c r="W19" s="3">
        <f>V18-W18</f>
        <v/>
      </c>
      <c r="X19" s="3">
        <f>W18-X18</f>
        <v/>
      </c>
      <c r="Y19" s="3">
        <f>X18-Y18</f>
        <v/>
      </c>
      <c r="Z19" s="3">
        <f>Y18-Z18</f>
        <v/>
      </c>
      <c r="AA19" s="3">
        <f>Z18-AA18</f>
        <v/>
      </c>
      <c r="AB19" s="3">
        <f>AA18-AB18</f>
        <v/>
      </c>
      <c r="AC19" s="3">
        <f>AB18-AC18</f>
        <v/>
      </c>
      <c r="AD19" s="3">
        <f>AC18-AD18</f>
        <v/>
      </c>
      <c r="AE19" s="3">
        <f>AD18-AE18</f>
        <v/>
      </c>
      <c r="AF19" s="3">
        <f>AE18-AF18</f>
        <v/>
      </c>
      <c r="AG19" s="3">
        <f>AF18-AG18</f>
        <v/>
      </c>
      <c r="AH19" s="3">
        <f>AG18-AH18</f>
        <v/>
      </c>
      <c r="AI19" s="3">
        <f>AH18-AI18</f>
        <v/>
      </c>
      <c r="AJ19" s="3">
        <f>AI18-AJ18</f>
        <v/>
      </c>
      <c r="AK19" s="3">
        <f>AJ18-AK18</f>
        <v/>
      </c>
      <c r="AL19" s="3">
        <f>AK18-AL18</f>
        <v/>
      </c>
      <c r="AM19" s="3">
        <f>AL18-AM18</f>
        <v/>
      </c>
      <c r="AN19" s="3">
        <f>AM18-AN18</f>
        <v/>
      </c>
      <c r="AO19" s="3">
        <f>AN18-AO18</f>
        <v/>
      </c>
      <c r="AP19" s="3">
        <f>AO18-AP18</f>
        <v/>
      </c>
      <c r="AQ19" s="3">
        <f>AP18-AQ18</f>
        <v/>
      </c>
      <c r="AR19" s="3">
        <f>AQ18-AR18</f>
        <v/>
      </c>
      <c r="AS19" s="3">
        <f>AR18-AS18</f>
        <v/>
      </c>
      <c r="AT19" s="3">
        <f>AS18-AT18</f>
        <v/>
      </c>
      <c r="AU19" s="3">
        <f>AT18-AU18</f>
        <v/>
      </c>
      <c r="AV19" s="3">
        <f>AU18-AV18</f>
        <v/>
      </c>
      <c r="AW19" s="3">
        <f>AV18-AW18</f>
        <v/>
      </c>
      <c r="AX19" s="3">
        <f>AW18-AX18</f>
        <v/>
      </c>
      <c r="AY19" s="3">
        <f>AX18-AY18</f>
        <v/>
      </c>
      <c r="AZ19" s="3">
        <f>AY18-AZ18</f>
        <v/>
      </c>
      <c r="BA19" s="3">
        <f>AZ18-BA18</f>
        <v/>
      </c>
      <c r="BB19" s="3">
        <f>BA18-BB18</f>
        <v/>
      </c>
      <c r="BC19" s="3">
        <f>BB18-BC18</f>
        <v/>
      </c>
      <c r="BD19" s="3">
        <f>BC18-BD18</f>
        <v/>
      </c>
      <c r="BE19" s="3">
        <f>BD18-BE18</f>
        <v/>
      </c>
      <c r="BF19" s="3">
        <f>BE18-BF18</f>
        <v/>
      </c>
      <c r="BG19" s="3">
        <f>BF18-BG18</f>
        <v/>
      </c>
      <c r="BH19" s="3">
        <f>BG18-BH18</f>
        <v/>
      </c>
      <c r="BI19" s="3">
        <f>BH18-BI18</f>
        <v/>
      </c>
      <c r="BJ19" s="3">
        <f>BI18-BJ18</f>
        <v/>
      </c>
      <c r="BK19" s="3">
        <f>BJ18-BK18</f>
        <v/>
      </c>
      <c r="BL19" s="3">
        <f>BK18-BL18</f>
        <v/>
      </c>
      <c r="BM19" s="3">
        <f>BL18-BM18</f>
        <v/>
      </c>
      <c r="BN19" s="3">
        <f>BM18-BN18</f>
        <v/>
      </c>
      <c r="BO19" s="3">
        <f>BN18-BO18</f>
        <v/>
      </c>
      <c r="BP19" s="3">
        <f>BO18-BP18</f>
        <v/>
      </c>
      <c r="BQ19" s="3">
        <f>BP18-BQ18</f>
        <v/>
      </c>
      <c r="BR19" s="3">
        <f>BQ18-BR18</f>
        <v/>
      </c>
      <c r="BS19" s="3">
        <f>BR18-BS18</f>
        <v/>
      </c>
      <c r="BT19" s="3">
        <f>BS18-BT18</f>
        <v/>
      </c>
      <c r="BU19" s="3">
        <f>BT18-BU18</f>
        <v/>
      </c>
      <c r="BV19" s="3">
        <f>BU18-BV18</f>
        <v/>
      </c>
    </row>
    <row r="21">
      <c r="A21" t="inlineStr">
        <is>
          <t>opening book (Jan 2025)</t>
        </is>
      </c>
      <c r="B21" t="inlineStr">
        <is>
          <t>EUROPE|NITRO_M</t>
        </is>
      </c>
      <c r="C21" s="3">
        <f>Params!$B$19*Params!$B$52*Params!$B$75</f>
        <v/>
      </c>
    </row>
    <row r="22">
      <c r="A22" t="inlineStr">
        <is>
          <t>active</t>
        </is>
      </c>
      <c r="B22" t="inlineStr">
        <is>
          <t>EUROPE|NITRO_M</t>
        </is>
      </c>
      <c r="C22" s="3">
        <f>$C$21*(1-Params!$B$20)^(C$2+1)</f>
        <v/>
      </c>
      <c r="D22" s="3">
        <f>$C$21*(1-Params!$B$20)^(D$2+1)</f>
        <v/>
      </c>
      <c r="E22" s="3">
        <f>$C$21*(1-Params!$B$20)^(E$2+1)</f>
        <v/>
      </c>
      <c r="F22" s="3">
        <f>$C$21*(1-Params!$B$20)^(F$2+1)</f>
        <v/>
      </c>
      <c r="G22" s="3">
        <f>$C$21*(1-Params!$B$20)^(G$2+1)</f>
        <v/>
      </c>
      <c r="H22" s="3">
        <f>$C$21*(1-Params!$B$20)^(H$2+1)</f>
        <v/>
      </c>
      <c r="I22" s="3">
        <f>$C$21*(1-Params!$B$20)^(I$2+1)</f>
        <v/>
      </c>
      <c r="J22" s="3">
        <f>$C$21*(1-Params!$B$20)^(J$2+1)</f>
        <v/>
      </c>
      <c r="K22" s="3">
        <f>$C$21*(1-Params!$B$20)^(K$2+1)</f>
        <v/>
      </c>
      <c r="L22" s="3">
        <f>$C$21*(1-Params!$B$20)^(L$2+1)</f>
        <v/>
      </c>
      <c r="M22" s="3">
        <f>$C$21*(1-Params!$B$20)^(M$2+1)</f>
        <v/>
      </c>
      <c r="N22" s="3">
        <f>$C$21*(1-Params!$B$20)^(N$2+1)</f>
        <v/>
      </c>
      <c r="O22" s="3">
        <f>$C$21*(1-Params!$B$20)^(O$2+1)</f>
        <v/>
      </c>
      <c r="P22" s="3">
        <f>$C$21*(1-Params!$B$20)^(P$2+1)</f>
        <v/>
      </c>
      <c r="Q22" s="3">
        <f>$C$21*(1-Params!$B$20)^(Q$2+1)</f>
        <v/>
      </c>
      <c r="R22" s="3">
        <f>$C$21*(1-Params!$B$20)^(R$2+1)</f>
        <v/>
      </c>
      <c r="S22" s="3">
        <f>$C$21*(1-Params!$B$20)^(S$2+1)</f>
        <v/>
      </c>
      <c r="T22" s="3">
        <f>$C$21*(1-Params!$B$20)^(T$2+1)</f>
        <v/>
      </c>
      <c r="U22" s="3">
        <f>$C$21*(1-Params!$B$20)^(U$2+1)</f>
        <v/>
      </c>
      <c r="V22" s="3">
        <f>$C$21*(1-Params!$B$20)^(V$2+1)</f>
        <v/>
      </c>
      <c r="W22" s="3">
        <f>$C$21*(1-Params!$B$20)^(W$2+1)</f>
        <v/>
      </c>
      <c r="X22" s="3">
        <f>$C$21*(1-Params!$B$20)^(X$2+1)</f>
        <v/>
      </c>
      <c r="Y22" s="3">
        <f>$C$21*(1-Params!$B$20)^(Y$2+1)</f>
        <v/>
      </c>
      <c r="Z22" s="3">
        <f>$C$21*(1-Params!$B$20)^(Z$2+1)</f>
        <v/>
      </c>
      <c r="AA22" s="3">
        <f>$C$21*(1-Params!$B$20)^(AA$2+1)</f>
        <v/>
      </c>
      <c r="AB22" s="3">
        <f>$C$21*(1-Params!$B$20)^(AB$2+1)</f>
        <v/>
      </c>
      <c r="AC22" s="3">
        <f>$C$21*(1-Params!$B$20)^(AC$2+1)</f>
        <v/>
      </c>
      <c r="AD22" s="3">
        <f>$C$21*(1-Params!$B$20)^(AD$2+1)</f>
        <v/>
      </c>
      <c r="AE22" s="3">
        <f>$C$21*(1-Params!$B$20)^(AE$2+1)</f>
        <v/>
      </c>
      <c r="AF22" s="3">
        <f>$C$21*(1-Params!$B$20)^(AF$2+1)</f>
        <v/>
      </c>
      <c r="AG22" s="3">
        <f>$C$21*(1-Params!$B$20)^(AG$2+1)</f>
        <v/>
      </c>
      <c r="AH22" s="3">
        <f>$C$21*(1-Params!$B$20)^(AH$2+1)</f>
        <v/>
      </c>
      <c r="AI22" s="3">
        <f>$C$21*(1-Params!$B$20)^(AI$2+1)</f>
        <v/>
      </c>
      <c r="AJ22" s="3">
        <f>$C$21*(1-Params!$B$20)^(AJ$2+1)</f>
        <v/>
      </c>
      <c r="AK22" s="3">
        <f>$C$21*(1-Params!$B$20)^(AK$2+1)</f>
        <v/>
      </c>
      <c r="AL22" s="3">
        <f>$C$21*(1-Params!$B$20)^(AL$2+1)</f>
        <v/>
      </c>
      <c r="AM22" s="3">
        <f>$C$21*(1-Params!$B$20)^(AM$2+1)</f>
        <v/>
      </c>
      <c r="AN22" s="3">
        <f>$C$21*(1-Params!$B$20)^(AN$2+1)</f>
        <v/>
      </c>
      <c r="AO22" s="3">
        <f>$C$21*(1-Params!$B$20)^(AO$2+1)</f>
        <v/>
      </c>
      <c r="AP22" s="3">
        <f>$C$21*(1-Params!$B$20)^(AP$2+1)</f>
        <v/>
      </c>
      <c r="AQ22" s="3">
        <f>$C$21*(1-Params!$B$20)^(AQ$2+1)</f>
        <v/>
      </c>
      <c r="AR22" s="3">
        <f>$C$21*(1-Params!$B$20)^(AR$2+1)</f>
        <v/>
      </c>
      <c r="AS22" s="3">
        <f>$C$21*(1-Params!$B$20)^(AS$2+1)</f>
        <v/>
      </c>
      <c r="AT22" s="3">
        <f>$C$21*(1-Params!$B$20)^(AT$2+1)</f>
        <v/>
      </c>
      <c r="AU22" s="3">
        <f>$C$21*(1-Params!$B$20)^(AU$2+1)</f>
        <v/>
      </c>
      <c r="AV22" s="3">
        <f>$C$21*(1-Params!$B$20)^(AV$2+1)</f>
        <v/>
      </c>
      <c r="AW22" s="3">
        <f>$C$21*(1-Params!$B$20)^(AW$2+1)</f>
        <v/>
      </c>
      <c r="AX22" s="3">
        <f>$C$21*(1-Params!$B$20)^(AX$2+1)</f>
        <v/>
      </c>
      <c r="AY22" s="3">
        <f>$C$21*(1-Params!$B$20)^(AY$2+1)</f>
        <v/>
      </c>
      <c r="AZ22" s="3">
        <f>$C$21*(1-Params!$B$20)^(AZ$2+1)</f>
        <v/>
      </c>
      <c r="BA22" s="3">
        <f>$C$21*(1-Params!$B$20)^(BA$2+1)</f>
        <v/>
      </c>
      <c r="BB22" s="3">
        <f>$C$21*(1-Params!$B$20)^(BB$2+1)</f>
        <v/>
      </c>
      <c r="BC22" s="3">
        <f>$C$21*(1-Params!$B$20)^(BC$2+1)</f>
        <v/>
      </c>
      <c r="BD22" s="3">
        <f>$C$21*(1-Params!$B$20)^(BD$2+1)</f>
        <v/>
      </c>
      <c r="BE22" s="3">
        <f>$C$21*(1-Params!$B$20)^(BE$2+1)</f>
        <v/>
      </c>
      <c r="BF22" s="3">
        <f>$C$21*(1-Params!$B$20)^(BF$2+1)</f>
        <v/>
      </c>
      <c r="BG22" s="3">
        <f>$C$21*(1-Params!$B$20)^(BG$2+1)</f>
        <v/>
      </c>
      <c r="BH22" s="3">
        <f>$C$21*(1-Params!$B$20)^(BH$2+1)</f>
        <v/>
      </c>
      <c r="BI22" s="3">
        <f>$C$21*(1-Params!$B$20)^(BI$2+1)</f>
        <v/>
      </c>
      <c r="BJ22" s="3">
        <f>$C$21*(1-Params!$B$20)^(BJ$2+1)</f>
        <v/>
      </c>
      <c r="BK22" s="3">
        <f>$C$21*(1-Params!$B$20)^(BK$2+1)</f>
        <v/>
      </c>
      <c r="BL22" s="3">
        <f>$C$21*(1-Params!$B$20)^(BL$2+1)</f>
        <v/>
      </c>
      <c r="BM22" s="3">
        <f>$C$21*(1-Params!$B$20)^(BM$2+1)</f>
        <v/>
      </c>
      <c r="BN22" s="3">
        <f>$C$21*(1-Params!$B$20)^(BN$2+1)</f>
        <v/>
      </c>
      <c r="BO22" s="3">
        <f>$C$21*(1-Params!$B$20)^(BO$2+1)</f>
        <v/>
      </c>
      <c r="BP22" s="3">
        <f>$C$21*(1-Params!$B$20)^(BP$2+1)</f>
        <v/>
      </c>
      <c r="BQ22" s="3">
        <f>$C$21*(1-Params!$B$20)^(BQ$2+1)</f>
        <v/>
      </c>
      <c r="BR22" s="3">
        <f>$C$21*(1-Params!$B$20)^(BR$2+1)</f>
        <v/>
      </c>
      <c r="BS22" s="3">
        <f>$C$21*(1-Params!$B$20)^(BS$2+1)</f>
        <v/>
      </c>
      <c r="BT22" s="3">
        <f>$C$21*(1-Params!$B$20)^(BT$2+1)</f>
        <v/>
      </c>
      <c r="BU22" s="3">
        <f>$C$21*(1-Params!$B$20)^(BU$2+1)</f>
        <v/>
      </c>
      <c r="BV22" s="3">
        <f>$C$21*(1-Params!$B$20)^(BV$2+1)</f>
        <v/>
      </c>
    </row>
    <row r="23">
      <c r="A23" t="inlineStr">
        <is>
          <t>churned</t>
        </is>
      </c>
      <c r="B23" t="inlineStr">
        <is>
          <t>EUROPE|NITRO_M</t>
        </is>
      </c>
      <c r="C23" s="3">
        <f>$C$21-C22</f>
        <v/>
      </c>
      <c r="D23" s="3">
        <f>C22-D22</f>
        <v/>
      </c>
      <c r="E23" s="3">
        <f>D22-E22</f>
        <v/>
      </c>
      <c r="F23" s="3">
        <f>E22-F22</f>
        <v/>
      </c>
      <c r="G23" s="3">
        <f>F22-G22</f>
        <v/>
      </c>
      <c r="H23" s="3">
        <f>G22-H22</f>
        <v/>
      </c>
      <c r="I23" s="3">
        <f>H22-I22</f>
        <v/>
      </c>
      <c r="J23" s="3">
        <f>I22-J22</f>
        <v/>
      </c>
      <c r="K23" s="3">
        <f>J22-K22</f>
        <v/>
      </c>
      <c r="L23" s="3">
        <f>K22-L22</f>
        <v/>
      </c>
      <c r="M23" s="3">
        <f>L22-M22</f>
        <v/>
      </c>
      <c r="N23" s="3">
        <f>M22-N22</f>
        <v/>
      </c>
      <c r="O23" s="3">
        <f>N22-O22</f>
        <v/>
      </c>
      <c r="P23" s="3">
        <f>O22-P22</f>
        <v/>
      </c>
      <c r="Q23" s="3">
        <f>P22-Q22</f>
        <v/>
      </c>
      <c r="R23" s="3">
        <f>Q22-R22</f>
        <v/>
      </c>
      <c r="S23" s="3">
        <f>R22-S22</f>
        <v/>
      </c>
      <c r="T23" s="3">
        <f>S22-T22</f>
        <v/>
      </c>
      <c r="U23" s="3">
        <f>T22-U22</f>
        <v/>
      </c>
      <c r="V23" s="3">
        <f>U22-V22</f>
        <v/>
      </c>
      <c r="W23" s="3">
        <f>V22-W22</f>
        <v/>
      </c>
      <c r="X23" s="3">
        <f>W22-X22</f>
        <v/>
      </c>
      <c r="Y23" s="3">
        <f>X22-Y22</f>
        <v/>
      </c>
      <c r="Z23" s="3">
        <f>Y22-Z22</f>
        <v/>
      </c>
      <c r="AA23" s="3">
        <f>Z22-AA22</f>
        <v/>
      </c>
      <c r="AB23" s="3">
        <f>AA22-AB22</f>
        <v/>
      </c>
      <c r="AC23" s="3">
        <f>AB22-AC22</f>
        <v/>
      </c>
      <c r="AD23" s="3">
        <f>AC22-AD22</f>
        <v/>
      </c>
      <c r="AE23" s="3">
        <f>AD22-AE22</f>
        <v/>
      </c>
      <c r="AF23" s="3">
        <f>AE22-AF22</f>
        <v/>
      </c>
      <c r="AG23" s="3">
        <f>AF22-AG22</f>
        <v/>
      </c>
      <c r="AH23" s="3">
        <f>AG22-AH22</f>
        <v/>
      </c>
      <c r="AI23" s="3">
        <f>AH22-AI22</f>
        <v/>
      </c>
      <c r="AJ23" s="3">
        <f>AI22-AJ22</f>
        <v/>
      </c>
      <c r="AK23" s="3">
        <f>AJ22-AK22</f>
        <v/>
      </c>
      <c r="AL23" s="3">
        <f>AK22-AL22</f>
        <v/>
      </c>
      <c r="AM23" s="3">
        <f>AL22-AM22</f>
        <v/>
      </c>
      <c r="AN23" s="3">
        <f>AM22-AN22</f>
        <v/>
      </c>
      <c r="AO23" s="3">
        <f>AN22-AO22</f>
        <v/>
      </c>
      <c r="AP23" s="3">
        <f>AO22-AP22</f>
        <v/>
      </c>
      <c r="AQ23" s="3">
        <f>AP22-AQ22</f>
        <v/>
      </c>
      <c r="AR23" s="3">
        <f>AQ22-AR22</f>
        <v/>
      </c>
      <c r="AS23" s="3">
        <f>AR22-AS22</f>
        <v/>
      </c>
      <c r="AT23" s="3">
        <f>AS22-AT22</f>
        <v/>
      </c>
      <c r="AU23" s="3">
        <f>AT22-AU22</f>
        <v/>
      </c>
      <c r="AV23" s="3">
        <f>AU22-AV22</f>
        <v/>
      </c>
      <c r="AW23" s="3">
        <f>AV22-AW22</f>
        <v/>
      </c>
      <c r="AX23" s="3">
        <f>AW22-AX22</f>
        <v/>
      </c>
      <c r="AY23" s="3">
        <f>AX22-AY22</f>
        <v/>
      </c>
      <c r="AZ23" s="3">
        <f>AY22-AZ22</f>
        <v/>
      </c>
      <c r="BA23" s="3">
        <f>AZ22-BA22</f>
        <v/>
      </c>
      <c r="BB23" s="3">
        <f>BA22-BB22</f>
        <v/>
      </c>
      <c r="BC23" s="3">
        <f>BB22-BC22</f>
        <v/>
      </c>
      <c r="BD23" s="3">
        <f>BC22-BD22</f>
        <v/>
      </c>
      <c r="BE23" s="3">
        <f>BD22-BE22</f>
        <v/>
      </c>
      <c r="BF23" s="3">
        <f>BE22-BF22</f>
        <v/>
      </c>
      <c r="BG23" s="3">
        <f>BF22-BG22</f>
        <v/>
      </c>
      <c r="BH23" s="3">
        <f>BG22-BH22</f>
        <v/>
      </c>
      <c r="BI23" s="3">
        <f>BH22-BI22</f>
        <v/>
      </c>
      <c r="BJ23" s="3">
        <f>BI22-BJ22</f>
        <v/>
      </c>
      <c r="BK23" s="3">
        <f>BJ22-BK22</f>
        <v/>
      </c>
      <c r="BL23" s="3">
        <f>BK22-BL22</f>
        <v/>
      </c>
      <c r="BM23" s="3">
        <f>BL22-BM22</f>
        <v/>
      </c>
      <c r="BN23" s="3">
        <f>BM22-BN22</f>
        <v/>
      </c>
      <c r="BO23" s="3">
        <f>BN22-BO22</f>
        <v/>
      </c>
      <c r="BP23" s="3">
        <f>BO22-BP22</f>
        <v/>
      </c>
      <c r="BQ23" s="3">
        <f>BP22-BQ22</f>
        <v/>
      </c>
      <c r="BR23" s="3">
        <f>BQ22-BR22</f>
        <v/>
      </c>
      <c r="BS23" s="3">
        <f>BR22-BS22</f>
        <v/>
      </c>
      <c r="BT23" s="3">
        <f>BS22-BT22</f>
        <v/>
      </c>
      <c r="BU23" s="3">
        <f>BT22-BU22</f>
        <v/>
      </c>
      <c r="BV23" s="3">
        <f>BU22-BV22</f>
        <v/>
      </c>
    </row>
    <row r="25">
      <c r="A25" t="inlineStr">
        <is>
          <t>opening book (Jan 2025)</t>
        </is>
      </c>
      <c r="B25" t="inlineStr">
        <is>
          <t>EUROPE|NITRO_A</t>
        </is>
      </c>
      <c r="C25" s="3">
        <f>Params!$B$19*Params!$B$52*Params!$B$76</f>
        <v/>
      </c>
    </row>
    <row r="26">
      <c r="A26" t="inlineStr">
        <is>
          <t>active</t>
        </is>
      </c>
      <c r="B26" t="inlineStr">
        <is>
          <t>EUROPE|NITRO_A</t>
        </is>
      </c>
      <c r="C26" s="3">
        <f>$C$25*((MOD(C$2,12)+1)*Params!$B$15^(INT(C$2/12)+1)+(11-MOD(C$2,12))*Params!$B$15^INT(C$2/12))/12</f>
        <v/>
      </c>
      <c r="D26" s="3">
        <f>$C$25*((MOD(D$2,12)+1)*Params!$B$15^(INT(D$2/12)+1)+(11-MOD(D$2,12))*Params!$B$15^INT(D$2/12))/12</f>
        <v/>
      </c>
      <c r="E26" s="3">
        <f>$C$25*((MOD(E$2,12)+1)*Params!$B$15^(INT(E$2/12)+1)+(11-MOD(E$2,12))*Params!$B$15^INT(E$2/12))/12</f>
        <v/>
      </c>
      <c r="F26" s="3">
        <f>$C$25*((MOD(F$2,12)+1)*Params!$B$15^(INT(F$2/12)+1)+(11-MOD(F$2,12))*Params!$B$15^INT(F$2/12))/12</f>
        <v/>
      </c>
      <c r="G26" s="3">
        <f>$C$25*((MOD(G$2,12)+1)*Params!$B$15^(INT(G$2/12)+1)+(11-MOD(G$2,12))*Params!$B$15^INT(G$2/12))/12</f>
        <v/>
      </c>
      <c r="H26" s="3">
        <f>$C$25*((MOD(H$2,12)+1)*Params!$B$15^(INT(H$2/12)+1)+(11-MOD(H$2,12))*Params!$B$15^INT(H$2/12))/12</f>
        <v/>
      </c>
      <c r="I26" s="3">
        <f>$C$25*((MOD(I$2,12)+1)*Params!$B$15^(INT(I$2/12)+1)+(11-MOD(I$2,12))*Params!$B$15^INT(I$2/12))/12</f>
        <v/>
      </c>
      <c r="J26" s="3">
        <f>$C$25*((MOD(J$2,12)+1)*Params!$B$15^(INT(J$2/12)+1)+(11-MOD(J$2,12))*Params!$B$15^INT(J$2/12))/12</f>
        <v/>
      </c>
      <c r="K26" s="3">
        <f>$C$25*((MOD(K$2,12)+1)*Params!$B$15^(INT(K$2/12)+1)+(11-MOD(K$2,12))*Params!$B$15^INT(K$2/12))/12</f>
        <v/>
      </c>
      <c r="L26" s="3">
        <f>$C$25*((MOD(L$2,12)+1)*Params!$B$15^(INT(L$2/12)+1)+(11-MOD(L$2,12))*Params!$B$15^INT(L$2/12))/12</f>
        <v/>
      </c>
      <c r="M26" s="3">
        <f>$C$25*((MOD(M$2,12)+1)*Params!$B$15^(INT(M$2/12)+1)+(11-MOD(M$2,12))*Params!$B$15^INT(M$2/12))/12</f>
        <v/>
      </c>
      <c r="N26" s="3">
        <f>$C$25*((MOD(N$2,12)+1)*Params!$B$15^(INT(N$2/12)+1)+(11-MOD(N$2,12))*Params!$B$15^INT(N$2/12))/12</f>
        <v/>
      </c>
      <c r="O26" s="3">
        <f>$C$25*((MOD(O$2,12)+1)*Params!$B$15^(INT(O$2/12)+1)+(11-MOD(O$2,12))*Params!$B$15^INT(O$2/12))/12</f>
        <v/>
      </c>
      <c r="P26" s="3">
        <f>$C$25*((MOD(P$2,12)+1)*Params!$B$15^(INT(P$2/12)+1)+(11-MOD(P$2,12))*Params!$B$15^INT(P$2/12))/12</f>
        <v/>
      </c>
      <c r="Q26" s="3">
        <f>$C$25*((MOD(Q$2,12)+1)*Params!$B$15^(INT(Q$2/12)+1)+(11-MOD(Q$2,12))*Params!$B$15^INT(Q$2/12))/12</f>
        <v/>
      </c>
      <c r="R26" s="3">
        <f>$C$25*((MOD(R$2,12)+1)*Params!$B$15^(INT(R$2/12)+1)+(11-MOD(R$2,12))*Params!$B$15^INT(R$2/12))/12</f>
        <v/>
      </c>
      <c r="S26" s="3">
        <f>$C$25*((MOD(S$2,12)+1)*Params!$B$15^(INT(S$2/12)+1)+(11-MOD(S$2,12))*Params!$B$15^INT(S$2/12))/12</f>
        <v/>
      </c>
      <c r="T26" s="3">
        <f>$C$25*((MOD(T$2,12)+1)*Params!$B$15^(INT(T$2/12)+1)+(11-MOD(T$2,12))*Params!$B$15^INT(T$2/12))/12</f>
        <v/>
      </c>
      <c r="U26" s="3">
        <f>$C$25*((MOD(U$2,12)+1)*Params!$B$15^(INT(U$2/12)+1)+(11-MOD(U$2,12))*Params!$B$15^INT(U$2/12))/12</f>
        <v/>
      </c>
      <c r="V26" s="3">
        <f>$C$25*((MOD(V$2,12)+1)*Params!$B$15^(INT(V$2/12)+1)+(11-MOD(V$2,12))*Params!$B$15^INT(V$2/12))/12</f>
        <v/>
      </c>
      <c r="W26" s="3">
        <f>$C$25*((MOD(W$2,12)+1)*Params!$B$15^(INT(W$2/12)+1)+(11-MOD(W$2,12))*Params!$B$15^INT(W$2/12))/12</f>
        <v/>
      </c>
      <c r="X26" s="3">
        <f>$C$25*((MOD(X$2,12)+1)*Params!$B$15^(INT(X$2/12)+1)+(11-MOD(X$2,12))*Params!$B$15^INT(X$2/12))/12</f>
        <v/>
      </c>
      <c r="Y26" s="3">
        <f>$C$25*((MOD(Y$2,12)+1)*Params!$B$15^(INT(Y$2/12)+1)+(11-MOD(Y$2,12))*Params!$B$15^INT(Y$2/12))/12</f>
        <v/>
      </c>
      <c r="Z26" s="3">
        <f>$C$25*((MOD(Z$2,12)+1)*Params!$B$15^(INT(Z$2/12)+1)+(11-MOD(Z$2,12))*Params!$B$15^INT(Z$2/12))/12</f>
        <v/>
      </c>
      <c r="AA26" s="3">
        <f>$C$25*((MOD(AA$2,12)+1)*Params!$B$15^(INT(AA$2/12)+1)+(11-MOD(AA$2,12))*Params!$B$15^INT(AA$2/12))/12</f>
        <v/>
      </c>
      <c r="AB26" s="3">
        <f>$C$25*((MOD(AB$2,12)+1)*Params!$B$15^(INT(AB$2/12)+1)+(11-MOD(AB$2,12))*Params!$B$15^INT(AB$2/12))/12</f>
        <v/>
      </c>
      <c r="AC26" s="3">
        <f>$C$25*((MOD(AC$2,12)+1)*Params!$B$15^(INT(AC$2/12)+1)+(11-MOD(AC$2,12))*Params!$B$15^INT(AC$2/12))/12</f>
        <v/>
      </c>
      <c r="AD26" s="3">
        <f>$C$25*((MOD(AD$2,12)+1)*Params!$B$15^(INT(AD$2/12)+1)+(11-MOD(AD$2,12))*Params!$B$15^INT(AD$2/12))/12</f>
        <v/>
      </c>
      <c r="AE26" s="3">
        <f>$C$25*((MOD(AE$2,12)+1)*Params!$B$15^(INT(AE$2/12)+1)+(11-MOD(AE$2,12))*Params!$B$15^INT(AE$2/12))/12</f>
        <v/>
      </c>
      <c r="AF26" s="3">
        <f>$C$25*((MOD(AF$2,12)+1)*Params!$B$15^(INT(AF$2/12)+1)+(11-MOD(AF$2,12))*Params!$B$15^INT(AF$2/12))/12</f>
        <v/>
      </c>
      <c r="AG26" s="3">
        <f>$C$25*((MOD(AG$2,12)+1)*Params!$B$15^(INT(AG$2/12)+1)+(11-MOD(AG$2,12))*Params!$B$15^INT(AG$2/12))/12</f>
        <v/>
      </c>
      <c r="AH26" s="3">
        <f>$C$25*((MOD(AH$2,12)+1)*Params!$B$15^(INT(AH$2/12)+1)+(11-MOD(AH$2,12))*Params!$B$15^INT(AH$2/12))/12</f>
        <v/>
      </c>
      <c r="AI26" s="3">
        <f>$C$25*((MOD(AI$2,12)+1)*Params!$B$15^(INT(AI$2/12)+1)+(11-MOD(AI$2,12))*Params!$B$15^INT(AI$2/12))/12</f>
        <v/>
      </c>
      <c r="AJ26" s="3">
        <f>$C$25*((MOD(AJ$2,12)+1)*Params!$B$15^(INT(AJ$2/12)+1)+(11-MOD(AJ$2,12))*Params!$B$15^INT(AJ$2/12))/12</f>
        <v/>
      </c>
      <c r="AK26" s="3">
        <f>$C$25*((MOD(AK$2,12)+1)*Params!$B$15^(INT(AK$2/12)+1)+(11-MOD(AK$2,12))*Params!$B$15^INT(AK$2/12))/12</f>
        <v/>
      </c>
      <c r="AL26" s="3">
        <f>$C$25*((MOD(AL$2,12)+1)*Params!$B$15^(INT(AL$2/12)+1)+(11-MOD(AL$2,12))*Params!$B$15^INT(AL$2/12))/12</f>
        <v/>
      </c>
      <c r="AM26" s="3">
        <f>$C$25*((MOD(AM$2,12)+1)*Params!$B$15^(INT(AM$2/12)+1)+(11-MOD(AM$2,12))*Params!$B$15^INT(AM$2/12))/12</f>
        <v/>
      </c>
      <c r="AN26" s="3">
        <f>$C$25*((MOD(AN$2,12)+1)*Params!$B$15^(INT(AN$2/12)+1)+(11-MOD(AN$2,12))*Params!$B$15^INT(AN$2/12))/12</f>
        <v/>
      </c>
      <c r="AO26" s="3">
        <f>$C$25*((MOD(AO$2,12)+1)*Params!$B$15^(INT(AO$2/12)+1)+(11-MOD(AO$2,12))*Params!$B$15^INT(AO$2/12))/12</f>
        <v/>
      </c>
      <c r="AP26" s="3">
        <f>$C$25*((MOD(AP$2,12)+1)*Params!$B$15^(INT(AP$2/12)+1)+(11-MOD(AP$2,12))*Params!$B$15^INT(AP$2/12))/12</f>
        <v/>
      </c>
      <c r="AQ26" s="3">
        <f>$C$25*((MOD(AQ$2,12)+1)*Params!$B$15^(INT(AQ$2/12)+1)+(11-MOD(AQ$2,12))*Params!$B$15^INT(AQ$2/12))/12</f>
        <v/>
      </c>
      <c r="AR26" s="3">
        <f>$C$25*((MOD(AR$2,12)+1)*Params!$B$15^(INT(AR$2/12)+1)+(11-MOD(AR$2,12))*Params!$B$15^INT(AR$2/12))/12</f>
        <v/>
      </c>
      <c r="AS26" s="3">
        <f>$C$25*((MOD(AS$2,12)+1)*Params!$B$15^(INT(AS$2/12)+1)+(11-MOD(AS$2,12))*Params!$B$15^INT(AS$2/12))/12</f>
        <v/>
      </c>
      <c r="AT26" s="3">
        <f>$C$25*((MOD(AT$2,12)+1)*Params!$B$15^(INT(AT$2/12)+1)+(11-MOD(AT$2,12))*Params!$B$15^INT(AT$2/12))/12</f>
        <v/>
      </c>
      <c r="AU26" s="3">
        <f>$C$25*((MOD(AU$2,12)+1)*Params!$B$15^(INT(AU$2/12)+1)+(11-MOD(AU$2,12))*Params!$B$15^INT(AU$2/12))/12</f>
        <v/>
      </c>
      <c r="AV26" s="3">
        <f>$C$25*((MOD(AV$2,12)+1)*Params!$B$15^(INT(AV$2/12)+1)+(11-MOD(AV$2,12))*Params!$B$15^INT(AV$2/12))/12</f>
        <v/>
      </c>
      <c r="AW26" s="3">
        <f>$C$25*((MOD(AW$2,12)+1)*Params!$B$15^(INT(AW$2/12)+1)+(11-MOD(AW$2,12))*Params!$B$15^INT(AW$2/12))/12</f>
        <v/>
      </c>
      <c r="AX26" s="3">
        <f>$C$25*((MOD(AX$2,12)+1)*Params!$B$15^(INT(AX$2/12)+1)+(11-MOD(AX$2,12))*Params!$B$15^INT(AX$2/12))/12</f>
        <v/>
      </c>
      <c r="AY26" s="3">
        <f>$C$25*((MOD(AY$2,12)+1)*Params!$B$15^(INT(AY$2/12)+1)+(11-MOD(AY$2,12))*Params!$B$15^INT(AY$2/12))/12</f>
        <v/>
      </c>
      <c r="AZ26" s="3">
        <f>$C$25*((MOD(AZ$2,12)+1)*Params!$B$15^(INT(AZ$2/12)+1)+(11-MOD(AZ$2,12))*Params!$B$15^INT(AZ$2/12))/12</f>
        <v/>
      </c>
      <c r="BA26" s="3">
        <f>$C$25*((MOD(BA$2,12)+1)*Params!$B$15^(INT(BA$2/12)+1)+(11-MOD(BA$2,12))*Params!$B$15^INT(BA$2/12))/12</f>
        <v/>
      </c>
      <c r="BB26" s="3">
        <f>$C$25*((MOD(BB$2,12)+1)*Params!$B$15^(INT(BB$2/12)+1)+(11-MOD(BB$2,12))*Params!$B$15^INT(BB$2/12))/12</f>
        <v/>
      </c>
      <c r="BC26" s="3">
        <f>$C$25*((MOD(BC$2,12)+1)*Params!$B$15^(INT(BC$2/12)+1)+(11-MOD(BC$2,12))*Params!$B$15^INT(BC$2/12))/12</f>
        <v/>
      </c>
      <c r="BD26" s="3">
        <f>$C$25*((MOD(BD$2,12)+1)*Params!$B$15^(INT(BD$2/12)+1)+(11-MOD(BD$2,12))*Params!$B$15^INT(BD$2/12))/12</f>
        <v/>
      </c>
      <c r="BE26" s="3">
        <f>$C$25*((MOD(BE$2,12)+1)*Params!$B$15^(INT(BE$2/12)+1)+(11-MOD(BE$2,12))*Params!$B$15^INT(BE$2/12))/12</f>
        <v/>
      </c>
      <c r="BF26" s="3">
        <f>$C$25*((MOD(BF$2,12)+1)*Params!$B$15^(INT(BF$2/12)+1)+(11-MOD(BF$2,12))*Params!$B$15^INT(BF$2/12))/12</f>
        <v/>
      </c>
      <c r="BG26" s="3">
        <f>$C$25*((MOD(BG$2,12)+1)*Params!$B$15^(INT(BG$2/12)+1)+(11-MOD(BG$2,12))*Params!$B$15^INT(BG$2/12))/12</f>
        <v/>
      </c>
      <c r="BH26" s="3">
        <f>$C$25*((MOD(BH$2,12)+1)*Params!$B$15^(INT(BH$2/12)+1)+(11-MOD(BH$2,12))*Params!$B$15^INT(BH$2/12))/12</f>
        <v/>
      </c>
      <c r="BI26" s="3">
        <f>$C$25*((MOD(BI$2,12)+1)*Params!$B$15^(INT(BI$2/12)+1)+(11-MOD(BI$2,12))*Params!$B$15^INT(BI$2/12))/12</f>
        <v/>
      </c>
      <c r="BJ26" s="3">
        <f>$C$25*((MOD(BJ$2,12)+1)*Params!$B$15^(INT(BJ$2/12)+1)+(11-MOD(BJ$2,12))*Params!$B$15^INT(BJ$2/12))/12</f>
        <v/>
      </c>
      <c r="BK26" s="3">
        <f>$C$25*((MOD(BK$2,12)+1)*Params!$B$15^(INT(BK$2/12)+1)+(11-MOD(BK$2,12))*Params!$B$15^INT(BK$2/12))/12</f>
        <v/>
      </c>
      <c r="BL26" s="3">
        <f>$C$25*((MOD(BL$2,12)+1)*Params!$B$15^(INT(BL$2/12)+1)+(11-MOD(BL$2,12))*Params!$B$15^INT(BL$2/12))/12</f>
        <v/>
      </c>
      <c r="BM26" s="3">
        <f>$C$25*((MOD(BM$2,12)+1)*Params!$B$15^(INT(BM$2/12)+1)+(11-MOD(BM$2,12))*Params!$B$15^INT(BM$2/12))/12</f>
        <v/>
      </c>
      <c r="BN26" s="3">
        <f>$C$25*((MOD(BN$2,12)+1)*Params!$B$15^(INT(BN$2/12)+1)+(11-MOD(BN$2,12))*Params!$B$15^INT(BN$2/12))/12</f>
        <v/>
      </c>
      <c r="BO26" s="3">
        <f>$C$25*((MOD(BO$2,12)+1)*Params!$B$15^(INT(BO$2/12)+1)+(11-MOD(BO$2,12))*Params!$B$15^INT(BO$2/12))/12</f>
        <v/>
      </c>
      <c r="BP26" s="3">
        <f>$C$25*((MOD(BP$2,12)+1)*Params!$B$15^(INT(BP$2/12)+1)+(11-MOD(BP$2,12))*Params!$B$15^INT(BP$2/12))/12</f>
        <v/>
      </c>
      <c r="BQ26" s="3">
        <f>$C$25*((MOD(BQ$2,12)+1)*Params!$B$15^(INT(BQ$2/12)+1)+(11-MOD(BQ$2,12))*Params!$B$15^INT(BQ$2/12))/12</f>
        <v/>
      </c>
      <c r="BR26" s="3">
        <f>$C$25*((MOD(BR$2,12)+1)*Params!$B$15^(INT(BR$2/12)+1)+(11-MOD(BR$2,12))*Params!$B$15^INT(BR$2/12))/12</f>
        <v/>
      </c>
      <c r="BS26" s="3">
        <f>$C$25*((MOD(BS$2,12)+1)*Params!$B$15^(INT(BS$2/12)+1)+(11-MOD(BS$2,12))*Params!$B$15^INT(BS$2/12))/12</f>
        <v/>
      </c>
      <c r="BT26" s="3">
        <f>$C$25*((MOD(BT$2,12)+1)*Params!$B$15^(INT(BT$2/12)+1)+(11-MOD(BT$2,12))*Params!$B$15^INT(BT$2/12))/12</f>
        <v/>
      </c>
      <c r="BU26" s="3">
        <f>$C$25*((MOD(BU$2,12)+1)*Params!$B$15^(INT(BU$2/12)+1)+(11-MOD(BU$2,12))*Params!$B$15^INT(BU$2/12))/12</f>
        <v/>
      </c>
      <c r="BV26" s="3">
        <f>$C$25*((MOD(BV$2,12)+1)*Params!$B$15^(INT(BV$2/12)+1)+(11-MOD(BV$2,12))*Params!$B$15^INT(BV$2/12))/12</f>
        <v/>
      </c>
    </row>
    <row r="27">
      <c r="A27" t="inlineStr">
        <is>
          <t>churned</t>
        </is>
      </c>
      <c r="B27" t="inlineStr">
        <is>
          <t>EUROPE|NITRO_A</t>
        </is>
      </c>
      <c r="C27" s="3">
        <f>$C$25-C26</f>
        <v/>
      </c>
      <c r="D27" s="3">
        <f>C26-D26</f>
        <v/>
      </c>
      <c r="E27" s="3">
        <f>D26-E26</f>
        <v/>
      </c>
      <c r="F27" s="3">
        <f>E26-F26</f>
        <v/>
      </c>
      <c r="G27" s="3">
        <f>F26-G26</f>
        <v/>
      </c>
      <c r="H27" s="3">
        <f>G26-H26</f>
        <v/>
      </c>
      <c r="I27" s="3">
        <f>H26-I26</f>
        <v/>
      </c>
      <c r="J27" s="3">
        <f>I26-J26</f>
        <v/>
      </c>
      <c r="K27" s="3">
        <f>J26-K26</f>
        <v/>
      </c>
      <c r="L27" s="3">
        <f>K26-L26</f>
        <v/>
      </c>
      <c r="M27" s="3">
        <f>L26-M26</f>
        <v/>
      </c>
      <c r="N27" s="3">
        <f>M26-N26</f>
        <v/>
      </c>
      <c r="O27" s="3">
        <f>N26-O26</f>
        <v/>
      </c>
      <c r="P27" s="3">
        <f>O26-P26</f>
        <v/>
      </c>
      <c r="Q27" s="3">
        <f>P26-Q26</f>
        <v/>
      </c>
      <c r="R27" s="3">
        <f>Q26-R26</f>
        <v/>
      </c>
      <c r="S27" s="3">
        <f>R26-S26</f>
        <v/>
      </c>
      <c r="T27" s="3">
        <f>S26-T26</f>
        <v/>
      </c>
      <c r="U27" s="3">
        <f>T26-U26</f>
        <v/>
      </c>
      <c r="V27" s="3">
        <f>U26-V26</f>
        <v/>
      </c>
      <c r="W27" s="3">
        <f>V26-W26</f>
        <v/>
      </c>
      <c r="X27" s="3">
        <f>W26-X26</f>
        <v/>
      </c>
      <c r="Y27" s="3">
        <f>X26-Y26</f>
        <v/>
      </c>
      <c r="Z27" s="3">
        <f>Y26-Z26</f>
        <v/>
      </c>
      <c r="AA27" s="3">
        <f>Z26-AA26</f>
        <v/>
      </c>
      <c r="AB27" s="3">
        <f>AA26-AB26</f>
        <v/>
      </c>
      <c r="AC27" s="3">
        <f>AB26-AC26</f>
        <v/>
      </c>
      <c r="AD27" s="3">
        <f>AC26-AD26</f>
        <v/>
      </c>
      <c r="AE27" s="3">
        <f>AD26-AE26</f>
        <v/>
      </c>
      <c r="AF27" s="3">
        <f>AE26-AF26</f>
        <v/>
      </c>
      <c r="AG27" s="3">
        <f>AF26-AG26</f>
        <v/>
      </c>
      <c r="AH27" s="3">
        <f>AG26-AH26</f>
        <v/>
      </c>
      <c r="AI27" s="3">
        <f>AH26-AI26</f>
        <v/>
      </c>
      <c r="AJ27" s="3">
        <f>AI26-AJ26</f>
        <v/>
      </c>
      <c r="AK27" s="3">
        <f>AJ26-AK26</f>
        <v/>
      </c>
      <c r="AL27" s="3">
        <f>AK26-AL26</f>
        <v/>
      </c>
      <c r="AM27" s="3">
        <f>AL26-AM26</f>
        <v/>
      </c>
      <c r="AN27" s="3">
        <f>AM26-AN26</f>
        <v/>
      </c>
      <c r="AO27" s="3">
        <f>AN26-AO26</f>
        <v/>
      </c>
      <c r="AP27" s="3">
        <f>AO26-AP26</f>
        <v/>
      </c>
      <c r="AQ27" s="3">
        <f>AP26-AQ26</f>
        <v/>
      </c>
      <c r="AR27" s="3">
        <f>AQ26-AR26</f>
        <v/>
      </c>
      <c r="AS27" s="3">
        <f>AR26-AS26</f>
        <v/>
      </c>
      <c r="AT27" s="3">
        <f>AS26-AT26</f>
        <v/>
      </c>
      <c r="AU27" s="3">
        <f>AT26-AU26</f>
        <v/>
      </c>
      <c r="AV27" s="3">
        <f>AU26-AV26</f>
        <v/>
      </c>
      <c r="AW27" s="3">
        <f>AV26-AW26</f>
        <v/>
      </c>
      <c r="AX27" s="3">
        <f>AW26-AX26</f>
        <v/>
      </c>
      <c r="AY27" s="3">
        <f>AX26-AY26</f>
        <v/>
      </c>
      <c r="AZ27" s="3">
        <f>AY26-AZ26</f>
        <v/>
      </c>
      <c r="BA27" s="3">
        <f>AZ26-BA26</f>
        <v/>
      </c>
      <c r="BB27" s="3">
        <f>BA26-BB26</f>
        <v/>
      </c>
      <c r="BC27" s="3">
        <f>BB26-BC26</f>
        <v/>
      </c>
      <c r="BD27" s="3">
        <f>BC26-BD26</f>
        <v/>
      </c>
      <c r="BE27" s="3">
        <f>BD26-BE26</f>
        <v/>
      </c>
      <c r="BF27" s="3">
        <f>BE26-BF26</f>
        <v/>
      </c>
      <c r="BG27" s="3">
        <f>BF26-BG26</f>
        <v/>
      </c>
      <c r="BH27" s="3">
        <f>BG26-BH26</f>
        <v/>
      </c>
      <c r="BI27" s="3">
        <f>BH26-BI26</f>
        <v/>
      </c>
      <c r="BJ27" s="3">
        <f>BI26-BJ26</f>
        <v/>
      </c>
      <c r="BK27" s="3">
        <f>BJ26-BK26</f>
        <v/>
      </c>
      <c r="BL27" s="3">
        <f>BK26-BL26</f>
        <v/>
      </c>
      <c r="BM27" s="3">
        <f>BL26-BM26</f>
        <v/>
      </c>
      <c r="BN27" s="3">
        <f>BM26-BN26</f>
        <v/>
      </c>
      <c r="BO27" s="3">
        <f>BN26-BO26</f>
        <v/>
      </c>
      <c r="BP27" s="3">
        <f>BO26-BP26</f>
        <v/>
      </c>
      <c r="BQ27" s="3">
        <f>BP26-BQ26</f>
        <v/>
      </c>
      <c r="BR27" s="3">
        <f>BQ26-BR26</f>
        <v/>
      </c>
      <c r="BS27" s="3">
        <f>BR26-BS26</f>
        <v/>
      </c>
      <c r="BT27" s="3">
        <f>BS26-BT26</f>
        <v/>
      </c>
      <c r="BU27" s="3">
        <f>BT26-BU26</f>
        <v/>
      </c>
      <c r="BV27" s="3">
        <f>BU26-BV26</f>
        <v/>
      </c>
    </row>
    <row r="29">
      <c r="A29" t="inlineStr">
        <is>
          <t>opening book (Jan 2025)</t>
        </is>
      </c>
      <c r="B29" t="inlineStr">
        <is>
          <t>EUROPE|BASIC_M</t>
        </is>
      </c>
      <c r="C29" s="3">
        <f>Params!$B$19*Params!$B$52*Params!$B$77</f>
        <v/>
      </c>
    </row>
    <row r="30">
      <c r="A30" t="inlineStr">
        <is>
          <t>active</t>
        </is>
      </c>
      <c r="B30" t="inlineStr">
        <is>
          <t>EUROPE|BASIC_M</t>
        </is>
      </c>
      <c r="C30" s="3">
        <f>$C$29*(1-Params!$B$20)^(C$2+1)</f>
        <v/>
      </c>
      <c r="D30" s="3">
        <f>$C$29*(1-Params!$B$20)^(D$2+1)</f>
        <v/>
      </c>
      <c r="E30" s="3">
        <f>$C$29*(1-Params!$B$20)^(E$2+1)</f>
        <v/>
      </c>
      <c r="F30" s="3">
        <f>$C$29*(1-Params!$B$20)^(F$2+1)</f>
        <v/>
      </c>
      <c r="G30" s="3">
        <f>$C$29*(1-Params!$B$20)^(G$2+1)</f>
        <v/>
      </c>
      <c r="H30" s="3">
        <f>$C$29*(1-Params!$B$20)^(H$2+1)</f>
        <v/>
      </c>
      <c r="I30" s="3">
        <f>$C$29*(1-Params!$B$20)^(I$2+1)</f>
        <v/>
      </c>
      <c r="J30" s="3">
        <f>$C$29*(1-Params!$B$20)^(J$2+1)</f>
        <v/>
      </c>
      <c r="K30" s="3">
        <f>$C$29*(1-Params!$B$20)^(K$2+1)</f>
        <v/>
      </c>
      <c r="L30" s="3">
        <f>$C$29*(1-Params!$B$20)^(L$2+1)</f>
        <v/>
      </c>
      <c r="M30" s="3">
        <f>$C$29*(1-Params!$B$20)^(M$2+1)</f>
        <v/>
      </c>
      <c r="N30" s="3">
        <f>$C$29*(1-Params!$B$20)^(N$2+1)</f>
        <v/>
      </c>
      <c r="O30" s="3">
        <f>$C$29*(1-Params!$B$20)^(O$2+1)</f>
        <v/>
      </c>
      <c r="P30" s="3">
        <f>$C$29*(1-Params!$B$20)^(P$2+1)</f>
        <v/>
      </c>
      <c r="Q30" s="3">
        <f>$C$29*(1-Params!$B$20)^(Q$2+1)</f>
        <v/>
      </c>
      <c r="R30" s="3">
        <f>$C$29*(1-Params!$B$20)^(R$2+1)</f>
        <v/>
      </c>
      <c r="S30" s="3">
        <f>$C$29*(1-Params!$B$20)^(S$2+1)</f>
        <v/>
      </c>
      <c r="T30" s="3">
        <f>$C$29*(1-Params!$B$20)^(T$2+1)</f>
        <v/>
      </c>
      <c r="U30" s="3">
        <f>$C$29*(1-Params!$B$20)^(U$2+1)</f>
        <v/>
      </c>
      <c r="V30" s="3">
        <f>$C$29*(1-Params!$B$20)^(V$2+1)</f>
        <v/>
      </c>
      <c r="W30" s="3">
        <f>$C$29*(1-Params!$B$20)^(W$2+1)</f>
        <v/>
      </c>
      <c r="X30" s="3">
        <f>$C$29*(1-Params!$B$20)^(X$2+1)</f>
        <v/>
      </c>
      <c r="Y30" s="3">
        <f>$C$29*(1-Params!$B$20)^(Y$2+1)</f>
        <v/>
      </c>
      <c r="Z30" s="3">
        <f>$C$29*(1-Params!$B$20)^(Z$2+1)</f>
        <v/>
      </c>
      <c r="AA30" s="3">
        <f>$C$29*(1-Params!$B$20)^(AA$2+1)</f>
        <v/>
      </c>
      <c r="AB30" s="3">
        <f>$C$29*(1-Params!$B$20)^(AB$2+1)</f>
        <v/>
      </c>
      <c r="AC30" s="3">
        <f>$C$29*(1-Params!$B$20)^(AC$2+1)</f>
        <v/>
      </c>
      <c r="AD30" s="3">
        <f>$C$29*(1-Params!$B$20)^(AD$2+1)</f>
        <v/>
      </c>
      <c r="AE30" s="3">
        <f>$C$29*(1-Params!$B$20)^(AE$2+1)</f>
        <v/>
      </c>
      <c r="AF30" s="3">
        <f>$C$29*(1-Params!$B$20)^(AF$2+1)</f>
        <v/>
      </c>
      <c r="AG30" s="3">
        <f>$C$29*(1-Params!$B$20)^(AG$2+1)</f>
        <v/>
      </c>
      <c r="AH30" s="3">
        <f>$C$29*(1-Params!$B$20)^(AH$2+1)</f>
        <v/>
      </c>
      <c r="AI30" s="3">
        <f>$C$29*(1-Params!$B$20)^(AI$2+1)</f>
        <v/>
      </c>
      <c r="AJ30" s="3">
        <f>$C$29*(1-Params!$B$20)^(AJ$2+1)</f>
        <v/>
      </c>
      <c r="AK30" s="3">
        <f>$C$29*(1-Params!$B$20)^(AK$2+1)</f>
        <v/>
      </c>
      <c r="AL30" s="3">
        <f>$C$29*(1-Params!$B$20)^(AL$2+1)</f>
        <v/>
      </c>
      <c r="AM30" s="3">
        <f>$C$29*(1-Params!$B$20)^(AM$2+1)</f>
        <v/>
      </c>
      <c r="AN30" s="3">
        <f>$C$29*(1-Params!$B$20)^(AN$2+1)</f>
        <v/>
      </c>
      <c r="AO30" s="3">
        <f>$C$29*(1-Params!$B$20)^(AO$2+1)</f>
        <v/>
      </c>
      <c r="AP30" s="3">
        <f>$C$29*(1-Params!$B$20)^(AP$2+1)</f>
        <v/>
      </c>
      <c r="AQ30" s="3">
        <f>$C$29*(1-Params!$B$20)^(AQ$2+1)</f>
        <v/>
      </c>
      <c r="AR30" s="3">
        <f>$C$29*(1-Params!$B$20)^(AR$2+1)</f>
        <v/>
      </c>
      <c r="AS30" s="3">
        <f>$C$29*(1-Params!$B$20)^(AS$2+1)</f>
        <v/>
      </c>
      <c r="AT30" s="3">
        <f>$C$29*(1-Params!$B$20)^(AT$2+1)</f>
        <v/>
      </c>
      <c r="AU30" s="3">
        <f>$C$29*(1-Params!$B$20)^(AU$2+1)</f>
        <v/>
      </c>
      <c r="AV30" s="3">
        <f>$C$29*(1-Params!$B$20)^(AV$2+1)</f>
        <v/>
      </c>
      <c r="AW30" s="3">
        <f>$C$29*(1-Params!$B$20)^(AW$2+1)</f>
        <v/>
      </c>
      <c r="AX30" s="3">
        <f>$C$29*(1-Params!$B$20)^(AX$2+1)</f>
        <v/>
      </c>
      <c r="AY30" s="3">
        <f>$C$29*(1-Params!$B$20)^(AY$2+1)</f>
        <v/>
      </c>
      <c r="AZ30" s="3">
        <f>$C$29*(1-Params!$B$20)^(AZ$2+1)</f>
        <v/>
      </c>
      <c r="BA30" s="3">
        <f>$C$29*(1-Params!$B$20)^(BA$2+1)</f>
        <v/>
      </c>
      <c r="BB30" s="3">
        <f>$C$29*(1-Params!$B$20)^(BB$2+1)</f>
        <v/>
      </c>
      <c r="BC30" s="3">
        <f>$C$29*(1-Params!$B$20)^(BC$2+1)</f>
        <v/>
      </c>
      <c r="BD30" s="3">
        <f>$C$29*(1-Params!$B$20)^(BD$2+1)</f>
        <v/>
      </c>
      <c r="BE30" s="3">
        <f>$C$29*(1-Params!$B$20)^(BE$2+1)</f>
        <v/>
      </c>
      <c r="BF30" s="3">
        <f>$C$29*(1-Params!$B$20)^(BF$2+1)</f>
        <v/>
      </c>
      <c r="BG30" s="3">
        <f>$C$29*(1-Params!$B$20)^(BG$2+1)</f>
        <v/>
      </c>
      <c r="BH30" s="3">
        <f>$C$29*(1-Params!$B$20)^(BH$2+1)</f>
        <v/>
      </c>
      <c r="BI30" s="3">
        <f>$C$29*(1-Params!$B$20)^(BI$2+1)</f>
        <v/>
      </c>
      <c r="BJ30" s="3">
        <f>$C$29*(1-Params!$B$20)^(BJ$2+1)</f>
        <v/>
      </c>
      <c r="BK30" s="3">
        <f>$C$29*(1-Params!$B$20)^(BK$2+1)</f>
        <v/>
      </c>
      <c r="BL30" s="3">
        <f>$C$29*(1-Params!$B$20)^(BL$2+1)</f>
        <v/>
      </c>
      <c r="BM30" s="3">
        <f>$C$29*(1-Params!$B$20)^(BM$2+1)</f>
        <v/>
      </c>
      <c r="BN30" s="3">
        <f>$C$29*(1-Params!$B$20)^(BN$2+1)</f>
        <v/>
      </c>
      <c r="BO30" s="3">
        <f>$C$29*(1-Params!$B$20)^(BO$2+1)</f>
        <v/>
      </c>
      <c r="BP30" s="3">
        <f>$C$29*(1-Params!$B$20)^(BP$2+1)</f>
        <v/>
      </c>
      <c r="BQ30" s="3">
        <f>$C$29*(1-Params!$B$20)^(BQ$2+1)</f>
        <v/>
      </c>
      <c r="BR30" s="3">
        <f>$C$29*(1-Params!$B$20)^(BR$2+1)</f>
        <v/>
      </c>
      <c r="BS30" s="3">
        <f>$C$29*(1-Params!$B$20)^(BS$2+1)</f>
        <v/>
      </c>
      <c r="BT30" s="3">
        <f>$C$29*(1-Params!$B$20)^(BT$2+1)</f>
        <v/>
      </c>
      <c r="BU30" s="3">
        <f>$C$29*(1-Params!$B$20)^(BU$2+1)</f>
        <v/>
      </c>
      <c r="BV30" s="3">
        <f>$C$29*(1-Params!$B$20)^(BV$2+1)</f>
        <v/>
      </c>
    </row>
    <row r="31">
      <c r="A31" t="inlineStr">
        <is>
          <t>churned</t>
        </is>
      </c>
      <c r="B31" t="inlineStr">
        <is>
          <t>EUROPE|BASIC_M</t>
        </is>
      </c>
      <c r="C31" s="3">
        <f>$C$29-C30</f>
        <v/>
      </c>
      <c r="D31" s="3">
        <f>C30-D30</f>
        <v/>
      </c>
      <c r="E31" s="3">
        <f>D30-E30</f>
        <v/>
      </c>
      <c r="F31" s="3">
        <f>E30-F30</f>
        <v/>
      </c>
      <c r="G31" s="3">
        <f>F30-G30</f>
        <v/>
      </c>
      <c r="H31" s="3">
        <f>G30-H30</f>
        <v/>
      </c>
      <c r="I31" s="3">
        <f>H30-I30</f>
        <v/>
      </c>
      <c r="J31" s="3">
        <f>I30-J30</f>
        <v/>
      </c>
      <c r="K31" s="3">
        <f>J30-K30</f>
        <v/>
      </c>
      <c r="L31" s="3">
        <f>K30-L30</f>
        <v/>
      </c>
      <c r="M31" s="3">
        <f>L30-M30</f>
        <v/>
      </c>
      <c r="N31" s="3">
        <f>M30-N30</f>
        <v/>
      </c>
      <c r="O31" s="3">
        <f>N30-O30</f>
        <v/>
      </c>
      <c r="P31" s="3">
        <f>O30-P30</f>
        <v/>
      </c>
      <c r="Q31" s="3">
        <f>P30-Q30</f>
        <v/>
      </c>
      <c r="R31" s="3">
        <f>Q30-R30</f>
        <v/>
      </c>
      <c r="S31" s="3">
        <f>R30-S30</f>
        <v/>
      </c>
      <c r="T31" s="3">
        <f>S30-T30</f>
        <v/>
      </c>
      <c r="U31" s="3">
        <f>T30-U30</f>
        <v/>
      </c>
      <c r="V31" s="3">
        <f>U30-V30</f>
        <v/>
      </c>
      <c r="W31" s="3">
        <f>V30-W30</f>
        <v/>
      </c>
      <c r="X31" s="3">
        <f>W30-X30</f>
        <v/>
      </c>
      <c r="Y31" s="3">
        <f>X30-Y30</f>
        <v/>
      </c>
      <c r="Z31" s="3">
        <f>Y30-Z30</f>
        <v/>
      </c>
      <c r="AA31" s="3">
        <f>Z30-AA30</f>
        <v/>
      </c>
      <c r="AB31" s="3">
        <f>AA30-AB30</f>
        <v/>
      </c>
      <c r="AC31" s="3">
        <f>AB30-AC30</f>
        <v/>
      </c>
      <c r="AD31" s="3">
        <f>AC30-AD30</f>
        <v/>
      </c>
      <c r="AE31" s="3">
        <f>AD30-AE30</f>
        <v/>
      </c>
      <c r="AF31" s="3">
        <f>AE30-AF30</f>
        <v/>
      </c>
      <c r="AG31" s="3">
        <f>AF30-AG30</f>
        <v/>
      </c>
      <c r="AH31" s="3">
        <f>AG30-AH30</f>
        <v/>
      </c>
      <c r="AI31" s="3">
        <f>AH30-AI30</f>
        <v/>
      </c>
      <c r="AJ31" s="3">
        <f>AI30-AJ30</f>
        <v/>
      </c>
      <c r="AK31" s="3">
        <f>AJ30-AK30</f>
        <v/>
      </c>
      <c r="AL31" s="3">
        <f>AK30-AL30</f>
        <v/>
      </c>
      <c r="AM31" s="3">
        <f>AL30-AM30</f>
        <v/>
      </c>
      <c r="AN31" s="3">
        <f>AM30-AN30</f>
        <v/>
      </c>
      <c r="AO31" s="3">
        <f>AN30-AO30</f>
        <v/>
      </c>
      <c r="AP31" s="3">
        <f>AO30-AP30</f>
        <v/>
      </c>
      <c r="AQ31" s="3">
        <f>AP30-AQ30</f>
        <v/>
      </c>
      <c r="AR31" s="3">
        <f>AQ30-AR30</f>
        <v/>
      </c>
      <c r="AS31" s="3">
        <f>AR30-AS30</f>
        <v/>
      </c>
      <c r="AT31" s="3">
        <f>AS30-AT30</f>
        <v/>
      </c>
      <c r="AU31" s="3">
        <f>AT30-AU30</f>
        <v/>
      </c>
      <c r="AV31" s="3">
        <f>AU30-AV30</f>
        <v/>
      </c>
      <c r="AW31" s="3">
        <f>AV30-AW30</f>
        <v/>
      </c>
      <c r="AX31" s="3">
        <f>AW30-AX30</f>
        <v/>
      </c>
      <c r="AY31" s="3">
        <f>AX30-AY30</f>
        <v/>
      </c>
      <c r="AZ31" s="3">
        <f>AY30-AZ30</f>
        <v/>
      </c>
      <c r="BA31" s="3">
        <f>AZ30-BA30</f>
        <v/>
      </c>
      <c r="BB31" s="3">
        <f>BA30-BB30</f>
        <v/>
      </c>
      <c r="BC31" s="3">
        <f>BB30-BC30</f>
        <v/>
      </c>
      <c r="BD31" s="3">
        <f>BC30-BD30</f>
        <v/>
      </c>
      <c r="BE31" s="3">
        <f>BD30-BE30</f>
        <v/>
      </c>
      <c r="BF31" s="3">
        <f>BE30-BF30</f>
        <v/>
      </c>
      <c r="BG31" s="3">
        <f>BF30-BG30</f>
        <v/>
      </c>
      <c r="BH31" s="3">
        <f>BG30-BH30</f>
        <v/>
      </c>
      <c r="BI31" s="3">
        <f>BH30-BI30</f>
        <v/>
      </c>
      <c r="BJ31" s="3">
        <f>BI30-BJ30</f>
        <v/>
      </c>
      <c r="BK31" s="3">
        <f>BJ30-BK30</f>
        <v/>
      </c>
      <c r="BL31" s="3">
        <f>BK30-BL30</f>
        <v/>
      </c>
      <c r="BM31" s="3">
        <f>BL30-BM30</f>
        <v/>
      </c>
      <c r="BN31" s="3">
        <f>BM30-BN30</f>
        <v/>
      </c>
      <c r="BO31" s="3">
        <f>BN30-BO30</f>
        <v/>
      </c>
      <c r="BP31" s="3">
        <f>BO30-BP30</f>
        <v/>
      </c>
      <c r="BQ31" s="3">
        <f>BP30-BQ30</f>
        <v/>
      </c>
      <c r="BR31" s="3">
        <f>BQ30-BR30</f>
        <v/>
      </c>
      <c r="BS31" s="3">
        <f>BR30-BS30</f>
        <v/>
      </c>
      <c r="BT31" s="3">
        <f>BS30-BT30</f>
        <v/>
      </c>
      <c r="BU31" s="3">
        <f>BT30-BU30</f>
        <v/>
      </c>
      <c r="BV31" s="3">
        <f>BU30-BV30</f>
        <v/>
      </c>
    </row>
    <row r="33">
      <c r="A33" t="inlineStr">
        <is>
          <t>opening book (Jan 2025)</t>
        </is>
      </c>
      <c r="B33" t="inlineStr">
        <is>
          <t>EUROPE|BASIC_A</t>
        </is>
      </c>
      <c r="C33" s="3">
        <f>Params!$B$19*Params!$B$52*Params!$B$78</f>
        <v/>
      </c>
    </row>
    <row r="34">
      <c r="A34" t="inlineStr">
        <is>
          <t>active</t>
        </is>
      </c>
      <c r="B34" t="inlineStr">
        <is>
          <t>EUROPE|BASIC_A</t>
        </is>
      </c>
      <c r="C34" s="3">
        <f>$C$33*((MOD(C$2,12)+1)*Params!$B$15^(INT(C$2/12)+1)+(11-MOD(C$2,12))*Params!$B$15^INT(C$2/12))/12</f>
        <v/>
      </c>
      <c r="D34" s="3">
        <f>$C$33*((MOD(D$2,12)+1)*Params!$B$15^(INT(D$2/12)+1)+(11-MOD(D$2,12))*Params!$B$15^INT(D$2/12))/12</f>
        <v/>
      </c>
      <c r="E34" s="3">
        <f>$C$33*((MOD(E$2,12)+1)*Params!$B$15^(INT(E$2/12)+1)+(11-MOD(E$2,12))*Params!$B$15^INT(E$2/12))/12</f>
        <v/>
      </c>
      <c r="F34" s="3">
        <f>$C$33*((MOD(F$2,12)+1)*Params!$B$15^(INT(F$2/12)+1)+(11-MOD(F$2,12))*Params!$B$15^INT(F$2/12))/12</f>
        <v/>
      </c>
      <c r="G34" s="3">
        <f>$C$33*((MOD(G$2,12)+1)*Params!$B$15^(INT(G$2/12)+1)+(11-MOD(G$2,12))*Params!$B$15^INT(G$2/12))/12</f>
        <v/>
      </c>
      <c r="H34" s="3">
        <f>$C$33*((MOD(H$2,12)+1)*Params!$B$15^(INT(H$2/12)+1)+(11-MOD(H$2,12))*Params!$B$15^INT(H$2/12))/12</f>
        <v/>
      </c>
      <c r="I34" s="3">
        <f>$C$33*((MOD(I$2,12)+1)*Params!$B$15^(INT(I$2/12)+1)+(11-MOD(I$2,12))*Params!$B$15^INT(I$2/12))/12</f>
        <v/>
      </c>
      <c r="J34" s="3">
        <f>$C$33*((MOD(J$2,12)+1)*Params!$B$15^(INT(J$2/12)+1)+(11-MOD(J$2,12))*Params!$B$15^INT(J$2/12))/12</f>
        <v/>
      </c>
      <c r="K34" s="3">
        <f>$C$33*((MOD(K$2,12)+1)*Params!$B$15^(INT(K$2/12)+1)+(11-MOD(K$2,12))*Params!$B$15^INT(K$2/12))/12</f>
        <v/>
      </c>
      <c r="L34" s="3">
        <f>$C$33*((MOD(L$2,12)+1)*Params!$B$15^(INT(L$2/12)+1)+(11-MOD(L$2,12))*Params!$B$15^INT(L$2/12))/12</f>
        <v/>
      </c>
      <c r="M34" s="3">
        <f>$C$33*((MOD(M$2,12)+1)*Params!$B$15^(INT(M$2/12)+1)+(11-MOD(M$2,12))*Params!$B$15^INT(M$2/12))/12</f>
        <v/>
      </c>
      <c r="N34" s="3">
        <f>$C$33*((MOD(N$2,12)+1)*Params!$B$15^(INT(N$2/12)+1)+(11-MOD(N$2,12))*Params!$B$15^INT(N$2/12))/12</f>
        <v/>
      </c>
      <c r="O34" s="3">
        <f>$C$33*((MOD(O$2,12)+1)*Params!$B$15^(INT(O$2/12)+1)+(11-MOD(O$2,12))*Params!$B$15^INT(O$2/12))/12</f>
        <v/>
      </c>
      <c r="P34" s="3">
        <f>$C$33*((MOD(P$2,12)+1)*Params!$B$15^(INT(P$2/12)+1)+(11-MOD(P$2,12))*Params!$B$15^INT(P$2/12))/12</f>
        <v/>
      </c>
      <c r="Q34" s="3">
        <f>$C$33*((MOD(Q$2,12)+1)*Params!$B$15^(INT(Q$2/12)+1)+(11-MOD(Q$2,12))*Params!$B$15^INT(Q$2/12))/12</f>
        <v/>
      </c>
      <c r="R34" s="3">
        <f>$C$33*((MOD(R$2,12)+1)*Params!$B$15^(INT(R$2/12)+1)+(11-MOD(R$2,12))*Params!$B$15^INT(R$2/12))/12</f>
        <v/>
      </c>
      <c r="S34" s="3">
        <f>$C$33*((MOD(S$2,12)+1)*Params!$B$15^(INT(S$2/12)+1)+(11-MOD(S$2,12))*Params!$B$15^INT(S$2/12))/12</f>
        <v/>
      </c>
      <c r="T34" s="3">
        <f>$C$33*((MOD(T$2,12)+1)*Params!$B$15^(INT(T$2/12)+1)+(11-MOD(T$2,12))*Params!$B$15^INT(T$2/12))/12</f>
        <v/>
      </c>
      <c r="U34" s="3">
        <f>$C$33*((MOD(U$2,12)+1)*Params!$B$15^(INT(U$2/12)+1)+(11-MOD(U$2,12))*Params!$B$15^INT(U$2/12))/12</f>
        <v/>
      </c>
      <c r="V34" s="3">
        <f>$C$33*((MOD(V$2,12)+1)*Params!$B$15^(INT(V$2/12)+1)+(11-MOD(V$2,12))*Params!$B$15^INT(V$2/12))/12</f>
        <v/>
      </c>
      <c r="W34" s="3">
        <f>$C$33*((MOD(W$2,12)+1)*Params!$B$15^(INT(W$2/12)+1)+(11-MOD(W$2,12))*Params!$B$15^INT(W$2/12))/12</f>
        <v/>
      </c>
      <c r="X34" s="3">
        <f>$C$33*((MOD(X$2,12)+1)*Params!$B$15^(INT(X$2/12)+1)+(11-MOD(X$2,12))*Params!$B$15^INT(X$2/12))/12</f>
        <v/>
      </c>
      <c r="Y34" s="3">
        <f>$C$33*((MOD(Y$2,12)+1)*Params!$B$15^(INT(Y$2/12)+1)+(11-MOD(Y$2,12))*Params!$B$15^INT(Y$2/12))/12</f>
        <v/>
      </c>
      <c r="Z34" s="3">
        <f>$C$33*((MOD(Z$2,12)+1)*Params!$B$15^(INT(Z$2/12)+1)+(11-MOD(Z$2,12))*Params!$B$15^INT(Z$2/12))/12</f>
        <v/>
      </c>
      <c r="AA34" s="3">
        <f>$C$33*((MOD(AA$2,12)+1)*Params!$B$15^(INT(AA$2/12)+1)+(11-MOD(AA$2,12))*Params!$B$15^INT(AA$2/12))/12</f>
        <v/>
      </c>
      <c r="AB34" s="3">
        <f>$C$33*((MOD(AB$2,12)+1)*Params!$B$15^(INT(AB$2/12)+1)+(11-MOD(AB$2,12))*Params!$B$15^INT(AB$2/12))/12</f>
        <v/>
      </c>
      <c r="AC34" s="3">
        <f>$C$33*((MOD(AC$2,12)+1)*Params!$B$15^(INT(AC$2/12)+1)+(11-MOD(AC$2,12))*Params!$B$15^INT(AC$2/12))/12</f>
        <v/>
      </c>
      <c r="AD34" s="3">
        <f>$C$33*((MOD(AD$2,12)+1)*Params!$B$15^(INT(AD$2/12)+1)+(11-MOD(AD$2,12))*Params!$B$15^INT(AD$2/12))/12</f>
        <v/>
      </c>
      <c r="AE34" s="3">
        <f>$C$33*((MOD(AE$2,12)+1)*Params!$B$15^(INT(AE$2/12)+1)+(11-MOD(AE$2,12))*Params!$B$15^INT(AE$2/12))/12</f>
        <v/>
      </c>
      <c r="AF34" s="3">
        <f>$C$33*((MOD(AF$2,12)+1)*Params!$B$15^(INT(AF$2/12)+1)+(11-MOD(AF$2,12))*Params!$B$15^INT(AF$2/12))/12</f>
        <v/>
      </c>
      <c r="AG34" s="3">
        <f>$C$33*((MOD(AG$2,12)+1)*Params!$B$15^(INT(AG$2/12)+1)+(11-MOD(AG$2,12))*Params!$B$15^INT(AG$2/12))/12</f>
        <v/>
      </c>
      <c r="AH34" s="3">
        <f>$C$33*((MOD(AH$2,12)+1)*Params!$B$15^(INT(AH$2/12)+1)+(11-MOD(AH$2,12))*Params!$B$15^INT(AH$2/12))/12</f>
        <v/>
      </c>
      <c r="AI34" s="3">
        <f>$C$33*((MOD(AI$2,12)+1)*Params!$B$15^(INT(AI$2/12)+1)+(11-MOD(AI$2,12))*Params!$B$15^INT(AI$2/12))/12</f>
        <v/>
      </c>
      <c r="AJ34" s="3">
        <f>$C$33*((MOD(AJ$2,12)+1)*Params!$B$15^(INT(AJ$2/12)+1)+(11-MOD(AJ$2,12))*Params!$B$15^INT(AJ$2/12))/12</f>
        <v/>
      </c>
      <c r="AK34" s="3">
        <f>$C$33*((MOD(AK$2,12)+1)*Params!$B$15^(INT(AK$2/12)+1)+(11-MOD(AK$2,12))*Params!$B$15^INT(AK$2/12))/12</f>
        <v/>
      </c>
      <c r="AL34" s="3">
        <f>$C$33*((MOD(AL$2,12)+1)*Params!$B$15^(INT(AL$2/12)+1)+(11-MOD(AL$2,12))*Params!$B$15^INT(AL$2/12))/12</f>
        <v/>
      </c>
      <c r="AM34" s="3">
        <f>$C$33*((MOD(AM$2,12)+1)*Params!$B$15^(INT(AM$2/12)+1)+(11-MOD(AM$2,12))*Params!$B$15^INT(AM$2/12))/12</f>
        <v/>
      </c>
      <c r="AN34" s="3">
        <f>$C$33*((MOD(AN$2,12)+1)*Params!$B$15^(INT(AN$2/12)+1)+(11-MOD(AN$2,12))*Params!$B$15^INT(AN$2/12))/12</f>
        <v/>
      </c>
      <c r="AO34" s="3">
        <f>$C$33*((MOD(AO$2,12)+1)*Params!$B$15^(INT(AO$2/12)+1)+(11-MOD(AO$2,12))*Params!$B$15^INT(AO$2/12))/12</f>
        <v/>
      </c>
      <c r="AP34" s="3">
        <f>$C$33*((MOD(AP$2,12)+1)*Params!$B$15^(INT(AP$2/12)+1)+(11-MOD(AP$2,12))*Params!$B$15^INT(AP$2/12))/12</f>
        <v/>
      </c>
      <c r="AQ34" s="3">
        <f>$C$33*((MOD(AQ$2,12)+1)*Params!$B$15^(INT(AQ$2/12)+1)+(11-MOD(AQ$2,12))*Params!$B$15^INT(AQ$2/12))/12</f>
        <v/>
      </c>
      <c r="AR34" s="3">
        <f>$C$33*((MOD(AR$2,12)+1)*Params!$B$15^(INT(AR$2/12)+1)+(11-MOD(AR$2,12))*Params!$B$15^INT(AR$2/12))/12</f>
        <v/>
      </c>
      <c r="AS34" s="3">
        <f>$C$33*((MOD(AS$2,12)+1)*Params!$B$15^(INT(AS$2/12)+1)+(11-MOD(AS$2,12))*Params!$B$15^INT(AS$2/12))/12</f>
        <v/>
      </c>
      <c r="AT34" s="3">
        <f>$C$33*((MOD(AT$2,12)+1)*Params!$B$15^(INT(AT$2/12)+1)+(11-MOD(AT$2,12))*Params!$B$15^INT(AT$2/12))/12</f>
        <v/>
      </c>
      <c r="AU34" s="3">
        <f>$C$33*((MOD(AU$2,12)+1)*Params!$B$15^(INT(AU$2/12)+1)+(11-MOD(AU$2,12))*Params!$B$15^INT(AU$2/12))/12</f>
        <v/>
      </c>
      <c r="AV34" s="3">
        <f>$C$33*((MOD(AV$2,12)+1)*Params!$B$15^(INT(AV$2/12)+1)+(11-MOD(AV$2,12))*Params!$B$15^INT(AV$2/12))/12</f>
        <v/>
      </c>
      <c r="AW34" s="3">
        <f>$C$33*((MOD(AW$2,12)+1)*Params!$B$15^(INT(AW$2/12)+1)+(11-MOD(AW$2,12))*Params!$B$15^INT(AW$2/12))/12</f>
        <v/>
      </c>
      <c r="AX34" s="3">
        <f>$C$33*((MOD(AX$2,12)+1)*Params!$B$15^(INT(AX$2/12)+1)+(11-MOD(AX$2,12))*Params!$B$15^INT(AX$2/12))/12</f>
        <v/>
      </c>
      <c r="AY34" s="3">
        <f>$C$33*((MOD(AY$2,12)+1)*Params!$B$15^(INT(AY$2/12)+1)+(11-MOD(AY$2,12))*Params!$B$15^INT(AY$2/12))/12</f>
        <v/>
      </c>
      <c r="AZ34" s="3">
        <f>$C$33*((MOD(AZ$2,12)+1)*Params!$B$15^(INT(AZ$2/12)+1)+(11-MOD(AZ$2,12))*Params!$B$15^INT(AZ$2/12))/12</f>
        <v/>
      </c>
      <c r="BA34" s="3">
        <f>$C$33*((MOD(BA$2,12)+1)*Params!$B$15^(INT(BA$2/12)+1)+(11-MOD(BA$2,12))*Params!$B$15^INT(BA$2/12))/12</f>
        <v/>
      </c>
      <c r="BB34" s="3">
        <f>$C$33*((MOD(BB$2,12)+1)*Params!$B$15^(INT(BB$2/12)+1)+(11-MOD(BB$2,12))*Params!$B$15^INT(BB$2/12))/12</f>
        <v/>
      </c>
      <c r="BC34" s="3">
        <f>$C$33*((MOD(BC$2,12)+1)*Params!$B$15^(INT(BC$2/12)+1)+(11-MOD(BC$2,12))*Params!$B$15^INT(BC$2/12))/12</f>
        <v/>
      </c>
      <c r="BD34" s="3">
        <f>$C$33*((MOD(BD$2,12)+1)*Params!$B$15^(INT(BD$2/12)+1)+(11-MOD(BD$2,12))*Params!$B$15^INT(BD$2/12))/12</f>
        <v/>
      </c>
      <c r="BE34" s="3">
        <f>$C$33*((MOD(BE$2,12)+1)*Params!$B$15^(INT(BE$2/12)+1)+(11-MOD(BE$2,12))*Params!$B$15^INT(BE$2/12))/12</f>
        <v/>
      </c>
      <c r="BF34" s="3">
        <f>$C$33*((MOD(BF$2,12)+1)*Params!$B$15^(INT(BF$2/12)+1)+(11-MOD(BF$2,12))*Params!$B$15^INT(BF$2/12))/12</f>
        <v/>
      </c>
      <c r="BG34" s="3">
        <f>$C$33*((MOD(BG$2,12)+1)*Params!$B$15^(INT(BG$2/12)+1)+(11-MOD(BG$2,12))*Params!$B$15^INT(BG$2/12))/12</f>
        <v/>
      </c>
      <c r="BH34" s="3">
        <f>$C$33*((MOD(BH$2,12)+1)*Params!$B$15^(INT(BH$2/12)+1)+(11-MOD(BH$2,12))*Params!$B$15^INT(BH$2/12))/12</f>
        <v/>
      </c>
      <c r="BI34" s="3">
        <f>$C$33*((MOD(BI$2,12)+1)*Params!$B$15^(INT(BI$2/12)+1)+(11-MOD(BI$2,12))*Params!$B$15^INT(BI$2/12))/12</f>
        <v/>
      </c>
      <c r="BJ34" s="3">
        <f>$C$33*((MOD(BJ$2,12)+1)*Params!$B$15^(INT(BJ$2/12)+1)+(11-MOD(BJ$2,12))*Params!$B$15^INT(BJ$2/12))/12</f>
        <v/>
      </c>
      <c r="BK34" s="3">
        <f>$C$33*((MOD(BK$2,12)+1)*Params!$B$15^(INT(BK$2/12)+1)+(11-MOD(BK$2,12))*Params!$B$15^INT(BK$2/12))/12</f>
        <v/>
      </c>
      <c r="BL34" s="3">
        <f>$C$33*((MOD(BL$2,12)+1)*Params!$B$15^(INT(BL$2/12)+1)+(11-MOD(BL$2,12))*Params!$B$15^INT(BL$2/12))/12</f>
        <v/>
      </c>
      <c r="BM34" s="3">
        <f>$C$33*((MOD(BM$2,12)+1)*Params!$B$15^(INT(BM$2/12)+1)+(11-MOD(BM$2,12))*Params!$B$15^INT(BM$2/12))/12</f>
        <v/>
      </c>
      <c r="BN34" s="3">
        <f>$C$33*((MOD(BN$2,12)+1)*Params!$B$15^(INT(BN$2/12)+1)+(11-MOD(BN$2,12))*Params!$B$15^INT(BN$2/12))/12</f>
        <v/>
      </c>
      <c r="BO34" s="3">
        <f>$C$33*((MOD(BO$2,12)+1)*Params!$B$15^(INT(BO$2/12)+1)+(11-MOD(BO$2,12))*Params!$B$15^INT(BO$2/12))/12</f>
        <v/>
      </c>
      <c r="BP34" s="3">
        <f>$C$33*((MOD(BP$2,12)+1)*Params!$B$15^(INT(BP$2/12)+1)+(11-MOD(BP$2,12))*Params!$B$15^INT(BP$2/12))/12</f>
        <v/>
      </c>
      <c r="BQ34" s="3">
        <f>$C$33*((MOD(BQ$2,12)+1)*Params!$B$15^(INT(BQ$2/12)+1)+(11-MOD(BQ$2,12))*Params!$B$15^INT(BQ$2/12))/12</f>
        <v/>
      </c>
      <c r="BR34" s="3">
        <f>$C$33*((MOD(BR$2,12)+1)*Params!$B$15^(INT(BR$2/12)+1)+(11-MOD(BR$2,12))*Params!$B$15^INT(BR$2/12))/12</f>
        <v/>
      </c>
      <c r="BS34" s="3">
        <f>$C$33*((MOD(BS$2,12)+1)*Params!$B$15^(INT(BS$2/12)+1)+(11-MOD(BS$2,12))*Params!$B$15^INT(BS$2/12))/12</f>
        <v/>
      </c>
      <c r="BT34" s="3">
        <f>$C$33*((MOD(BT$2,12)+1)*Params!$B$15^(INT(BT$2/12)+1)+(11-MOD(BT$2,12))*Params!$B$15^INT(BT$2/12))/12</f>
        <v/>
      </c>
      <c r="BU34" s="3">
        <f>$C$33*((MOD(BU$2,12)+1)*Params!$B$15^(INT(BU$2/12)+1)+(11-MOD(BU$2,12))*Params!$B$15^INT(BU$2/12))/12</f>
        <v/>
      </c>
      <c r="BV34" s="3">
        <f>$C$33*((MOD(BV$2,12)+1)*Params!$B$15^(INT(BV$2/12)+1)+(11-MOD(BV$2,12))*Params!$B$15^INT(BV$2/12))/12</f>
        <v/>
      </c>
    </row>
    <row r="35">
      <c r="A35" t="inlineStr">
        <is>
          <t>churned</t>
        </is>
      </c>
      <c r="B35" t="inlineStr">
        <is>
          <t>EUROPE|BASIC_A</t>
        </is>
      </c>
      <c r="C35" s="3">
        <f>$C$33-C34</f>
        <v/>
      </c>
      <c r="D35" s="3">
        <f>C34-D34</f>
        <v/>
      </c>
      <c r="E35" s="3">
        <f>D34-E34</f>
        <v/>
      </c>
      <c r="F35" s="3">
        <f>E34-F34</f>
        <v/>
      </c>
      <c r="G35" s="3">
        <f>F34-G34</f>
        <v/>
      </c>
      <c r="H35" s="3">
        <f>G34-H34</f>
        <v/>
      </c>
      <c r="I35" s="3">
        <f>H34-I34</f>
        <v/>
      </c>
      <c r="J35" s="3">
        <f>I34-J34</f>
        <v/>
      </c>
      <c r="K35" s="3">
        <f>J34-K34</f>
        <v/>
      </c>
      <c r="L35" s="3">
        <f>K34-L34</f>
        <v/>
      </c>
      <c r="M35" s="3">
        <f>L34-M34</f>
        <v/>
      </c>
      <c r="N35" s="3">
        <f>M34-N34</f>
        <v/>
      </c>
      <c r="O35" s="3">
        <f>N34-O34</f>
        <v/>
      </c>
      <c r="P35" s="3">
        <f>O34-P34</f>
        <v/>
      </c>
      <c r="Q35" s="3">
        <f>P34-Q34</f>
        <v/>
      </c>
      <c r="R35" s="3">
        <f>Q34-R34</f>
        <v/>
      </c>
      <c r="S35" s="3">
        <f>R34-S34</f>
        <v/>
      </c>
      <c r="T35" s="3">
        <f>S34-T34</f>
        <v/>
      </c>
      <c r="U35" s="3">
        <f>T34-U34</f>
        <v/>
      </c>
      <c r="V35" s="3">
        <f>U34-V34</f>
        <v/>
      </c>
      <c r="W35" s="3">
        <f>V34-W34</f>
        <v/>
      </c>
      <c r="X35" s="3">
        <f>W34-X34</f>
        <v/>
      </c>
      <c r="Y35" s="3">
        <f>X34-Y34</f>
        <v/>
      </c>
      <c r="Z35" s="3">
        <f>Y34-Z34</f>
        <v/>
      </c>
      <c r="AA35" s="3">
        <f>Z34-AA34</f>
        <v/>
      </c>
      <c r="AB35" s="3">
        <f>AA34-AB34</f>
        <v/>
      </c>
      <c r="AC35" s="3">
        <f>AB34-AC34</f>
        <v/>
      </c>
      <c r="AD35" s="3">
        <f>AC34-AD34</f>
        <v/>
      </c>
      <c r="AE35" s="3">
        <f>AD34-AE34</f>
        <v/>
      </c>
      <c r="AF35" s="3">
        <f>AE34-AF34</f>
        <v/>
      </c>
      <c r="AG35" s="3">
        <f>AF34-AG34</f>
        <v/>
      </c>
      <c r="AH35" s="3">
        <f>AG34-AH34</f>
        <v/>
      </c>
      <c r="AI35" s="3">
        <f>AH34-AI34</f>
        <v/>
      </c>
      <c r="AJ35" s="3">
        <f>AI34-AJ34</f>
        <v/>
      </c>
      <c r="AK35" s="3">
        <f>AJ34-AK34</f>
        <v/>
      </c>
      <c r="AL35" s="3">
        <f>AK34-AL34</f>
        <v/>
      </c>
      <c r="AM35" s="3">
        <f>AL34-AM34</f>
        <v/>
      </c>
      <c r="AN35" s="3">
        <f>AM34-AN34</f>
        <v/>
      </c>
      <c r="AO35" s="3">
        <f>AN34-AO34</f>
        <v/>
      </c>
      <c r="AP35" s="3">
        <f>AO34-AP34</f>
        <v/>
      </c>
      <c r="AQ35" s="3">
        <f>AP34-AQ34</f>
        <v/>
      </c>
      <c r="AR35" s="3">
        <f>AQ34-AR34</f>
        <v/>
      </c>
      <c r="AS35" s="3">
        <f>AR34-AS34</f>
        <v/>
      </c>
      <c r="AT35" s="3">
        <f>AS34-AT34</f>
        <v/>
      </c>
      <c r="AU35" s="3">
        <f>AT34-AU34</f>
        <v/>
      </c>
      <c r="AV35" s="3">
        <f>AU34-AV34</f>
        <v/>
      </c>
      <c r="AW35" s="3">
        <f>AV34-AW34</f>
        <v/>
      </c>
      <c r="AX35" s="3">
        <f>AW34-AX34</f>
        <v/>
      </c>
      <c r="AY35" s="3">
        <f>AX34-AY34</f>
        <v/>
      </c>
      <c r="AZ35" s="3">
        <f>AY34-AZ34</f>
        <v/>
      </c>
      <c r="BA35" s="3">
        <f>AZ34-BA34</f>
        <v/>
      </c>
      <c r="BB35" s="3">
        <f>BA34-BB34</f>
        <v/>
      </c>
      <c r="BC35" s="3">
        <f>BB34-BC34</f>
        <v/>
      </c>
      <c r="BD35" s="3">
        <f>BC34-BD34</f>
        <v/>
      </c>
      <c r="BE35" s="3">
        <f>BD34-BE34</f>
        <v/>
      </c>
      <c r="BF35" s="3">
        <f>BE34-BF34</f>
        <v/>
      </c>
      <c r="BG35" s="3">
        <f>BF34-BG34</f>
        <v/>
      </c>
      <c r="BH35" s="3">
        <f>BG34-BH34</f>
        <v/>
      </c>
      <c r="BI35" s="3">
        <f>BH34-BI34</f>
        <v/>
      </c>
      <c r="BJ35" s="3">
        <f>BI34-BJ34</f>
        <v/>
      </c>
      <c r="BK35" s="3">
        <f>BJ34-BK34</f>
        <v/>
      </c>
      <c r="BL35" s="3">
        <f>BK34-BL34</f>
        <v/>
      </c>
      <c r="BM35" s="3">
        <f>BL34-BM34</f>
        <v/>
      </c>
      <c r="BN35" s="3">
        <f>BM34-BN34</f>
        <v/>
      </c>
      <c r="BO35" s="3">
        <f>BN34-BO34</f>
        <v/>
      </c>
      <c r="BP35" s="3">
        <f>BO34-BP34</f>
        <v/>
      </c>
      <c r="BQ35" s="3">
        <f>BP34-BQ34</f>
        <v/>
      </c>
      <c r="BR35" s="3">
        <f>BQ34-BR34</f>
        <v/>
      </c>
      <c r="BS35" s="3">
        <f>BR34-BS34</f>
        <v/>
      </c>
      <c r="BT35" s="3">
        <f>BS34-BT34</f>
        <v/>
      </c>
      <c r="BU35" s="3">
        <f>BT34-BU34</f>
        <v/>
      </c>
      <c r="BV35" s="3">
        <f>BU34-BV34</f>
        <v/>
      </c>
    </row>
    <row r="37">
      <c r="A37" t="inlineStr">
        <is>
          <t>opening book (Jan 2025)</t>
        </is>
      </c>
      <c r="B37" t="inlineStr">
        <is>
          <t>LATAM|NITRO_M</t>
        </is>
      </c>
      <c r="C37" s="3">
        <f>Params!$B$19*Params!$B$53*Params!$B$75</f>
        <v/>
      </c>
    </row>
    <row r="38">
      <c r="A38" t="inlineStr">
        <is>
          <t>active</t>
        </is>
      </c>
      <c r="B38" t="inlineStr">
        <is>
          <t>LATAM|NITRO_M</t>
        </is>
      </c>
      <c r="C38" s="3">
        <f>$C$37*(1-Params!$B$20)^(C$2+1)</f>
        <v/>
      </c>
      <c r="D38" s="3">
        <f>$C$37*(1-Params!$B$20)^(D$2+1)</f>
        <v/>
      </c>
      <c r="E38" s="3">
        <f>$C$37*(1-Params!$B$20)^(E$2+1)</f>
        <v/>
      </c>
      <c r="F38" s="3">
        <f>$C$37*(1-Params!$B$20)^(F$2+1)</f>
        <v/>
      </c>
      <c r="G38" s="3">
        <f>$C$37*(1-Params!$B$20)^(G$2+1)</f>
        <v/>
      </c>
      <c r="H38" s="3">
        <f>$C$37*(1-Params!$B$20)^(H$2+1)</f>
        <v/>
      </c>
      <c r="I38" s="3">
        <f>$C$37*(1-Params!$B$20)^(I$2+1)</f>
        <v/>
      </c>
      <c r="J38" s="3">
        <f>$C$37*(1-Params!$B$20)^(J$2+1)</f>
        <v/>
      </c>
      <c r="K38" s="3">
        <f>$C$37*(1-Params!$B$20)^(K$2+1)</f>
        <v/>
      </c>
      <c r="L38" s="3">
        <f>$C$37*(1-Params!$B$20)^(L$2+1)</f>
        <v/>
      </c>
      <c r="M38" s="3">
        <f>$C$37*(1-Params!$B$20)^(M$2+1)</f>
        <v/>
      </c>
      <c r="N38" s="3">
        <f>$C$37*(1-Params!$B$20)^(N$2+1)</f>
        <v/>
      </c>
      <c r="O38" s="3">
        <f>$C$37*(1-Params!$B$20)^(O$2+1)</f>
        <v/>
      </c>
      <c r="P38" s="3">
        <f>$C$37*(1-Params!$B$20)^(P$2+1)</f>
        <v/>
      </c>
      <c r="Q38" s="3">
        <f>$C$37*(1-Params!$B$20)^(Q$2+1)</f>
        <v/>
      </c>
      <c r="R38" s="3">
        <f>$C$37*(1-Params!$B$20)^(R$2+1)</f>
        <v/>
      </c>
      <c r="S38" s="3">
        <f>$C$37*(1-Params!$B$20)^(S$2+1)</f>
        <v/>
      </c>
      <c r="T38" s="3">
        <f>$C$37*(1-Params!$B$20)^(T$2+1)</f>
        <v/>
      </c>
      <c r="U38" s="3">
        <f>$C$37*(1-Params!$B$20)^(U$2+1)</f>
        <v/>
      </c>
      <c r="V38" s="3">
        <f>$C$37*(1-Params!$B$20)^(V$2+1)</f>
        <v/>
      </c>
      <c r="W38" s="3">
        <f>$C$37*(1-Params!$B$20)^(W$2+1)</f>
        <v/>
      </c>
      <c r="X38" s="3">
        <f>$C$37*(1-Params!$B$20)^(X$2+1)</f>
        <v/>
      </c>
      <c r="Y38" s="3">
        <f>$C$37*(1-Params!$B$20)^(Y$2+1)</f>
        <v/>
      </c>
      <c r="Z38" s="3">
        <f>$C$37*(1-Params!$B$20)^(Z$2+1)</f>
        <v/>
      </c>
      <c r="AA38" s="3">
        <f>$C$37*(1-Params!$B$20)^(AA$2+1)</f>
        <v/>
      </c>
      <c r="AB38" s="3">
        <f>$C$37*(1-Params!$B$20)^(AB$2+1)</f>
        <v/>
      </c>
      <c r="AC38" s="3">
        <f>$C$37*(1-Params!$B$20)^(AC$2+1)</f>
        <v/>
      </c>
      <c r="AD38" s="3">
        <f>$C$37*(1-Params!$B$20)^(AD$2+1)</f>
        <v/>
      </c>
      <c r="AE38" s="3">
        <f>$C$37*(1-Params!$B$20)^(AE$2+1)</f>
        <v/>
      </c>
      <c r="AF38" s="3">
        <f>$C$37*(1-Params!$B$20)^(AF$2+1)</f>
        <v/>
      </c>
      <c r="AG38" s="3">
        <f>$C$37*(1-Params!$B$20)^(AG$2+1)</f>
        <v/>
      </c>
      <c r="AH38" s="3">
        <f>$C$37*(1-Params!$B$20)^(AH$2+1)</f>
        <v/>
      </c>
      <c r="AI38" s="3">
        <f>$C$37*(1-Params!$B$20)^(AI$2+1)</f>
        <v/>
      </c>
      <c r="AJ38" s="3">
        <f>$C$37*(1-Params!$B$20)^(AJ$2+1)</f>
        <v/>
      </c>
      <c r="AK38" s="3">
        <f>$C$37*(1-Params!$B$20)^(AK$2+1)</f>
        <v/>
      </c>
      <c r="AL38" s="3">
        <f>$C$37*(1-Params!$B$20)^(AL$2+1)</f>
        <v/>
      </c>
      <c r="AM38" s="3">
        <f>$C$37*(1-Params!$B$20)^(AM$2+1)</f>
        <v/>
      </c>
      <c r="AN38" s="3">
        <f>$C$37*(1-Params!$B$20)^(AN$2+1)</f>
        <v/>
      </c>
      <c r="AO38" s="3">
        <f>$C$37*(1-Params!$B$20)^(AO$2+1)</f>
        <v/>
      </c>
      <c r="AP38" s="3">
        <f>$C$37*(1-Params!$B$20)^(AP$2+1)</f>
        <v/>
      </c>
      <c r="AQ38" s="3">
        <f>$C$37*(1-Params!$B$20)^(AQ$2+1)</f>
        <v/>
      </c>
      <c r="AR38" s="3">
        <f>$C$37*(1-Params!$B$20)^(AR$2+1)</f>
        <v/>
      </c>
      <c r="AS38" s="3">
        <f>$C$37*(1-Params!$B$20)^(AS$2+1)</f>
        <v/>
      </c>
      <c r="AT38" s="3">
        <f>$C$37*(1-Params!$B$20)^(AT$2+1)</f>
        <v/>
      </c>
      <c r="AU38" s="3">
        <f>$C$37*(1-Params!$B$20)^(AU$2+1)</f>
        <v/>
      </c>
      <c r="AV38" s="3">
        <f>$C$37*(1-Params!$B$20)^(AV$2+1)</f>
        <v/>
      </c>
      <c r="AW38" s="3">
        <f>$C$37*(1-Params!$B$20)^(AW$2+1)</f>
        <v/>
      </c>
      <c r="AX38" s="3">
        <f>$C$37*(1-Params!$B$20)^(AX$2+1)</f>
        <v/>
      </c>
      <c r="AY38" s="3">
        <f>$C$37*(1-Params!$B$20)^(AY$2+1)</f>
        <v/>
      </c>
      <c r="AZ38" s="3">
        <f>$C$37*(1-Params!$B$20)^(AZ$2+1)</f>
        <v/>
      </c>
      <c r="BA38" s="3">
        <f>$C$37*(1-Params!$B$20)^(BA$2+1)</f>
        <v/>
      </c>
      <c r="BB38" s="3">
        <f>$C$37*(1-Params!$B$20)^(BB$2+1)</f>
        <v/>
      </c>
      <c r="BC38" s="3">
        <f>$C$37*(1-Params!$B$20)^(BC$2+1)</f>
        <v/>
      </c>
      <c r="BD38" s="3">
        <f>$C$37*(1-Params!$B$20)^(BD$2+1)</f>
        <v/>
      </c>
      <c r="BE38" s="3">
        <f>$C$37*(1-Params!$B$20)^(BE$2+1)</f>
        <v/>
      </c>
      <c r="BF38" s="3">
        <f>$C$37*(1-Params!$B$20)^(BF$2+1)</f>
        <v/>
      </c>
      <c r="BG38" s="3">
        <f>$C$37*(1-Params!$B$20)^(BG$2+1)</f>
        <v/>
      </c>
      <c r="BH38" s="3">
        <f>$C$37*(1-Params!$B$20)^(BH$2+1)</f>
        <v/>
      </c>
      <c r="BI38" s="3">
        <f>$C$37*(1-Params!$B$20)^(BI$2+1)</f>
        <v/>
      </c>
      <c r="BJ38" s="3">
        <f>$C$37*(1-Params!$B$20)^(BJ$2+1)</f>
        <v/>
      </c>
      <c r="BK38" s="3">
        <f>$C$37*(1-Params!$B$20)^(BK$2+1)</f>
        <v/>
      </c>
      <c r="BL38" s="3">
        <f>$C$37*(1-Params!$B$20)^(BL$2+1)</f>
        <v/>
      </c>
      <c r="BM38" s="3">
        <f>$C$37*(1-Params!$B$20)^(BM$2+1)</f>
        <v/>
      </c>
      <c r="BN38" s="3">
        <f>$C$37*(1-Params!$B$20)^(BN$2+1)</f>
        <v/>
      </c>
      <c r="BO38" s="3">
        <f>$C$37*(1-Params!$B$20)^(BO$2+1)</f>
        <v/>
      </c>
      <c r="BP38" s="3">
        <f>$C$37*(1-Params!$B$20)^(BP$2+1)</f>
        <v/>
      </c>
      <c r="BQ38" s="3">
        <f>$C$37*(1-Params!$B$20)^(BQ$2+1)</f>
        <v/>
      </c>
      <c r="BR38" s="3">
        <f>$C$37*(1-Params!$B$20)^(BR$2+1)</f>
        <v/>
      </c>
      <c r="BS38" s="3">
        <f>$C$37*(1-Params!$B$20)^(BS$2+1)</f>
        <v/>
      </c>
      <c r="BT38" s="3">
        <f>$C$37*(1-Params!$B$20)^(BT$2+1)</f>
        <v/>
      </c>
      <c r="BU38" s="3">
        <f>$C$37*(1-Params!$B$20)^(BU$2+1)</f>
        <v/>
      </c>
      <c r="BV38" s="3">
        <f>$C$37*(1-Params!$B$20)^(BV$2+1)</f>
        <v/>
      </c>
    </row>
    <row r="39">
      <c r="A39" t="inlineStr">
        <is>
          <t>churned</t>
        </is>
      </c>
      <c r="B39" t="inlineStr">
        <is>
          <t>LATAM|NITRO_M</t>
        </is>
      </c>
      <c r="C39" s="3">
        <f>$C$37-C38</f>
        <v/>
      </c>
      <c r="D39" s="3">
        <f>C38-D38</f>
        <v/>
      </c>
      <c r="E39" s="3">
        <f>D38-E38</f>
        <v/>
      </c>
      <c r="F39" s="3">
        <f>E38-F38</f>
        <v/>
      </c>
      <c r="G39" s="3">
        <f>F38-G38</f>
        <v/>
      </c>
      <c r="H39" s="3">
        <f>G38-H38</f>
        <v/>
      </c>
      <c r="I39" s="3">
        <f>H38-I38</f>
        <v/>
      </c>
      <c r="J39" s="3">
        <f>I38-J38</f>
        <v/>
      </c>
      <c r="K39" s="3">
        <f>J38-K38</f>
        <v/>
      </c>
      <c r="L39" s="3">
        <f>K38-L38</f>
        <v/>
      </c>
      <c r="M39" s="3">
        <f>L38-M38</f>
        <v/>
      </c>
      <c r="N39" s="3">
        <f>M38-N38</f>
        <v/>
      </c>
      <c r="O39" s="3">
        <f>N38-O38</f>
        <v/>
      </c>
      <c r="P39" s="3">
        <f>O38-P38</f>
        <v/>
      </c>
      <c r="Q39" s="3">
        <f>P38-Q38</f>
        <v/>
      </c>
      <c r="R39" s="3">
        <f>Q38-R38</f>
        <v/>
      </c>
      <c r="S39" s="3">
        <f>R38-S38</f>
        <v/>
      </c>
      <c r="T39" s="3">
        <f>S38-T38</f>
        <v/>
      </c>
      <c r="U39" s="3">
        <f>T38-U38</f>
        <v/>
      </c>
      <c r="V39" s="3">
        <f>U38-V38</f>
        <v/>
      </c>
      <c r="W39" s="3">
        <f>V38-W38</f>
        <v/>
      </c>
      <c r="X39" s="3">
        <f>W38-X38</f>
        <v/>
      </c>
      <c r="Y39" s="3">
        <f>X38-Y38</f>
        <v/>
      </c>
      <c r="Z39" s="3">
        <f>Y38-Z38</f>
        <v/>
      </c>
      <c r="AA39" s="3">
        <f>Z38-AA38</f>
        <v/>
      </c>
      <c r="AB39" s="3">
        <f>AA38-AB38</f>
        <v/>
      </c>
      <c r="AC39" s="3">
        <f>AB38-AC38</f>
        <v/>
      </c>
      <c r="AD39" s="3">
        <f>AC38-AD38</f>
        <v/>
      </c>
      <c r="AE39" s="3">
        <f>AD38-AE38</f>
        <v/>
      </c>
      <c r="AF39" s="3">
        <f>AE38-AF38</f>
        <v/>
      </c>
      <c r="AG39" s="3">
        <f>AF38-AG38</f>
        <v/>
      </c>
      <c r="AH39" s="3">
        <f>AG38-AH38</f>
        <v/>
      </c>
      <c r="AI39" s="3">
        <f>AH38-AI38</f>
        <v/>
      </c>
      <c r="AJ39" s="3">
        <f>AI38-AJ38</f>
        <v/>
      </c>
      <c r="AK39" s="3">
        <f>AJ38-AK38</f>
        <v/>
      </c>
      <c r="AL39" s="3">
        <f>AK38-AL38</f>
        <v/>
      </c>
      <c r="AM39" s="3">
        <f>AL38-AM38</f>
        <v/>
      </c>
      <c r="AN39" s="3">
        <f>AM38-AN38</f>
        <v/>
      </c>
      <c r="AO39" s="3">
        <f>AN38-AO38</f>
        <v/>
      </c>
      <c r="AP39" s="3">
        <f>AO38-AP38</f>
        <v/>
      </c>
      <c r="AQ39" s="3">
        <f>AP38-AQ38</f>
        <v/>
      </c>
      <c r="AR39" s="3">
        <f>AQ38-AR38</f>
        <v/>
      </c>
      <c r="AS39" s="3">
        <f>AR38-AS38</f>
        <v/>
      </c>
      <c r="AT39" s="3">
        <f>AS38-AT38</f>
        <v/>
      </c>
      <c r="AU39" s="3">
        <f>AT38-AU38</f>
        <v/>
      </c>
      <c r="AV39" s="3">
        <f>AU38-AV38</f>
        <v/>
      </c>
      <c r="AW39" s="3">
        <f>AV38-AW38</f>
        <v/>
      </c>
      <c r="AX39" s="3">
        <f>AW38-AX38</f>
        <v/>
      </c>
      <c r="AY39" s="3">
        <f>AX38-AY38</f>
        <v/>
      </c>
      <c r="AZ39" s="3">
        <f>AY38-AZ38</f>
        <v/>
      </c>
      <c r="BA39" s="3">
        <f>AZ38-BA38</f>
        <v/>
      </c>
      <c r="BB39" s="3">
        <f>BA38-BB38</f>
        <v/>
      </c>
      <c r="BC39" s="3">
        <f>BB38-BC38</f>
        <v/>
      </c>
      <c r="BD39" s="3">
        <f>BC38-BD38</f>
        <v/>
      </c>
      <c r="BE39" s="3">
        <f>BD38-BE38</f>
        <v/>
      </c>
      <c r="BF39" s="3">
        <f>BE38-BF38</f>
        <v/>
      </c>
      <c r="BG39" s="3">
        <f>BF38-BG38</f>
        <v/>
      </c>
      <c r="BH39" s="3">
        <f>BG38-BH38</f>
        <v/>
      </c>
      <c r="BI39" s="3">
        <f>BH38-BI38</f>
        <v/>
      </c>
      <c r="BJ39" s="3">
        <f>BI38-BJ38</f>
        <v/>
      </c>
      <c r="BK39" s="3">
        <f>BJ38-BK38</f>
        <v/>
      </c>
      <c r="BL39" s="3">
        <f>BK38-BL38</f>
        <v/>
      </c>
      <c r="BM39" s="3">
        <f>BL38-BM38</f>
        <v/>
      </c>
      <c r="BN39" s="3">
        <f>BM38-BN38</f>
        <v/>
      </c>
      <c r="BO39" s="3">
        <f>BN38-BO38</f>
        <v/>
      </c>
      <c r="BP39" s="3">
        <f>BO38-BP38</f>
        <v/>
      </c>
      <c r="BQ39" s="3">
        <f>BP38-BQ38</f>
        <v/>
      </c>
      <c r="BR39" s="3">
        <f>BQ38-BR38</f>
        <v/>
      </c>
      <c r="BS39" s="3">
        <f>BR38-BS38</f>
        <v/>
      </c>
      <c r="BT39" s="3">
        <f>BS38-BT38</f>
        <v/>
      </c>
      <c r="BU39" s="3">
        <f>BT38-BU38</f>
        <v/>
      </c>
      <c r="BV39" s="3">
        <f>BU38-BV38</f>
        <v/>
      </c>
    </row>
    <row r="41">
      <c r="A41" t="inlineStr">
        <is>
          <t>opening book (Jan 2025)</t>
        </is>
      </c>
      <c r="B41" t="inlineStr">
        <is>
          <t>LATAM|NITRO_A</t>
        </is>
      </c>
      <c r="C41" s="3">
        <f>Params!$B$19*Params!$B$53*Params!$B$76</f>
        <v/>
      </c>
    </row>
    <row r="42">
      <c r="A42" t="inlineStr">
        <is>
          <t>active</t>
        </is>
      </c>
      <c r="B42" t="inlineStr">
        <is>
          <t>LATAM|NITRO_A</t>
        </is>
      </c>
      <c r="C42" s="3">
        <f>$C$41*((MOD(C$2,12)+1)*Params!$B$15^(INT(C$2/12)+1)+(11-MOD(C$2,12))*Params!$B$15^INT(C$2/12))/12</f>
        <v/>
      </c>
      <c r="D42" s="3">
        <f>$C$41*((MOD(D$2,12)+1)*Params!$B$15^(INT(D$2/12)+1)+(11-MOD(D$2,12))*Params!$B$15^INT(D$2/12))/12</f>
        <v/>
      </c>
      <c r="E42" s="3">
        <f>$C$41*((MOD(E$2,12)+1)*Params!$B$15^(INT(E$2/12)+1)+(11-MOD(E$2,12))*Params!$B$15^INT(E$2/12))/12</f>
        <v/>
      </c>
      <c r="F42" s="3">
        <f>$C$41*((MOD(F$2,12)+1)*Params!$B$15^(INT(F$2/12)+1)+(11-MOD(F$2,12))*Params!$B$15^INT(F$2/12))/12</f>
        <v/>
      </c>
      <c r="G42" s="3">
        <f>$C$41*((MOD(G$2,12)+1)*Params!$B$15^(INT(G$2/12)+1)+(11-MOD(G$2,12))*Params!$B$15^INT(G$2/12))/12</f>
        <v/>
      </c>
      <c r="H42" s="3">
        <f>$C$41*((MOD(H$2,12)+1)*Params!$B$15^(INT(H$2/12)+1)+(11-MOD(H$2,12))*Params!$B$15^INT(H$2/12))/12</f>
        <v/>
      </c>
      <c r="I42" s="3">
        <f>$C$41*((MOD(I$2,12)+1)*Params!$B$15^(INT(I$2/12)+1)+(11-MOD(I$2,12))*Params!$B$15^INT(I$2/12))/12</f>
        <v/>
      </c>
      <c r="J42" s="3">
        <f>$C$41*((MOD(J$2,12)+1)*Params!$B$15^(INT(J$2/12)+1)+(11-MOD(J$2,12))*Params!$B$15^INT(J$2/12))/12</f>
        <v/>
      </c>
      <c r="K42" s="3">
        <f>$C$41*((MOD(K$2,12)+1)*Params!$B$15^(INT(K$2/12)+1)+(11-MOD(K$2,12))*Params!$B$15^INT(K$2/12))/12</f>
        <v/>
      </c>
      <c r="L42" s="3">
        <f>$C$41*((MOD(L$2,12)+1)*Params!$B$15^(INT(L$2/12)+1)+(11-MOD(L$2,12))*Params!$B$15^INT(L$2/12))/12</f>
        <v/>
      </c>
      <c r="M42" s="3">
        <f>$C$41*((MOD(M$2,12)+1)*Params!$B$15^(INT(M$2/12)+1)+(11-MOD(M$2,12))*Params!$B$15^INT(M$2/12))/12</f>
        <v/>
      </c>
      <c r="N42" s="3">
        <f>$C$41*((MOD(N$2,12)+1)*Params!$B$15^(INT(N$2/12)+1)+(11-MOD(N$2,12))*Params!$B$15^INT(N$2/12))/12</f>
        <v/>
      </c>
      <c r="O42" s="3">
        <f>$C$41*((MOD(O$2,12)+1)*Params!$B$15^(INT(O$2/12)+1)+(11-MOD(O$2,12))*Params!$B$15^INT(O$2/12))/12</f>
        <v/>
      </c>
      <c r="P42" s="3">
        <f>$C$41*((MOD(P$2,12)+1)*Params!$B$15^(INT(P$2/12)+1)+(11-MOD(P$2,12))*Params!$B$15^INT(P$2/12))/12</f>
        <v/>
      </c>
      <c r="Q42" s="3">
        <f>$C$41*((MOD(Q$2,12)+1)*Params!$B$15^(INT(Q$2/12)+1)+(11-MOD(Q$2,12))*Params!$B$15^INT(Q$2/12))/12</f>
        <v/>
      </c>
      <c r="R42" s="3">
        <f>$C$41*((MOD(R$2,12)+1)*Params!$B$15^(INT(R$2/12)+1)+(11-MOD(R$2,12))*Params!$B$15^INT(R$2/12))/12</f>
        <v/>
      </c>
      <c r="S42" s="3">
        <f>$C$41*((MOD(S$2,12)+1)*Params!$B$15^(INT(S$2/12)+1)+(11-MOD(S$2,12))*Params!$B$15^INT(S$2/12))/12</f>
        <v/>
      </c>
      <c r="T42" s="3">
        <f>$C$41*((MOD(T$2,12)+1)*Params!$B$15^(INT(T$2/12)+1)+(11-MOD(T$2,12))*Params!$B$15^INT(T$2/12))/12</f>
        <v/>
      </c>
      <c r="U42" s="3">
        <f>$C$41*((MOD(U$2,12)+1)*Params!$B$15^(INT(U$2/12)+1)+(11-MOD(U$2,12))*Params!$B$15^INT(U$2/12))/12</f>
        <v/>
      </c>
      <c r="V42" s="3">
        <f>$C$41*((MOD(V$2,12)+1)*Params!$B$15^(INT(V$2/12)+1)+(11-MOD(V$2,12))*Params!$B$15^INT(V$2/12))/12</f>
        <v/>
      </c>
      <c r="W42" s="3">
        <f>$C$41*((MOD(W$2,12)+1)*Params!$B$15^(INT(W$2/12)+1)+(11-MOD(W$2,12))*Params!$B$15^INT(W$2/12))/12</f>
        <v/>
      </c>
      <c r="X42" s="3">
        <f>$C$41*((MOD(X$2,12)+1)*Params!$B$15^(INT(X$2/12)+1)+(11-MOD(X$2,12))*Params!$B$15^INT(X$2/12))/12</f>
        <v/>
      </c>
      <c r="Y42" s="3">
        <f>$C$41*((MOD(Y$2,12)+1)*Params!$B$15^(INT(Y$2/12)+1)+(11-MOD(Y$2,12))*Params!$B$15^INT(Y$2/12))/12</f>
        <v/>
      </c>
      <c r="Z42" s="3">
        <f>$C$41*((MOD(Z$2,12)+1)*Params!$B$15^(INT(Z$2/12)+1)+(11-MOD(Z$2,12))*Params!$B$15^INT(Z$2/12))/12</f>
        <v/>
      </c>
      <c r="AA42" s="3">
        <f>$C$41*((MOD(AA$2,12)+1)*Params!$B$15^(INT(AA$2/12)+1)+(11-MOD(AA$2,12))*Params!$B$15^INT(AA$2/12))/12</f>
        <v/>
      </c>
      <c r="AB42" s="3">
        <f>$C$41*((MOD(AB$2,12)+1)*Params!$B$15^(INT(AB$2/12)+1)+(11-MOD(AB$2,12))*Params!$B$15^INT(AB$2/12))/12</f>
        <v/>
      </c>
      <c r="AC42" s="3">
        <f>$C$41*((MOD(AC$2,12)+1)*Params!$B$15^(INT(AC$2/12)+1)+(11-MOD(AC$2,12))*Params!$B$15^INT(AC$2/12))/12</f>
        <v/>
      </c>
      <c r="AD42" s="3">
        <f>$C$41*((MOD(AD$2,12)+1)*Params!$B$15^(INT(AD$2/12)+1)+(11-MOD(AD$2,12))*Params!$B$15^INT(AD$2/12))/12</f>
        <v/>
      </c>
      <c r="AE42" s="3">
        <f>$C$41*((MOD(AE$2,12)+1)*Params!$B$15^(INT(AE$2/12)+1)+(11-MOD(AE$2,12))*Params!$B$15^INT(AE$2/12))/12</f>
        <v/>
      </c>
      <c r="AF42" s="3">
        <f>$C$41*((MOD(AF$2,12)+1)*Params!$B$15^(INT(AF$2/12)+1)+(11-MOD(AF$2,12))*Params!$B$15^INT(AF$2/12))/12</f>
        <v/>
      </c>
      <c r="AG42" s="3">
        <f>$C$41*((MOD(AG$2,12)+1)*Params!$B$15^(INT(AG$2/12)+1)+(11-MOD(AG$2,12))*Params!$B$15^INT(AG$2/12))/12</f>
        <v/>
      </c>
      <c r="AH42" s="3">
        <f>$C$41*((MOD(AH$2,12)+1)*Params!$B$15^(INT(AH$2/12)+1)+(11-MOD(AH$2,12))*Params!$B$15^INT(AH$2/12))/12</f>
        <v/>
      </c>
      <c r="AI42" s="3">
        <f>$C$41*((MOD(AI$2,12)+1)*Params!$B$15^(INT(AI$2/12)+1)+(11-MOD(AI$2,12))*Params!$B$15^INT(AI$2/12))/12</f>
        <v/>
      </c>
      <c r="AJ42" s="3">
        <f>$C$41*((MOD(AJ$2,12)+1)*Params!$B$15^(INT(AJ$2/12)+1)+(11-MOD(AJ$2,12))*Params!$B$15^INT(AJ$2/12))/12</f>
        <v/>
      </c>
      <c r="AK42" s="3">
        <f>$C$41*((MOD(AK$2,12)+1)*Params!$B$15^(INT(AK$2/12)+1)+(11-MOD(AK$2,12))*Params!$B$15^INT(AK$2/12))/12</f>
        <v/>
      </c>
      <c r="AL42" s="3">
        <f>$C$41*((MOD(AL$2,12)+1)*Params!$B$15^(INT(AL$2/12)+1)+(11-MOD(AL$2,12))*Params!$B$15^INT(AL$2/12))/12</f>
        <v/>
      </c>
      <c r="AM42" s="3">
        <f>$C$41*((MOD(AM$2,12)+1)*Params!$B$15^(INT(AM$2/12)+1)+(11-MOD(AM$2,12))*Params!$B$15^INT(AM$2/12))/12</f>
        <v/>
      </c>
      <c r="AN42" s="3">
        <f>$C$41*((MOD(AN$2,12)+1)*Params!$B$15^(INT(AN$2/12)+1)+(11-MOD(AN$2,12))*Params!$B$15^INT(AN$2/12))/12</f>
        <v/>
      </c>
      <c r="AO42" s="3">
        <f>$C$41*((MOD(AO$2,12)+1)*Params!$B$15^(INT(AO$2/12)+1)+(11-MOD(AO$2,12))*Params!$B$15^INT(AO$2/12))/12</f>
        <v/>
      </c>
      <c r="AP42" s="3">
        <f>$C$41*((MOD(AP$2,12)+1)*Params!$B$15^(INT(AP$2/12)+1)+(11-MOD(AP$2,12))*Params!$B$15^INT(AP$2/12))/12</f>
        <v/>
      </c>
      <c r="AQ42" s="3">
        <f>$C$41*((MOD(AQ$2,12)+1)*Params!$B$15^(INT(AQ$2/12)+1)+(11-MOD(AQ$2,12))*Params!$B$15^INT(AQ$2/12))/12</f>
        <v/>
      </c>
      <c r="AR42" s="3">
        <f>$C$41*((MOD(AR$2,12)+1)*Params!$B$15^(INT(AR$2/12)+1)+(11-MOD(AR$2,12))*Params!$B$15^INT(AR$2/12))/12</f>
        <v/>
      </c>
      <c r="AS42" s="3">
        <f>$C$41*((MOD(AS$2,12)+1)*Params!$B$15^(INT(AS$2/12)+1)+(11-MOD(AS$2,12))*Params!$B$15^INT(AS$2/12))/12</f>
        <v/>
      </c>
      <c r="AT42" s="3">
        <f>$C$41*((MOD(AT$2,12)+1)*Params!$B$15^(INT(AT$2/12)+1)+(11-MOD(AT$2,12))*Params!$B$15^INT(AT$2/12))/12</f>
        <v/>
      </c>
      <c r="AU42" s="3">
        <f>$C$41*((MOD(AU$2,12)+1)*Params!$B$15^(INT(AU$2/12)+1)+(11-MOD(AU$2,12))*Params!$B$15^INT(AU$2/12))/12</f>
        <v/>
      </c>
      <c r="AV42" s="3">
        <f>$C$41*((MOD(AV$2,12)+1)*Params!$B$15^(INT(AV$2/12)+1)+(11-MOD(AV$2,12))*Params!$B$15^INT(AV$2/12))/12</f>
        <v/>
      </c>
      <c r="AW42" s="3">
        <f>$C$41*((MOD(AW$2,12)+1)*Params!$B$15^(INT(AW$2/12)+1)+(11-MOD(AW$2,12))*Params!$B$15^INT(AW$2/12))/12</f>
        <v/>
      </c>
      <c r="AX42" s="3">
        <f>$C$41*((MOD(AX$2,12)+1)*Params!$B$15^(INT(AX$2/12)+1)+(11-MOD(AX$2,12))*Params!$B$15^INT(AX$2/12))/12</f>
        <v/>
      </c>
      <c r="AY42" s="3">
        <f>$C$41*((MOD(AY$2,12)+1)*Params!$B$15^(INT(AY$2/12)+1)+(11-MOD(AY$2,12))*Params!$B$15^INT(AY$2/12))/12</f>
        <v/>
      </c>
      <c r="AZ42" s="3">
        <f>$C$41*((MOD(AZ$2,12)+1)*Params!$B$15^(INT(AZ$2/12)+1)+(11-MOD(AZ$2,12))*Params!$B$15^INT(AZ$2/12))/12</f>
        <v/>
      </c>
      <c r="BA42" s="3">
        <f>$C$41*((MOD(BA$2,12)+1)*Params!$B$15^(INT(BA$2/12)+1)+(11-MOD(BA$2,12))*Params!$B$15^INT(BA$2/12))/12</f>
        <v/>
      </c>
      <c r="BB42" s="3">
        <f>$C$41*((MOD(BB$2,12)+1)*Params!$B$15^(INT(BB$2/12)+1)+(11-MOD(BB$2,12))*Params!$B$15^INT(BB$2/12))/12</f>
        <v/>
      </c>
      <c r="BC42" s="3">
        <f>$C$41*((MOD(BC$2,12)+1)*Params!$B$15^(INT(BC$2/12)+1)+(11-MOD(BC$2,12))*Params!$B$15^INT(BC$2/12))/12</f>
        <v/>
      </c>
      <c r="BD42" s="3">
        <f>$C$41*((MOD(BD$2,12)+1)*Params!$B$15^(INT(BD$2/12)+1)+(11-MOD(BD$2,12))*Params!$B$15^INT(BD$2/12))/12</f>
        <v/>
      </c>
      <c r="BE42" s="3">
        <f>$C$41*((MOD(BE$2,12)+1)*Params!$B$15^(INT(BE$2/12)+1)+(11-MOD(BE$2,12))*Params!$B$15^INT(BE$2/12))/12</f>
        <v/>
      </c>
      <c r="BF42" s="3">
        <f>$C$41*((MOD(BF$2,12)+1)*Params!$B$15^(INT(BF$2/12)+1)+(11-MOD(BF$2,12))*Params!$B$15^INT(BF$2/12))/12</f>
        <v/>
      </c>
      <c r="BG42" s="3">
        <f>$C$41*((MOD(BG$2,12)+1)*Params!$B$15^(INT(BG$2/12)+1)+(11-MOD(BG$2,12))*Params!$B$15^INT(BG$2/12))/12</f>
        <v/>
      </c>
      <c r="BH42" s="3">
        <f>$C$41*((MOD(BH$2,12)+1)*Params!$B$15^(INT(BH$2/12)+1)+(11-MOD(BH$2,12))*Params!$B$15^INT(BH$2/12))/12</f>
        <v/>
      </c>
      <c r="BI42" s="3">
        <f>$C$41*((MOD(BI$2,12)+1)*Params!$B$15^(INT(BI$2/12)+1)+(11-MOD(BI$2,12))*Params!$B$15^INT(BI$2/12))/12</f>
        <v/>
      </c>
      <c r="BJ42" s="3">
        <f>$C$41*((MOD(BJ$2,12)+1)*Params!$B$15^(INT(BJ$2/12)+1)+(11-MOD(BJ$2,12))*Params!$B$15^INT(BJ$2/12))/12</f>
        <v/>
      </c>
      <c r="BK42" s="3">
        <f>$C$41*((MOD(BK$2,12)+1)*Params!$B$15^(INT(BK$2/12)+1)+(11-MOD(BK$2,12))*Params!$B$15^INT(BK$2/12))/12</f>
        <v/>
      </c>
      <c r="BL42" s="3">
        <f>$C$41*((MOD(BL$2,12)+1)*Params!$B$15^(INT(BL$2/12)+1)+(11-MOD(BL$2,12))*Params!$B$15^INT(BL$2/12))/12</f>
        <v/>
      </c>
      <c r="BM42" s="3">
        <f>$C$41*((MOD(BM$2,12)+1)*Params!$B$15^(INT(BM$2/12)+1)+(11-MOD(BM$2,12))*Params!$B$15^INT(BM$2/12))/12</f>
        <v/>
      </c>
      <c r="BN42" s="3">
        <f>$C$41*((MOD(BN$2,12)+1)*Params!$B$15^(INT(BN$2/12)+1)+(11-MOD(BN$2,12))*Params!$B$15^INT(BN$2/12))/12</f>
        <v/>
      </c>
      <c r="BO42" s="3">
        <f>$C$41*((MOD(BO$2,12)+1)*Params!$B$15^(INT(BO$2/12)+1)+(11-MOD(BO$2,12))*Params!$B$15^INT(BO$2/12))/12</f>
        <v/>
      </c>
      <c r="BP42" s="3">
        <f>$C$41*((MOD(BP$2,12)+1)*Params!$B$15^(INT(BP$2/12)+1)+(11-MOD(BP$2,12))*Params!$B$15^INT(BP$2/12))/12</f>
        <v/>
      </c>
      <c r="BQ42" s="3">
        <f>$C$41*((MOD(BQ$2,12)+1)*Params!$B$15^(INT(BQ$2/12)+1)+(11-MOD(BQ$2,12))*Params!$B$15^INT(BQ$2/12))/12</f>
        <v/>
      </c>
      <c r="BR42" s="3">
        <f>$C$41*((MOD(BR$2,12)+1)*Params!$B$15^(INT(BR$2/12)+1)+(11-MOD(BR$2,12))*Params!$B$15^INT(BR$2/12))/12</f>
        <v/>
      </c>
      <c r="BS42" s="3">
        <f>$C$41*((MOD(BS$2,12)+1)*Params!$B$15^(INT(BS$2/12)+1)+(11-MOD(BS$2,12))*Params!$B$15^INT(BS$2/12))/12</f>
        <v/>
      </c>
      <c r="BT42" s="3">
        <f>$C$41*((MOD(BT$2,12)+1)*Params!$B$15^(INT(BT$2/12)+1)+(11-MOD(BT$2,12))*Params!$B$15^INT(BT$2/12))/12</f>
        <v/>
      </c>
      <c r="BU42" s="3">
        <f>$C$41*((MOD(BU$2,12)+1)*Params!$B$15^(INT(BU$2/12)+1)+(11-MOD(BU$2,12))*Params!$B$15^INT(BU$2/12))/12</f>
        <v/>
      </c>
      <c r="BV42" s="3">
        <f>$C$41*((MOD(BV$2,12)+1)*Params!$B$15^(INT(BV$2/12)+1)+(11-MOD(BV$2,12))*Params!$B$15^INT(BV$2/12))/12</f>
        <v/>
      </c>
    </row>
    <row r="43">
      <c r="A43" t="inlineStr">
        <is>
          <t>churned</t>
        </is>
      </c>
      <c r="B43" t="inlineStr">
        <is>
          <t>LATAM|NITRO_A</t>
        </is>
      </c>
      <c r="C43" s="3">
        <f>$C$41-C42</f>
        <v/>
      </c>
      <c r="D43" s="3">
        <f>C42-D42</f>
        <v/>
      </c>
      <c r="E43" s="3">
        <f>D42-E42</f>
        <v/>
      </c>
      <c r="F43" s="3">
        <f>E42-F42</f>
        <v/>
      </c>
      <c r="G43" s="3">
        <f>F42-G42</f>
        <v/>
      </c>
      <c r="H43" s="3">
        <f>G42-H42</f>
        <v/>
      </c>
      <c r="I43" s="3">
        <f>H42-I42</f>
        <v/>
      </c>
      <c r="J43" s="3">
        <f>I42-J42</f>
        <v/>
      </c>
      <c r="K43" s="3">
        <f>J42-K42</f>
        <v/>
      </c>
      <c r="L43" s="3">
        <f>K42-L42</f>
        <v/>
      </c>
      <c r="M43" s="3">
        <f>L42-M42</f>
        <v/>
      </c>
      <c r="N43" s="3">
        <f>M42-N42</f>
        <v/>
      </c>
      <c r="O43" s="3">
        <f>N42-O42</f>
        <v/>
      </c>
      <c r="P43" s="3">
        <f>O42-P42</f>
        <v/>
      </c>
      <c r="Q43" s="3">
        <f>P42-Q42</f>
        <v/>
      </c>
      <c r="R43" s="3">
        <f>Q42-R42</f>
        <v/>
      </c>
      <c r="S43" s="3">
        <f>R42-S42</f>
        <v/>
      </c>
      <c r="T43" s="3">
        <f>S42-T42</f>
        <v/>
      </c>
      <c r="U43" s="3">
        <f>T42-U42</f>
        <v/>
      </c>
      <c r="V43" s="3">
        <f>U42-V42</f>
        <v/>
      </c>
      <c r="W43" s="3">
        <f>V42-W42</f>
        <v/>
      </c>
      <c r="X43" s="3">
        <f>W42-X42</f>
        <v/>
      </c>
      <c r="Y43" s="3">
        <f>X42-Y42</f>
        <v/>
      </c>
      <c r="Z43" s="3">
        <f>Y42-Z42</f>
        <v/>
      </c>
      <c r="AA43" s="3">
        <f>Z42-AA42</f>
        <v/>
      </c>
      <c r="AB43" s="3">
        <f>AA42-AB42</f>
        <v/>
      </c>
      <c r="AC43" s="3">
        <f>AB42-AC42</f>
        <v/>
      </c>
      <c r="AD43" s="3">
        <f>AC42-AD42</f>
        <v/>
      </c>
      <c r="AE43" s="3">
        <f>AD42-AE42</f>
        <v/>
      </c>
      <c r="AF43" s="3">
        <f>AE42-AF42</f>
        <v/>
      </c>
      <c r="AG43" s="3">
        <f>AF42-AG42</f>
        <v/>
      </c>
      <c r="AH43" s="3">
        <f>AG42-AH42</f>
        <v/>
      </c>
      <c r="AI43" s="3">
        <f>AH42-AI42</f>
        <v/>
      </c>
      <c r="AJ43" s="3">
        <f>AI42-AJ42</f>
        <v/>
      </c>
      <c r="AK43" s="3">
        <f>AJ42-AK42</f>
        <v/>
      </c>
      <c r="AL43" s="3">
        <f>AK42-AL42</f>
        <v/>
      </c>
      <c r="AM43" s="3">
        <f>AL42-AM42</f>
        <v/>
      </c>
      <c r="AN43" s="3">
        <f>AM42-AN42</f>
        <v/>
      </c>
      <c r="AO43" s="3">
        <f>AN42-AO42</f>
        <v/>
      </c>
      <c r="AP43" s="3">
        <f>AO42-AP42</f>
        <v/>
      </c>
      <c r="AQ43" s="3">
        <f>AP42-AQ42</f>
        <v/>
      </c>
      <c r="AR43" s="3">
        <f>AQ42-AR42</f>
        <v/>
      </c>
      <c r="AS43" s="3">
        <f>AR42-AS42</f>
        <v/>
      </c>
      <c r="AT43" s="3">
        <f>AS42-AT42</f>
        <v/>
      </c>
      <c r="AU43" s="3">
        <f>AT42-AU42</f>
        <v/>
      </c>
      <c r="AV43" s="3">
        <f>AU42-AV42</f>
        <v/>
      </c>
      <c r="AW43" s="3">
        <f>AV42-AW42</f>
        <v/>
      </c>
      <c r="AX43" s="3">
        <f>AW42-AX42</f>
        <v/>
      </c>
      <c r="AY43" s="3">
        <f>AX42-AY42</f>
        <v/>
      </c>
      <c r="AZ43" s="3">
        <f>AY42-AZ42</f>
        <v/>
      </c>
      <c r="BA43" s="3">
        <f>AZ42-BA42</f>
        <v/>
      </c>
      <c r="BB43" s="3">
        <f>BA42-BB42</f>
        <v/>
      </c>
      <c r="BC43" s="3">
        <f>BB42-BC42</f>
        <v/>
      </c>
      <c r="BD43" s="3">
        <f>BC42-BD42</f>
        <v/>
      </c>
      <c r="BE43" s="3">
        <f>BD42-BE42</f>
        <v/>
      </c>
      <c r="BF43" s="3">
        <f>BE42-BF42</f>
        <v/>
      </c>
      <c r="BG43" s="3">
        <f>BF42-BG42</f>
        <v/>
      </c>
      <c r="BH43" s="3">
        <f>BG42-BH42</f>
        <v/>
      </c>
      <c r="BI43" s="3">
        <f>BH42-BI42</f>
        <v/>
      </c>
      <c r="BJ43" s="3">
        <f>BI42-BJ42</f>
        <v/>
      </c>
      <c r="BK43" s="3">
        <f>BJ42-BK42</f>
        <v/>
      </c>
      <c r="BL43" s="3">
        <f>BK42-BL42</f>
        <v/>
      </c>
      <c r="BM43" s="3">
        <f>BL42-BM42</f>
        <v/>
      </c>
      <c r="BN43" s="3">
        <f>BM42-BN42</f>
        <v/>
      </c>
      <c r="BO43" s="3">
        <f>BN42-BO42</f>
        <v/>
      </c>
      <c r="BP43" s="3">
        <f>BO42-BP42</f>
        <v/>
      </c>
      <c r="BQ43" s="3">
        <f>BP42-BQ42</f>
        <v/>
      </c>
      <c r="BR43" s="3">
        <f>BQ42-BR42</f>
        <v/>
      </c>
      <c r="BS43" s="3">
        <f>BR42-BS42</f>
        <v/>
      </c>
      <c r="BT43" s="3">
        <f>BS42-BT42</f>
        <v/>
      </c>
      <c r="BU43" s="3">
        <f>BT42-BU42</f>
        <v/>
      </c>
      <c r="BV43" s="3">
        <f>BU42-BV42</f>
        <v/>
      </c>
    </row>
    <row r="45">
      <c r="A45" t="inlineStr">
        <is>
          <t>opening book (Jan 2025)</t>
        </is>
      </c>
      <c r="B45" t="inlineStr">
        <is>
          <t>LATAM|BASIC_M</t>
        </is>
      </c>
      <c r="C45" s="3">
        <f>Params!$B$19*Params!$B$53*Params!$B$77</f>
        <v/>
      </c>
    </row>
    <row r="46">
      <c r="A46" t="inlineStr">
        <is>
          <t>active</t>
        </is>
      </c>
      <c r="B46" t="inlineStr">
        <is>
          <t>LATAM|BASIC_M</t>
        </is>
      </c>
      <c r="C46" s="3">
        <f>$C$45*(1-Params!$B$20)^(C$2+1)</f>
        <v/>
      </c>
      <c r="D46" s="3">
        <f>$C$45*(1-Params!$B$20)^(D$2+1)</f>
        <v/>
      </c>
      <c r="E46" s="3">
        <f>$C$45*(1-Params!$B$20)^(E$2+1)</f>
        <v/>
      </c>
      <c r="F46" s="3">
        <f>$C$45*(1-Params!$B$20)^(F$2+1)</f>
        <v/>
      </c>
      <c r="G46" s="3">
        <f>$C$45*(1-Params!$B$20)^(G$2+1)</f>
        <v/>
      </c>
      <c r="H46" s="3">
        <f>$C$45*(1-Params!$B$20)^(H$2+1)</f>
        <v/>
      </c>
      <c r="I46" s="3">
        <f>$C$45*(1-Params!$B$20)^(I$2+1)</f>
        <v/>
      </c>
      <c r="J46" s="3">
        <f>$C$45*(1-Params!$B$20)^(J$2+1)</f>
        <v/>
      </c>
      <c r="K46" s="3">
        <f>$C$45*(1-Params!$B$20)^(K$2+1)</f>
        <v/>
      </c>
      <c r="L46" s="3">
        <f>$C$45*(1-Params!$B$20)^(L$2+1)</f>
        <v/>
      </c>
      <c r="M46" s="3">
        <f>$C$45*(1-Params!$B$20)^(M$2+1)</f>
        <v/>
      </c>
      <c r="N46" s="3">
        <f>$C$45*(1-Params!$B$20)^(N$2+1)</f>
        <v/>
      </c>
      <c r="O46" s="3">
        <f>$C$45*(1-Params!$B$20)^(O$2+1)</f>
        <v/>
      </c>
      <c r="P46" s="3">
        <f>$C$45*(1-Params!$B$20)^(P$2+1)</f>
        <v/>
      </c>
      <c r="Q46" s="3">
        <f>$C$45*(1-Params!$B$20)^(Q$2+1)</f>
        <v/>
      </c>
      <c r="R46" s="3">
        <f>$C$45*(1-Params!$B$20)^(R$2+1)</f>
        <v/>
      </c>
      <c r="S46" s="3">
        <f>$C$45*(1-Params!$B$20)^(S$2+1)</f>
        <v/>
      </c>
      <c r="T46" s="3">
        <f>$C$45*(1-Params!$B$20)^(T$2+1)</f>
        <v/>
      </c>
      <c r="U46" s="3">
        <f>$C$45*(1-Params!$B$20)^(U$2+1)</f>
        <v/>
      </c>
      <c r="V46" s="3">
        <f>$C$45*(1-Params!$B$20)^(V$2+1)</f>
        <v/>
      </c>
      <c r="W46" s="3">
        <f>$C$45*(1-Params!$B$20)^(W$2+1)</f>
        <v/>
      </c>
      <c r="X46" s="3">
        <f>$C$45*(1-Params!$B$20)^(X$2+1)</f>
        <v/>
      </c>
      <c r="Y46" s="3">
        <f>$C$45*(1-Params!$B$20)^(Y$2+1)</f>
        <v/>
      </c>
      <c r="Z46" s="3">
        <f>$C$45*(1-Params!$B$20)^(Z$2+1)</f>
        <v/>
      </c>
      <c r="AA46" s="3">
        <f>$C$45*(1-Params!$B$20)^(AA$2+1)</f>
        <v/>
      </c>
      <c r="AB46" s="3">
        <f>$C$45*(1-Params!$B$20)^(AB$2+1)</f>
        <v/>
      </c>
      <c r="AC46" s="3">
        <f>$C$45*(1-Params!$B$20)^(AC$2+1)</f>
        <v/>
      </c>
      <c r="AD46" s="3">
        <f>$C$45*(1-Params!$B$20)^(AD$2+1)</f>
        <v/>
      </c>
      <c r="AE46" s="3">
        <f>$C$45*(1-Params!$B$20)^(AE$2+1)</f>
        <v/>
      </c>
      <c r="AF46" s="3">
        <f>$C$45*(1-Params!$B$20)^(AF$2+1)</f>
        <v/>
      </c>
      <c r="AG46" s="3">
        <f>$C$45*(1-Params!$B$20)^(AG$2+1)</f>
        <v/>
      </c>
      <c r="AH46" s="3">
        <f>$C$45*(1-Params!$B$20)^(AH$2+1)</f>
        <v/>
      </c>
      <c r="AI46" s="3">
        <f>$C$45*(1-Params!$B$20)^(AI$2+1)</f>
        <v/>
      </c>
      <c r="AJ46" s="3">
        <f>$C$45*(1-Params!$B$20)^(AJ$2+1)</f>
        <v/>
      </c>
      <c r="AK46" s="3">
        <f>$C$45*(1-Params!$B$20)^(AK$2+1)</f>
        <v/>
      </c>
      <c r="AL46" s="3">
        <f>$C$45*(1-Params!$B$20)^(AL$2+1)</f>
        <v/>
      </c>
      <c r="AM46" s="3">
        <f>$C$45*(1-Params!$B$20)^(AM$2+1)</f>
        <v/>
      </c>
      <c r="AN46" s="3">
        <f>$C$45*(1-Params!$B$20)^(AN$2+1)</f>
        <v/>
      </c>
      <c r="AO46" s="3">
        <f>$C$45*(1-Params!$B$20)^(AO$2+1)</f>
        <v/>
      </c>
      <c r="AP46" s="3">
        <f>$C$45*(1-Params!$B$20)^(AP$2+1)</f>
        <v/>
      </c>
      <c r="AQ46" s="3">
        <f>$C$45*(1-Params!$B$20)^(AQ$2+1)</f>
        <v/>
      </c>
      <c r="AR46" s="3">
        <f>$C$45*(1-Params!$B$20)^(AR$2+1)</f>
        <v/>
      </c>
      <c r="AS46" s="3">
        <f>$C$45*(1-Params!$B$20)^(AS$2+1)</f>
        <v/>
      </c>
      <c r="AT46" s="3">
        <f>$C$45*(1-Params!$B$20)^(AT$2+1)</f>
        <v/>
      </c>
      <c r="AU46" s="3">
        <f>$C$45*(1-Params!$B$20)^(AU$2+1)</f>
        <v/>
      </c>
      <c r="AV46" s="3">
        <f>$C$45*(1-Params!$B$20)^(AV$2+1)</f>
        <v/>
      </c>
      <c r="AW46" s="3">
        <f>$C$45*(1-Params!$B$20)^(AW$2+1)</f>
        <v/>
      </c>
      <c r="AX46" s="3">
        <f>$C$45*(1-Params!$B$20)^(AX$2+1)</f>
        <v/>
      </c>
      <c r="AY46" s="3">
        <f>$C$45*(1-Params!$B$20)^(AY$2+1)</f>
        <v/>
      </c>
      <c r="AZ46" s="3">
        <f>$C$45*(1-Params!$B$20)^(AZ$2+1)</f>
        <v/>
      </c>
      <c r="BA46" s="3">
        <f>$C$45*(1-Params!$B$20)^(BA$2+1)</f>
        <v/>
      </c>
      <c r="BB46" s="3">
        <f>$C$45*(1-Params!$B$20)^(BB$2+1)</f>
        <v/>
      </c>
      <c r="BC46" s="3">
        <f>$C$45*(1-Params!$B$20)^(BC$2+1)</f>
        <v/>
      </c>
      <c r="BD46" s="3">
        <f>$C$45*(1-Params!$B$20)^(BD$2+1)</f>
        <v/>
      </c>
      <c r="BE46" s="3">
        <f>$C$45*(1-Params!$B$20)^(BE$2+1)</f>
        <v/>
      </c>
      <c r="BF46" s="3">
        <f>$C$45*(1-Params!$B$20)^(BF$2+1)</f>
        <v/>
      </c>
      <c r="BG46" s="3">
        <f>$C$45*(1-Params!$B$20)^(BG$2+1)</f>
        <v/>
      </c>
      <c r="BH46" s="3">
        <f>$C$45*(1-Params!$B$20)^(BH$2+1)</f>
        <v/>
      </c>
      <c r="BI46" s="3">
        <f>$C$45*(1-Params!$B$20)^(BI$2+1)</f>
        <v/>
      </c>
      <c r="BJ46" s="3">
        <f>$C$45*(1-Params!$B$20)^(BJ$2+1)</f>
        <v/>
      </c>
      <c r="BK46" s="3">
        <f>$C$45*(1-Params!$B$20)^(BK$2+1)</f>
        <v/>
      </c>
      <c r="BL46" s="3">
        <f>$C$45*(1-Params!$B$20)^(BL$2+1)</f>
        <v/>
      </c>
      <c r="BM46" s="3">
        <f>$C$45*(1-Params!$B$20)^(BM$2+1)</f>
        <v/>
      </c>
      <c r="BN46" s="3">
        <f>$C$45*(1-Params!$B$20)^(BN$2+1)</f>
        <v/>
      </c>
      <c r="BO46" s="3">
        <f>$C$45*(1-Params!$B$20)^(BO$2+1)</f>
        <v/>
      </c>
      <c r="BP46" s="3">
        <f>$C$45*(1-Params!$B$20)^(BP$2+1)</f>
        <v/>
      </c>
      <c r="BQ46" s="3">
        <f>$C$45*(1-Params!$B$20)^(BQ$2+1)</f>
        <v/>
      </c>
      <c r="BR46" s="3">
        <f>$C$45*(1-Params!$B$20)^(BR$2+1)</f>
        <v/>
      </c>
      <c r="BS46" s="3">
        <f>$C$45*(1-Params!$B$20)^(BS$2+1)</f>
        <v/>
      </c>
      <c r="BT46" s="3">
        <f>$C$45*(1-Params!$B$20)^(BT$2+1)</f>
        <v/>
      </c>
      <c r="BU46" s="3">
        <f>$C$45*(1-Params!$B$20)^(BU$2+1)</f>
        <v/>
      </c>
      <c r="BV46" s="3">
        <f>$C$45*(1-Params!$B$20)^(BV$2+1)</f>
        <v/>
      </c>
    </row>
    <row r="47">
      <c r="A47" t="inlineStr">
        <is>
          <t>churned</t>
        </is>
      </c>
      <c r="B47" t="inlineStr">
        <is>
          <t>LATAM|BASIC_M</t>
        </is>
      </c>
      <c r="C47" s="3">
        <f>$C$45-C46</f>
        <v/>
      </c>
      <c r="D47" s="3">
        <f>C46-D46</f>
        <v/>
      </c>
      <c r="E47" s="3">
        <f>D46-E46</f>
        <v/>
      </c>
      <c r="F47" s="3">
        <f>E46-F46</f>
        <v/>
      </c>
      <c r="G47" s="3">
        <f>F46-G46</f>
        <v/>
      </c>
      <c r="H47" s="3">
        <f>G46-H46</f>
        <v/>
      </c>
      <c r="I47" s="3">
        <f>H46-I46</f>
        <v/>
      </c>
      <c r="J47" s="3">
        <f>I46-J46</f>
        <v/>
      </c>
      <c r="K47" s="3">
        <f>J46-K46</f>
        <v/>
      </c>
      <c r="L47" s="3">
        <f>K46-L46</f>
        <v/>
      </c>
      <c r="M47" s="3">
        <f>L46-M46</f>
        <v/>
      </c>
      <c r="N47" s="3">
        <f>M46-N46</f>
        <v/>
      </c>
      <c r="O47" s="3">
        <f>N46-O46</f>
        <v/>
      </c>
      <c r="P47" s="3">
        <f>O46-P46</f>
        <v/>
      </c>
      <c r="Q47" s="3">
        <f>P46-Q46</f>
        <v/>
      </c>
      <c r="R47" s="3">
        <f>Q46-R46</f>
        <v/>
      </c>
      <c r="S47" s="3">
        <f>R46-S46</f>
        <v/>
      </c>
      <c r="T47" s="3">
        <f>S46-T46</f>
        <v/>
      </c>
      <c r="U47" s="3">
        <f>T46-U46</f>
        <v/>
      </c>
      <c r="V47" s="3">
        <f>U46-V46</f>
        <v/>
      </c>
      <c r="W47" s="3">
        <f>V46-W46</f>
        <v/>
      </c>
      <c r="X47" s="3">
        <f>W46-X46</f>
        <v/>
      </c>
      <c r="Y47" s="3">
        <f>X46-Y46</f>
        <v/>
      </c>
      <c r="Z47" s="3">
        <f>Y46-Z46</f>
        <v/>
      </c>
      <c r="AA47" s="3">
        <f>Z46-AA46</f>
        <v/>
      </c>
      <c r="AB47" s="3">
        <f>AA46-AB46</f>
        <v/>
      </c>
      <c r="AC47" s="3">
        <f>AB46-AC46</f>
        <v/>
      </c>
      <c r="AD47" s="3">
        <f>AC46-AD46</f>
        <v/>
      </c>
      <c r="AE47" s="3">
        <f>AD46-AE46</f>
        <v/>
      </c>
      <c r="AF47" s="3">
        <f>AE46-AF46</f>
        <v/>
      </c>
      <c r="AG47" s="3">
        <f>AF46-AG46</f>
        <v/>
      </c>
      <c r="AH47" s="3">
        <f>AG46-AH46</f>
        <v/>
      </c>
      <c r="AI47" s="3">
        <f>AH46-AI46</f>
        <v/>
      </c>
      <c r="AJ47" s="3">
        <f>AI46-AJ46</f>
        <v/>
      </c>
      <c r="AK47" s="3">
        <f>AJ46-AK46</f>
        <v/>
      </c>
      <c r="AL47" s="3">
        <f>AK46-AL46</f>
        <v/>
      </c>
      <c r="AM47" s="3">
        <f>AL46-AM46</f>
        <v/>
      </c>
      <c r="AN47" s="3">
        <f>AM46-AN46</f>
        <v/>
      </c>
      <c r="AO47" s="3">
        <f>AN46-AO46</f>
        <v/>
      </c>
      <c r="AP47" s="3">
        <f>AO46-AP46</f>
        <v/>
      </c>
      <c r="AQ47" s="3">
        <f>AP46-AQ46</f>
        <v/>
      </c>
      <c r="AR47" s="3">
        <f>AQ46-AR46</f>
        <v/>
      </c>
      <c r="AS47" s="3">
        <f>AR46-AS46</f>
        <v/>
      </c>
      <c r="AT47" s="3">
        <f>AS46-AT46</f>
        <v/>
      </c>
      <c r="AU47" s="3">
        <f>AT46-AU46</f>
        <v/>
      </c>
      <c r="AV47" s="3">
        <f>AU46-AV46</f>
        <v/>
      </c>
      <c r="AW47" s="3">
        <f>AV46-AW46</f>
        <v/>
      </c>
      <c r="AX47" s="3">
        <f>AW46-AX46</f>
        <v/>
      </c>
      <c r="AY47" s="3">
        <f>AX46-AY46</f>
        <v/>
      </c>
      <c r="AZ47" s="3">
        <f>AY46-AZ46</f>
        <v/>
      </c>
      <c r="BA47" s="3">
        <f>AZ46-BA46</f>
        <v/>
      </c>
      <c r="BB47" s="3">
        <f>BA46-BB46</f>
        <v/>
      </c>
      <c r="BC47" s="3">
        <f>BB46-BC46</f>
        <v/>
      </c>
      <c r="BD47" s="3">
        <f>BC46-BD46</f>
        <v/>
      </c>
      <c r="BE47" s="3">
        <f>BD46-BE46</f>
        <v/>
      </c>
      <c r="BF47" s="3">
        <f>BE46-BF46</f>
        <v/>
      </c>
      <c r="BG47" s="3">
        <f>BF46-BG46</f>
        <v/>
      </c>
      <c r="BH47" s="3">
        <f>BG46-BH46</f>
        <v/>
      </c>
      <c r="BI47" s="3">
        <f>BH46-BI46</f>
        <v/>
      </c>
      <c r="BJ47" s="3">
        <f>BI46-BJ46</f>
        <v/>
      </c>
      <c r="BK47" s="3">
        <f>BJ46-BK46</f>
        <v/>
      </c>
      <c r="BL47" s="3">
        <f>BK46-BL46</f>
        <v/>
      </c>
      <c r="BM47" s="3">
        <f>BL46-BM46</f>
        <v/>
      </c>
      <c r="BN47" s="3">
        <f>BM46-BN46</f>
        <v/>
      </c>
      <c r="BO47" s="3">
        <f>BN46-BO46</f>
        <v/>
      </c>
      <c r="BP47" s="3">
        <f>BO46-BP46</f>
        <v/>
      </c>
      <c r="BQ47" s="3">
        <f>BP46-BQ46</f>
        <v/>
      </c>
      <c r="BR47" s="3">
        <f>BQ46-BR46</f>
        <v/>
      </c>
      <c r="BS47" s="3">
        <f>BR46-BS46</f>
        <v/>
      </c>
      <c r="BT47" s="3">
        <f>BS46-BT46</f>
        <v/>
      </c>
      <c r="BU47" s="3">
        <f>BT46-BU46</f>
        <v/>
      </c>
      <c r="BV47" s="3">
        <f>BU46-BV46</f>
        <v/>
      </c>
    </row>
    <row r="49">
      <c r="A49" t="inlineStr">
        <is>
          <t>opening book (Jan 2025)</t>
        </is>
      </c>
      <c r="B49" t="inlineStr">
        <is>
          <t>LATAM|BASIC_A</t>
        </is>
      </c>
      <c r="C49" s="3">
        <f>Params!$B$19*Params!$B$53*Params!$B$78</f>
        <v/>
      </c>
    </row>
    <row r="50">
      <c r="A50" t="inlineStr">
        <is>
          <t>active</t>
        </is>
      </c>
      <c r="B50" t="inlineStr">
        <is>
          <t>LATAM|BASIC_A</t>
        </is>
      </c>
      <c r="C50" s="3">
        <f>$C$49*((MOD(C$2,12)+1)*Params!$B$15^(INT(C$2/12)+1)+(11-MOD(C$2,12))*Params!$B$15^INT(C$2/12))/12</f>
        <v/>
      </c>
      <c r="D50" s="3">
        <f>$C$49*((MOD(D$2,12)+1)*Params!$B$15^(INT(D$2/12)+1)+(11-MOD(D$2,12))*Params!$B$15^INT(D$2/12))/12</f>
        <v/>
      </c>
      <c r="E50" s="3">
        <f>$C$49*((MOD(E$2,12)+1)*Params!$B$15^(INT(E$2/12)+1)+(11-MOD(E$2,12))*Params!$B$15^INT(E$2/12))/12</f>
        <v/>
      </c>
      <c r="F50" s="3">
        <f>$C$49*((MOD(F$2,12)+1)*Params!$B$15^(INT(F$2/12)+1)+(11-MOD(F$2,12))*Params!$B$15^INT(F$2/12))/12</f>
        <v/>
      </c>
      <c r="G50" s="3">
        <f>$C$49*((MOD(G$2,12)+1)*Params!$B$15^(INT(G$2/12)+1)+(11-MOD(G$2,12))*Params!$B$15^INT(G$2/12))/12</f>
        <v/>
      </c>
      <c r="H50" s="3">
        <f>$C$49*((MOD(H$2,12)+1)*Params!$B$15^(INT(H$2/12)+1)+(11-MOD(H$2,12))*Params!$B$15^INT(H$2/12))/12</f>
        <v/>
      </c>
      <c r="I50" s="3">
        <f>$C$49*((MOD(I$2,12)+1)*Params!$B$15^(INT(I$2/12)+1)+(11-MOD(I$2,12))*Params!$B$15^INT(I$2/12))/12</f>
        <v/>
      </c>
      <c r="J50" s="3">
        <f>$C$49*((MOD(J$2,12)+1)*Params!$B$15^(INT(J$2/12)+1)+(11-MOD(J$2,12))*Params!$B$15^INT(J$2/12))/12</f>
        <v/>
      </c>
      <c r="K50" s="3">
        <f>$C$49*((MOD(K$2,12)+1)*Params!$B$15^(INT(K$2/12)+1)+(11-MOD(K$2,12))*Params!$B$15^INT(K$2/12))/12</f>
        <v/>
      </c>
      <c r="L50" s="3">
        <f>$C$49*((MOD(L$2,12)+1)*Params!$B$15^(INT(L$2/12)+1)+(11-MOD(L$2,12))*Params!$B$15^INT(L$2/12))/12</f>
        <v/>
      </c>
      <c r="M50" s="3">
        <f>$C$49*((MOD(M$2,12)+1)*Params!$B$15^(INT(M$2/12)+1)+(11-MOD(M$2,12))*Params!$B$15^INT(M$2/12))/12</f>
        <v/>
      </c>
      <c r="N50" s="3">
        <f>$C$49*((MOD(N$2,12)+1)*Params!$B$15^(INT(N$2/12)+1)+(11-MOD(N$2,12))*Params!$B$15^INT(N$2/12))/12</f>
        <v/>
      </c>
      <c r="O50" s="3">
        <f>$C$49*((MOD(O$2,12)+1)*Params!$B$15^(INT(O$2/12)+1)+(11-MOD(O$2,12))*Params!$B$15^INT(O$2/12))/12</f>
        <v/>
      </c>
      <c r="P50" s="3">
        <f>$C$49*((MOD(P$2,12)+1)*Params!$B$15^(INT(P$2/12)+1)+(11-MOD(P$2,12))*Params!$B$15^INT(P$2/12))/12</f>
        <v/>
      </c>
      <c r="Q50" s="3">
        <f>$C$49*((MOD(Q$2,12)+1)*Params!$B$15^(INT(Q$2/12)+1)+(11-MOD(Q$2,12))*Params!$B$15^INT(Q$2/12))/12</f>
        <v/>
      </c>
      <c r="R50" s="3">
        <f>$C$49*((MOD(R$2,12)+1)*Params!$B$15^(INT(R$2/12)+1)+(11-MOD(R$2,12))*Params!$B$15^INT(R$2/12))/12</f>
        <v/>
      </c>
      <c r="S50" s="3">
        <f>$C$49*((MOD(S$2,12)+1)*Params!$B$15^(INT(S$2/12)+1)+(11-MOD(S$2,12))*Params!$B$15^INT(S$2/12))/12</f>
        <v/>
      </c>
      <c r="T50" s="3">
        <f>$C$49*((MOD(T$2,12)+1)*Params!$B$15^(INT(T$2/12)+1)+(11-MOD(T$2,12))*Params!$B$15^INT(T$2/12))/12</f>
        <v/>
      </c>
      <c r="U50" s="3">
        <f>$C$49*((MOD(U$2,12)+1)*Params!$B$15^(INT(U$2/12)+1)+(11-MOD(U$2,12))*Params!$B$15^INT(U$2/12))/12</f>
        <v/>
      </c>
      <c r="V50" s="3">
        <f>$C$49*((MOD(V$2,12)+1)*Params!$B$15^(INT(V$2/12)+1)+(11-MOD(V$2,12))*Params!$B$15^INT(V$2/12))/12</f>
        <v/>
      </c>
      <c r="W50" s="3">
        <f>$C$49*((MOD(W$2,12)+1)*Params!$B$15^(INT(W$2/12)+1)+(11-MOD(W$2,12))*Params!$B$15^INT(W$2/12))/12</f>
        <v/>
      </c>
      <c r="X50" s="3">
        <f>$C$49*((MOD(X$2,12)+1)*Params!$B$15^(INT(X$2/12)+1)+(11-MOD(X$2,12))*Params!$B$15^INT(X$2/12))/12</f>
        <v/>
      </c>
      <c r="Y50" s="3">
        <f>$C$49*((MOD(Y$2,12)+1)*Params!$B$15^(INT(Y$2/12)+1)+(11-MOD(Y$2,12))*Params!$B$15^INT(Y$2/12))/12</f>
        <v/>
      </c>
      <c r="Z50" s="3">
        <f>$C$49*((MOD(Z$2,12)+1)*Params!$B$15^(INT(Z$2/12)+1)+(11-MOD(Z$2,12))*Params!$B$15^INT(Z$2/12))/12</f>
        <v/>
      </c>
      <c r="AA50" s="3">
        <f>$C$49*((MOD(AA$2,12)+1)*Params!$B$15^(INT(AA$2/12)+1)+(11-MOD(AA$2,12))*Params!$B$15^INT(AA$2/12))/12</f>
        <v/>
      </c>
      <c r="AB50" s="3">
        <f>$C$49*((MOD(AB$2,12)+1)*Params!$B$15^(INT(AB$2/12)+1)+(11-MOD(AB$2,12))*Params!$B$15^INT(AB$2/12))/12</f>
        <v/>
      </c>
      <c r="AC50" s="3">
        <f>$C$49*((MOD(AC$2,12)+1)*Params!$B$15^(INT(AC$2/12)+1)+(11-MOD(AC$2,12))*Params!$B$15^INT(AC$2/12))/12</f>
        <v/>
      </c>
      <c r="AD50" s="3">
        <f>$C$49*((MOD(AD$2,12)+1)*Params!$B$15^(INT(AD$2/12)+1)+(11-MOD(AD$2,12))*Params!$B$15^INT(AD$2/12))/12</f>
        <v/>
      </c>
      <c r="AE50" s="3">
        <f>$C$49*((MOD(AE$2,12)+1)*Params!$B$15^(INT(AE$2/12)+1)+(11-MOD(AE$2,12))*Params!$B$15^INT(AE$2/12))/12</f>
        <v/>
      </c>
      <c r="AF50" s="3">
        <f>$C$49*((MOD(AF$2,12)+1)*Params!$B$15^(INT(AF$2/12)+1)+(11-MOD(AF$2,12))*Params!$B$15^INT(AF$2/12))/12</f>
        <v/>
      </c>
      <c r="AG50" s="3">
        <f>$C$49*((MOD(AG$2,12)+1)*Params!$B$15^(INT(AG$2/12)+1)+(11-MOD(AG$2,12))*Params!$B$15^INT(AG$2/12))/12</f>
        <v/>
      </c>
      <c r="AH50" s="3">
        <f>$C$49*((MOD(AH$2,12)+1)*Params!$B$15^(INT(AH$2/12)+1)+(11-MOD(AH$2,12))*Params!$B$15^INT(AH$2/12))/12</f>
        <v/>
      </c>
      <c r="AI50" s="3">
        <f>$C$49*((MOD(AI$2,12)+1)*Params!$B$15^(INT(AI$2/12)+1)+(11-MOD(AI$2,12))*Params!$B$15^INT(AI$2/12))/12</f>
        <v/>
      </c>
      <c r="AJ50" s="3">
        <f>$C$49*((MOD(AJ$2,12)+1)*Params!$B$15^(INT(AJ$2/12)+1)+(11-MOD(AJ$2,12))*Params!$B$15^INT(AJ$2/12))/12</f>
        <v/>
      </c>
      <c r="AK50" s="3">
        <f>$C$49*((MOD(AK$2,12)+1)*Params!$B$15^(INT(AK$2/12)+1)+(11-MOD(AK$2,12))*Params!$B$15^INT(AK$2/12))/12</f>
        <v/>
      </c>
      <c r="AL50" s="3">
        <f>$C$49*((MOD(AL$2,12)+1)*Params!$B$15^(INT(AL$2/12)+1)+(11-MOD(AL$2,12))*Params!$B$15^INT(AL$2/12))/12</f>
        <v/>
      </c>
      <c r="AM50" s="3">
        <f>$C$49*((MOD(AM$2,12)+1)*Params!$B$15^(INT(AM$2/12)+1)+(11-MOD(AM$2,12))*Params!$B$15^INT(AM$2/12))/12</f>
        <v/>
      </c>
      <c r="AN50" s="3">
        <f>$C$49*((MOD(AN$2,12)+1)*Params!$B$15^(INT(AN$2/12)+1)+(11-MOD(AN$2,12))*Params!$B$15^INT(AN$2/12))/12</f>
        <v/>
      </c>
      <c r="AO50" s="3">
        <f>$C$49*((MOD(AO$2,12)+1)*Params!$B$15^(INT(AO$2/12)+1)+(11-MOD(AO$2,12))*Params!$B$15^INT(AO$2/12))/12</f>
        <v/>
      </c>
      <c r="AP50" s="3">
        <f>$C$49*((MOD(AP$2,12)+1)*Params!$B$15^(INT(AP$2/12)+1)+(11-MOD(AP$2,12))*Params!$B$15^INT(AP$2/12))/12</f>
        <v/>
      </c>
      <c r="AQ50" s="3">
        <f>$C$49*((MOD(AQ$2,12)+1)*Params!$B$15^(INT(AQ$2/12)+1)+(11-MOD(AQ$2,12))*Params!$B$15^INT(AQ$2/12))/12</f>
        <v/>
      </c>
      <c r="AR50" s="3">
        <f>$C$49*((MOD(AR$2,12)+1)*Params!$B$15^(INT(AR$2/12)+1)+(11-MOD(AR$2,12))*Params!$B$15^INT(AR$2/12))/12</f>
        <v/>
      </c>
      <c r="AS50" s="3">
        <f>$C$49*((MOD(AS$2,12)+1)*Params!$B$15^(INT(AS$2/12)+1)+(11-MOD(AS$2,12))*Params!$B$15^INT(AS$2/12))/12</f>
        <v/>
      </c>
      <c r="AT50" s="3">
        <f>$C$49*((MOD(AT$2,12)+1)*Params!$B$15^(INT(AT$2/12)+1)+(11-MOD(AT$2,12))*Params!$B$15^INT(AT$2/12))/12</f>
        <v/>
      </c>
      <c r="AU50" s="3">
        <f>$C$49*((MOD(AU$2,12)+1)*Params!$B$15^(INT(AU$2/12)+1)+(11-MOD(AU$2,12))*Params!$B$15^INT(AU$2/12))/12</f>
        <v/>
      </c>
      <c r="AV50" s="3">
        <f>$C$49*((MOD(AV$2,12)+1)*Params!$B$15^(INT(AV$2/12)+1)+(11-MOD(AV$2,12))*Params!$B$15^INT(AV$2/12))/12</f>
        <v/>
      </c>
      <c r="AW50" s="3">
        <f>$C$49*((MOD(AW$2,12)+1)*Params!$B$15^(INT(AW$2/12)+1)+(11-MOD(AW$2,12))*Params!$B$15^INT(AW$2/12))/12</f>
        <v/>
      </c>
      <c r="AX50" s="3">
        <f>$C$49*((MOD(AX$2,12)+1)*Params!$B$15^(INT(AX$2/12)+1)+(11-MOD(AX$2,12))*Params!$B$15^INT(AX$2/12))/12</f>
        <v/>
      </c>
      <c r="AY50" s="3">
        <f>$C$49*((MOD(AY$2,12)+1)*Params!$B$15^(INT(AY$2/12)+1)+(11-MOD(AY$2,12))*Params!$B$15^INT(AY$2/12))/12</f>
        <v/>
      </c>
      <c r="AZ50" s="3">
        <f>$C$49*((MOD(AZ$2,12)+1)*Params!$B$15^(INT(AZ$2/12)+1)+(11-MOD(AZ$2,12))*Params!$B$15^INT(AZ$2/12))/12</f>
        <v/>
      </c>
      <c r="BA50" s="3">
        <f>$C$49*((MOD(BA$2,12)+1)*Params!$B$15^(INT(BA$2/12)+1)+(11-MOD(BA$2,12))*Params!$B$15^INT(BA$2/12))/12</f>
        <v/>
      </c>
      <c r="BB50" s="3">
        <f>$C$49*((MOD(BB$2,12)+1)*Params!$B$15^(INT(BB$2/12)+1)+(11-MOD(BB$2,12))*Params!$B$15^INT(BB$2/12))/12</f>
        <v/>
      </c>
      <c r="BC50" s="3">
        <f>$C$49*((MOD(BC$2,12)+1)*Params!$B$15^(INT(BC$2/12)+1)+(11-MOD(BC$2,12))*Params!$B$15^INT(BC$2/12))/12</f>
        <v/>
      </c>
      <c r="BD50" s="3">
        <f>$C$49*((MOD(BD$2,12)+1)*Params!$B$15^(INT(BD$2/12)+1)+(11-MOD(BD$2,12))*Params!$B$15^INT(BD$2/12))/12</f>
        <v/>
      </c>
      <c r="BE50" s="3">
        <f>$C$49*((MOD(BE$2,12)+1)*Params!$B$15^(INT(BE$2/12)+1)+(11-MOD(BE$2,12))*Params!$B$15^INT(BE$2/12))/12</f>
        <v/>
      </c>
      <c r="BF50" s="3">
        <f>$C$49*((MOD(BF$2,12)+1)*Params!$B$15^(INT(BF$2/12)+1)+(11-MOD(BF$2,12))*Params!$B$15^INT(BF$2/12))/12</f>
        <v/>
      </c>
      <c r="BG50" s="3">
        <f>$C$49*((MOD(BG$2,12)+1)*Params!$B$15^(INT(BG$2/12)+1)+(11-MOD(BG$2,12))*Params!$B$15^INT(BG$2/12))/12</f>
        <v/>
      </c>
      <c r="BH50" s="3">
        <f>$C$49*((MOD(BH$2,12)+1)*Params!$B$15^(INT(BH$2/12)+1)+(11-MOD(BH$2,12))*Params!$B$15^INT(BH$2/12))/12</f>
        <v/>
      </c>
      <c r="BI50" s="3">
        <f>$C$49*((MOD(BI$2,12)+1)*Params!$B$15^(INT(BI$2/12)+1)+(11-MOD(BI$2,12))*Params!$B$15^INT(BI$2/12))/12</f>
        <v/>
      </c>
      <c r="BJ50" s="3">
        <f>$C$49*((MOD(BJ$2,12)+1)*Params!$B$15^(INT(BJ$2/12)+1)+(11-MOD(BJ$2,12))*Params!$B$15^INT(BJ$2/12))/12</f>
        <v/>
      </c>
      <c r="BK50" s="3">
        <f>$C$49*((MOD(BK$2,12)+1)*Params!$B$15^(INT(BK$2/12)+1)+(11-MOD(BK$2,12))*Params!$B$15^INT(BK$2/12))/12</f>
        <v/>
      </c>
      <c r="BL50" s="3">
        <f>$C$49*((MOD(BL$2,12)+1)*Params!$B$15^(INT(BL$2/12)+1)+(11-MOD(BL$2,12))*Params!$B$15^INT(BL$2/12))/12</f>
        <v/>
      </c>
      <c r="BM50" s="3">
        <f>$C$49*((MOD(BM$2,12)+1)*Params!$B$15^(INT(BM$2/12)+1)+(11-MOD(BM$2,12))*Params!$B$15^INT(BM$2/12))/12</f>
        <v/>
      </c>
      <c r="BN50" s="3">
        <f>$C$49*((MOD(BN$2,12)+1)*Params!$B$15^(INT(BN$2/12)+1)+(11-MOD(BN$2,12))*Params!$B$15^INT(BN$2/12))/12</f>
        <v/>
      </c>
      <c r="BO50" s="3">
        <f>$C$49*((MOD(BO$2,12)+1)*Params!$B$15^(INT(BO$2/12)+1)+(11-MOD(BO$2,12))*Params!$B$15^INT(BO$2/12))/12</f>
        <v/>
      </c>
      <c r="BP50" s="3">
        <f>$C$49*((MOD(BP$2,12)+1)*Params!$B$15^(INT(BP$2/12)+1)+(11-MOD(BP$2,12))*Params!$B$15^INT(BP$2/12))/12</f>
        <v/>
      </c>
      <c r="BQ50" s="3">
        <f>$C$49*((MOD(BQ$2,12)+1)*Params!$B$15^(INT(BQ$2/12)+1)+(11-MOD(BQ$2,12))*Params!$B$15^INT(BQ$2/12))/12</f>
        <v/>
      </c>
      <c r="BR50" s="3">
        <f>$C$49*((MOD(BR$2,12)+1)*Params!$B$15^(INT(BR$2/12)+1)+(11-MOD(BR$2,12))*Params!$B$15^INT(BR$2/12))/12</f>
        <v/>
      </c>
      <c r="BS50" s="3">
        <f>$C$49*((MOD(BS$2,12)+1)*Params!$B$15^(INT(BS$2/12)+1)+(11-MOD(BS$2,12))*Params!$B$15^INT(BS$2/12))/12</f>
        <v/>
      </c>
      <c r="BT50" s="3">
        <f>$C$49*((MOD(BT$2,12)+1)*Params!$B$15^(INT(BT$2/12)+1)+(11-MOD(BT$2,12))*Params!$B$15^INT(BT$2/12))/12</f>
        <v/>
      </c>
      <c r="BU50" s="3">
        <f>$C$49*((MOD(BU$2,12)+1)*Params!$B$15^(INT(BU$2/12)+1)+(11-MOD(BU$2,12))*Params!$B$15^INT(BU$2/12))/12</f>
        <v/>
      </c>
      <c r="BV50" s="3">
        <f>$C$49*((MOD(BV$2,12)+1)*Params!$B$15^(INT(BV$2/12)+1)+(11-MOD(BV$2,12))*Params!$B$15^INT(BV$2/12))/12</f>
        <v/>
      </c>
    </row>
    <row r="51">
      <c r="A51" t="inlineStr">
        <is>
          <t>churned</t>
        </is>
      </c>
      <c r="B51" t="inlineStr">
        <is>
          <t>LATAM|BASIC_A</t>
        </is>
      </c>
      <c r="C51" s="3">
        <f>$C$49-C50</f>
        <v/>
      </c>
      <c r="D51" s="3">
        <f>C50-D50</f>
        <v/>
      </c>
      <c r="E51" s="3">
        <f>D50-E50</f>
        <v/>
      </c>
      <c r="F51" s="3">
        <f>E50-F50</f>
        <v/>
      </c>
      <c r="G51" s="3">
        <f>F50-G50</f>
        <v/>
      </c>
      <c r="H51" s="3">
        <f>G50-H50</f>
        <v/>
      </c>
      <c r="I51" s="3">
        <f>H50-I50</f>
        <v/>
      </c>
      <c r="J51" s="3">
        <f>I50-J50</f>
        <v/>
      </c>
      <c r="K51" s="3">
        <f>J50-K50</f>
        <v/>
      </c>
      <c r="L51" s="3">
        <f>K50-L50</f>
        <v/>
      </c>
      <c r="M51" s="3">
        <f>L50-M50</f>
        <v/>
      </c>
      <c r="N51" s="3">
        <f>M50-N50</f>
        <v/>
      </c>
      <c r="O51" s="3">
        <f>N50-O50</f>
        <v/>
      </c>
      <c r="P51" s="3">
        <f>O50-P50</f>
        <v/>
      </c>
      <c r="Q51" s="3">
        <f>P50-Q50</f>
        <v/>
      </c>
      <c r="R51" s="3">
        <f>Q50-R50</f>
        <v/>
      </c>
      <c r="S51" s="3">
        <f>R50-S50</f>
        <v/>
      </c>
      <c r="T51" s="3">
        <f>S50-T50</f>
        <v/>
      </c>
      <c r="U51" s="3">
        <f>T50-U50</f>
        <v/>
      </c>
      <c r="V51" s="3">
        <f>U50-V50</f>
        <v/>
      </c>
      <c r="W51" s="3">
        <f>V50-W50</f>
        <v/>
      </c>
      <c r="X51" s="3">
        <f>W50-X50</f>
        <v/>
      </c>
      <c r="Y51" s="3">
        <f>X50-Y50</f>
        <v/>
      </c>
      <c r="Z51" s="3">
        <f>Y50-Z50</f>
        <v/>
      </c>
      <c r="AA51" s="3">
        <f>Z50-AA50</f>
        <v/>
      </c>
      <c r="AB51" s="3">
        <f>AA50-AB50</f>
        <v/>
      </c>
      <c r="AC51" s="3">
        <f>AB50-AC50</f>
        <v/>
      </c>
      <c r="AD51" s="3">
        <f>AC50-AD50</f>
        <v/>
      </c>
      <c r="AE51" s="3">
        <f>AD50-AE50</f>
        <v/>
      </c>
      <c r="AF51" s="3">
        <f>AE50-AF50</f>
        <v/>
      </c>
      <c r="AG51" s="3">
        <f>AF50-AG50</f>
        <v/>
      </c>
      <c r="AH51" s="3">
        <f>AG50-AH50</f>
        <v/>
      </c>
      <c r="AI51" s="3">
        <f>AH50-AI50</f>
        <v/>
      </c>
      <c r="AJ51" s="3">
        <f>AI50-AJ50</f>
        <v/>
      </c>
      <c r="AK51" s="3">
        <f>AJ50-AK50</f>
        <v/>
      </c>
      <c r="AL51" s="3">
        <f>AK50-AL50</f>
        <v/>
      </c>
      <c r="AM51" s="3">
        <f>AL50-AM50</f>
        <v/>
      </c>
      <c r="AN51" s="3">
        <f>AM50-AN50</f>
        <v/>
      </c>
      <c r="AO51" s="3">
        <f>AN50-AO50</f>
        <v/>
      </c>
      <c r="AP51" s="3">
        <f>AO50-AP50</f>
        <v/>
      </c>
      <c r="AQ51" s="3">
        <f>AP50-AQ50</f>
        <v/>
      </c>
      <c r="AR51" s="3">
        <f>AQ50-AR50</f>
        <v/>
      </c>
      <c r="AS51" s="3">
        <f>AR50-AS50</f>
        <v/>
      </c>
      <c r="AT51" s="3">
        <f>AS50-AT50</f>
        <v/>
      </c>
      <c r="AU51" s="3">
        <f>AT50-AU50</f>
        <v/>
      </c>
      <c r="AV51" s="3">
        <f>AU50-AV50</f>
        <v/>
      </c>
      <c r="AW51" s="3">
        <f>AV50-AW50</f>
        <v/>
      </c>
      <c r="AX51" s="3">
        <f>AW50-AX50</f>
        <v/>
      </c>
      <c r="AY51" s="3">
        <f>AX50-AY50</f>
        <v/>
      </c>
      <c r="AZ51" s="3">
        <f>AY50-AZ50</f>
        <v/>
      </c>
      <c r="BA51" s="3">
        <f>AZ50-BA50</f>
        <v/>
      </c>
      <c r="BB51" s="3">
        <f>BA50-BB50</f>
        <v/>
      </c>
      <c r="BC51" s="3">
        <f>BB50-BC50</f>
        <v/>
      </c>
      <c r="BD51" s="3">
        <f>BC50-BD50</f>
        <v/>
      </c>
      <c r="BE51" s="3">
        <f>BD50-BE50</f>
        <v/>
      </c>
      <c r="BF51" s="3">
        <f>BE50-BF50</f>
        <v/>
      </c>
      <c r="BG51" s="3">
        <f>BF50-BG50</f>
        <v/>
      </c>
      <c r="BH51" s="3">
        <f>BG50-BH50</f>
        <v/>
      </c>
      <c r="BI51" s="3">
        <f>BH50-BI50</f>
        <v/>
      </c>
      <c r="BJ51" s="3">
        <f>BI50-BJ50</f>
        <v/>
      </c>
      <c r="BK51" s="3">
        <f>BJ50-BK50</f>
        <v/>
      </c>
      <c r="BL51" s="3">
        <f>BK50-BL50</f>
        <v/>
      </c>
      <c r="BM51" s="3">
        <f>BL50-BM50</f>
        <v/>
      </c>
      <c r="BN51" s="3">
        <f>BM50-BN50</f>
        <v/>
      </c>
      <c r="BO51" s="3">
        <f>BN50-BO50</f>
        <v/>
      </c>
      <c r="BP51" s="3">
        <f>BO50-BP50</f>
        <v/>
      </c>
      <c r="BQ51" s="3">
        <f>BP50-BQ50</f>
        <v/>
      </c>
      <c r="BR51" s="3">
        <f>BQ50-BR50</f>
        <v/>
      </c>
      <c r="BS51" s="3">
        <f>BR50-BS50</f>
        <v/>
      </c>
      <c r="BT51" s="3">
        <f>BS50-BT50</f>
        <v/>
      </c>
      <c r="BU51" s="3">
        <f>BT50-BU50</f>
        <v/>
      </c>
      <c r="BV51" s="3">
        <f>BU50-BV50</f>
        <v/>
      </c>
    </row>
    <row r="53">
      <c r="A53" t="inlineStr">
        <is>
          <t>opening book (Jan 2025)</t>
        </is>
      </c>
      <c r="B53" t="inlineStr">
        <is>
          <t>APAC|NITRO_M</t>
        </is>
      </c>
      <c r="C53" s="3">
        <f>Params!$B$19*Params!$B$54*Params!$B$75</f>
        <v/>
      </c>
    </row>
    <row r="54">
      <c r="A54" t="inlineStr">
        <is>
          <t>active</t>
        </is>
      </c>
      <c r="B54" t="inlineStr">
        <is>
          <t>APAC|NITRO_M</t>
        </is>
      </c>
      <c r="C54" s="3">
        <f>$C$53*(1-Params!$B$20)^(C$2+1)</f>
        <v/>
      </c>
      <c r="D54" s="3">
        <f>$C$53*(1-Params!$B$20)^(D$2+1)</f>
        <v/>
      </c>
      <c r="E54" s="3">
        <f>$C$53*(1-Params!$B$20)^(E$2+1)</f>
        <v/>
      </c>
      <c r="F54" s="3">
        <f>$C$53*(1-Params!$B$20)^(F$2+1)</f>
        <v/>
      </c>
      <c r="G54" s="3">
        <f>$C$53*(1-Params!$B$20)^(G$2+1)</f>
        <v/>
      </c>
      <c r="H54" s="3">
        <f>$C$53*(1-Params!$B$20)^(H$2+1)</f>
        <v/>
      </c>
      <c r="I54" s="3">
        <f>$C$53*(1-Params!$B$20)^(I$2+1)</f>
        <v/>
      </c>
      <c r="J54" s="3">
        <f>$C$53*(1-Params!$B$20)^(J$2+1)</f>
        <v/>
      </c>
      <c r="K54" s="3">
        <f>$C$53*(1-Params!$B$20)^(K$2+1)</f>
        <v/>
      </c>
      <c r="L54" s="3">
        <f>$C$53*(1-Params!$B$20)^(L$2+1)</f>
        <v/>
      </c>
      <c r="M54" s="3">
        <f>$C$53*(1-Params!$B$20)^(M$2+1)</f>
        <v/>
      </c>
      <c r="N54" s="3">
        <f>$C$53*(1-Params!$B$20)^(N$2+1)</f>
        <v/>
      </c>
      <c r="O54" s="3">
        <f>$C$53*(1-Params!$B$20)^(O$2+1)</f>
        <v/>
      </c>
      <c r="P54" s="3">
        <f>$C$53*(1-Params!$B$20)^(P$2+1)</f>
        <v/>
      </c>
      <c r="Q54" s="3">
        <f>$C$53*(1-Params!$B$20)^(Q$2+1)</f>
        <v/>
      </c>
      <c r="R54" s="3">
        <f>$C$53*(1-Params!$B$20)^(R$2+1)</f>
        <v/>
      </c>
      <c r="S54" s="3">
        <f>$C$53*(1-Params!$B$20)^(S$2+1)</f>
        <v/>
      </c>
      <c r="T54" s="3">
        <f>$C$53*(1-Params!$B$20)^(T$2+1)</f>
        <v/>
      </c>
      <c r="U54" s="3">
        <f>$C$53*(1-Params!$B$20)^(U$2+1)</f>
        <v/>
      </c>
      <c r="V54" s="3">
        <f>$C$53*(1-Params!$B$20)^(V$2+1)</f>
        <v/>
      </c>
      <c r="W54" s="3">
        <f>$C$53*(1-Params!$B$20)^(W$2+1)</f>
        <v/>
      </c>
      <c r="X54" s="3">
        <f>$C$53*(1-Params!$B$20)^(X$2+1)</f>
        <v/>
      </c>
      <c r="Y54" s="3">
        <f>$C$53*(1-Params!$B$20)^(Y$2+1)</f>
        <v/>
      </c>
      <c r="Z54" s="3">
        <f>$C$53*(1-Params!$B$20)^(Z$2+1)</f>
        <v/>
      </c>
      <c r="AA54" s="3">
        <f>$C$53*(1-Params!$B$20)^(AA$2+1)</f>
        <v/>
      </c>
      <c r="AB54" s="3">
        <f>$C$53*(1-Params!$B$20)^(AB$2+1)</f>
        <v/>
      </c>
      <c r="AC54" s="3">
        <f>$C$53*(1-Params!$B$20)^(AC$2+1)</f>
        <v/>
      </c>
      <c r="AD54" s="3">
        <f>$C$53*(1-Params!$B$20)^(AD$2+1)</f>
        <v/>
      </c>
      <c r="AE54" s="3">
        <f>$C$53*(1-Params!$B$20)^(AE$2+1)</f>
        <v/>
      </c>
      <c r="AF54" s="3">
        <f>$C$53*(1-Params!$B$20)^(AF$2+1)</f>
        <v/>
      </c>
      <c r="AG54" s="3">
        <f>$C$53*(1-Params!$B$20)^(AG$2+1)</f>
        <v/>
      </c>
      <c r="AH54" s="3">
        <f>$C$53*(1-Params!$B$20)^(AH$2+1)</f>
        <v/>
      </c>
      <c r="AI54" s="3">
        <f>$C$53*(1-Params!$B$20)^(AI$2+1)</f>
        <v/>
      </c>
      <c r="AJ54" s="3">
        <f>$C$53*(1-Params!$B$20)^(AJ$2+1)</f>
        <v/>
      </c>
      <c r="AK54" s="3">
        <f>$C$53*(1-Params!$B$20)^(AK$2+1)</f>
        <v/>
      </c>
      <c r="AL54" s="3">
        <f>$C$53*(1-Params!$B$20)^(AL$2+1)</f>
        <v/>
      </c>
      <c r="AM54" s="3">
        <f>$C$53*(1-Params!$B$20)^(AM$2+1)</f>
        <v/>
      </c>
      <c r="AN54" s="3">
        <f>$C$53*(1-Params!$B$20)^(AN$2+1)</f>
        <v/>
      </c>
      <c r="AO54" s="3">
        <f>$C$53*(1-Params!$B$20)^(AO$2+1)</f>
        <v/>
      </c>
      <c r="AP54" s="3">
        <f>$C$53*(1-Params!$B$20)^(AP$2+1)</f>
        <v/>
      </c>
      <c r="AQ54" s="3">
        <f>$C$53*(1-Params!$B$20)^(AQ$2+1)</f>
        <v/>
      </c>
      <c r="AR54" s="3">
        <f>$C$53*(1-Params!$B$20)^(AR$2+1)</f>
        <v/>
      </c>
      <c r="AS54" s="3">
        <f>$C$53*(1-Params!$B$20)^(AS$2+1)</f>
        <v/>
      </c>
      <c r="AT54" s="3">
        <f>$C$53*(1-Params!$B$20)^(AT$2+1)</f>
        <v/>
      </c>
      <c r="AU54" s="3">
        <f>$C$53*(1-Params!$B$20)^(AU$2+1)</f>
        <v/>
      </c>
      <c r="AV54" s="3">
        <f>$C$53*(1-Params!$B$20)^(AV$2+1)</f>
        <v/>
      </c>
      <c r="AW54" s="3">
        <f>$C$53*(1-Params!$B$20)^(AW$2+1)</f>
        <v/>
      </c>
      <c r="AX54" s="3">
        <f>$C$53*(1-Params!$B$20)^(AX$2+1)</f>
        <v/>
      </c>
      <c r="AY54" s="3">
        <f>$C$53*(1-Params!$B$20)^(AY$2+1)</f>
        <v/>
      </c>
      <c r="AZ54" s="3">
        <f>$C$53*(1-Params!$B$20)^(AZ$2+1)</f>
        <v/>
      </c>
      <c r="BA54" s="3">
        <f>$C$53*(1-Params!$B$20)^(BA$2+1)</f>
        <v/>
      </c>
      <c r="BB54" s="3">
        <f>$C$53*(1-Params!$B$20)^(BB$2+1)</f>
        <v/>
      </c>
      <c r="BC54" s="3">
        <f>$C$53*(1-Params!$B$20)^(BC$2+1)</f>
        <v/>
      </c>
      <c r="BD54" s="3">
        <f>$C$53*(1-Params!$B$20)^(BD$2+1)</f>
        <v/>
      </c>
      <c r="BE54" s="3">
        <f>$C$53*(1-Params!$B$20)^(BE$2+1)</f>
        <v/>
      </c>
      <c r="BF54" s="3">
        <f>$C$53*(1-Params!$B$20)^(BF$2+1)</f>
        <v/>
      </c>
      <c r="BG54" s="3">
        <f>$C$53*(1-Params!$B$20)^(BG$2+1)</f>
        <v/>
      </c>
      <c r="BH54" s="3">
        <f>$C$53*(1-Params!$B$20)^(BH$2+1)</f>
        <v/>
      </c>
      <c r="BI54" s="3">
        <f>$C$53*(1-Params!$B$20)^(BI$2+1)</f>
        <v/>
      </c>
      <c r="BJ54" s="3">
        <f>$C$53*(1-Params!$B$20)^(BJ$2+1)</f>
        <v/>
      </c>
      <c r="BK54" s="3">
        <f>$C$53*(1-Params!$B$20)^(BK$2+1)</f>
        <v/>
      </c>
      <c r="BL54" s="3">
        <f>$C$53*(1-Params!$B$20)^(BL$2+1)</f>
        <v/>
      </c>
      <c r="BM54" s="3">
        <f>$C$53*(1-Params!$B$20)^(BM$2+1)</f>
        <v/>
      </c>
      <c r="BN54" s="3">
        <f>$C$53*(1-Params!$B$20)^(BN$2+1)</f>
        <v/>
      </c>
      <c r="BO54" s="3">
        <f>$C$53*(1-Params!$B$20)^(BO$2+1)</f>
        <v/>
      </c>
      <c r="BP54" s="3">
        <f>$C$53*(1-Params!$B$20)^(BP$2+1)</f>
        <v/>
      </c>
      <c r="BQ54" s="3">
        <f>$C$53*(1-Params!$B$20)^(BQ$2+1)</f>
        <v/>
      </c>
      <c r="BR54" s="3">
        <f>$C$53*(1-Params!$B$20)^(BR$2+1)</f>
        <v/>
      </c>
      <c r="BS54" s="3">
        <f>$C$53*(1-Params!$B$20)^(BS$2+1)</f>
        <v/>
      </c>
      <c r="BT54" s="3">
        <f>$C$53*(1-Params!$B$20)^(BT$2+1)</f>
        <v/>
      </c>
      <c r="BU54" s="3">
        <f>$C$53*(1-Params!$B$20)^(BU$2+1)</f>
        <v/>
      </c>
      <c r="BV54" s="3">
        <f>$C$53*(1-Params!$B$20)^(BV$2+1)</f>
        <v/>
      </c>
    </row>
    <row r="55">
      <c r="A55" t="inlineStr">
        <is>
          <t>churned</t>
        </is>
      </c>
      <c r="B55" t="inlineStr">
        <is>
          <t>APAC|NITRO_M</t>
        </is>
      </c>
      <c r="C55" s="3">
        <f>$C$53-C54</f>
        <v/>
      </c>
      <c r="D55" s="3">
        <f>C54-D54</f>
        <v/>
      </c>
      <c r="E55" s="3">
        <f>D54-E54</f>
        <v/>
      </c>
      <c r="F55" s="3">
        <f>E54-F54</f>
        <v/>
      </c>
      <c r="G55" s="3">
        <f>F54-G54</f>
        <v/>
      </c>
      <c r="H55" s="3">
        <f>G54-H54</f>
        <v/>
      </c>
      <c r="I55" s="3">
        <f>H54-I54</f>
        <v/>
      </c>
      <c r="J55" s="3">
        <f>I54-J54</f>
        <v/>
      </c>
      <c r="K55" s="3">
        <f>J54-K54</f>
        <v/>
      </c>
      <c r="L55" s="3">
        <f>K54-L54</f>
        <v/>
      </c>
      <c r="M55" s="3">
        <f>L54-M54</f>
        <v/>
      </c>
      <c r="N55" s="3">
        <f>M54-N54</f>
        <v/>
      </c>
      <c r="O55" s="3">
        <f>N54-O54</f>
        <v/>
      </c>
      <c r="P55" s="3">
        <f>O54-P54</f>
        <v/>
      </c>
      <c r="Q55" s="3">
        <f>P54-Q54</f>
        <v/>
      </c>
      <c r="R55" s="3">
        <f>Q54-R54</f>
        <v/>
      </c>
      <c r="S55" s="3">
        <f>R54-S54</f>
        <v/>
      </c>
      <c r="T55" s="3">
        <f>S54-T54</f>
        <v/>
      </c>
      <c r="U55" s="3">
        <f>T54-U54</f>
        <v/>
      </c>
      <c r="V55" s="3">
        <f>U54-V54</f>
        <v/>
      </c>
      <c r="W55" s="3">
        <f>V54-W54</f>
        <v/>
      </c>
      <c r="X55" s="3">
        <f>W54-X54</f>
        <v/>
      </c>
      <c r="Y55" s="3">
        <f>X54-Y54</f>
        <v/>
      </c>
      <c r="Z55" s="3">
        <f>Y54-Z54</f>
        <v/>
      </c>
      <c r="AA55" s="3">
        <f>Z54-AA54</f>
        <v/>
      </c>
      <c r="AB55" s="3">
        <f>AA54-AB54</f>
        <v/>
      </c>
      <c r="AC55" s="3">
        <f>AB54-AC54</f>
        <v/>
      </c>
      <c r="AD55" s="3">
        <f>AC54-AD54</f>
        <v/>
      </c>
      <c r="AE55" s="3">
        <f>AD54-AE54</f>
        <v/>
      </c>
      <c r="AF55" s="3">
        <f>AE54-AF54</f>
        <v/>
      </c>
      <c r="AG55" s="3">
        <f>AF54-AG54</f>
        <v/>
      </c>
      <c r="AH55" s="3">
        <f>AG54-AH54</f>
        <v/>
      </c>
      <c r="AI55" s="3">
        <f>AH54-AI54</f>
        <v/>
      </c>
      <c r="AJ55" s="3">
        <f>AI54-AJ54</f>
        <v/>
      </c>
      <c r="AK55" s="3">
        <f>AJ54-AK54</f>
        <v/>
      </c>
      <c r="AL55" s="3">
        <f>AK54-AL54</f>
        <v/>
      </c>
      <c r="AM55" s="3">
        <f>AL54-AM54</f>
        <v/>
      </c>
      <c r="AN55" s="3">
        <f>AM54-AN54</f>
        <v/>
      </c>
      <c r="AO55" s="3">
        <f>AN54-AO54</f>
        <v/>
      </c>
      <c r="AP55" s="3">
        <f>AO54-AP54</f>
        <v/>
      </c>
      <c r="AQ55" s="3">
        <f>AP54-AQ54</f>
        <v/>
      </c>
      <c r="AR55" s="3">
        <f>AQ54-AR54</f>
        <v/>
      </c>
      <c r="AS55" s="3">
        <f>AR54-AS54</f>
        <v/>
      </c>
      <c r="AT55" s="3">
        <f>AS54-AT54</f>
        <v/>
      </c>
      <c r="AU55" s="3">
        <f>AT54-AU54</f>
        <v/>
      </c>
      <c r="AV55" s="3">
        <f>AU54-AV54</f>
        <v/>
      </c>
      <c r="AW55" s="3">
        <f>AV54-AW54</f>
        <v/>
      </c>
      <c r="AX55" s="3">
        <f>AW54-AX54</f>
        <v/>
      </c>
      <c r="AY55" s="3">
        <f>AX54-AY54</f>
        <v/>
      </c>
      <c r="AZ55" s="3">
        <f>AY54-AZ54</f>
        <v/>
      </c>
      <c r="BA55" s="3">
        <f>AZ54-BA54</f>
        <v/>
      </c>
      <c r="BB55" s="3">
        <f>BA54-BB54</f>
        <v/>
      </c>
      <c r="BC55" s="3">
        <f>BB54-BC54</f>
        <v/>
      </c>
      <c r="BD55" s="3">
        <f>BC54-BD54</f>
        <v/>
      </c>
      <c r="BE55" s="3">
        <f>BD54-BE54</f>
        <v/>
      </c>
      <c r="BF55" s="3">
        <f>BE54-BF54</f>
        <v/>
      </c>
      <c r="BG55" s="3">
        <f>BF54-BG54</f>
        <v/>
      </c>
      <c r="BH55" s="3">
        <f>BG54-BH54</f>
        <v/>
      </c>
      <c r="BI55" s="3">
        <f>BH54-BI54</f>
        <v/>
      </c>
      <c r="BJ55" s="3">
        <f>BI54-BJ54</f>
        <v/>
      </c>
      <c r="BK55" s="3">
        <f>BJ54-BK54</f>
        <v/>
      </c>
      <c r="BL55" s="3">
        <f>BK54-BL54</f>
        <v/>
      </c>
      <c r="BM55" s="3">
        <f>BL54-BM54</f>
        <v/>
      </c>
      <c r="BN55" s="3">
        <f>BM54-BN54</f>
        <v/>
      </c>
      <c r="BO55" s="3">
        <f>BN54-BO54</f>
        <v/>
      </c>
      <c r="BP55" s="3">
        <f>BO54-BP54</f>
        <v/>
      </c>
      <c r="BQ55" s="3">
        <f>BP54-BQ54</f>
        <v/>
      </c>
      <c r="BR55" s="3">
        <f>BQ54-BR54</f>
        <v/>
      </c>
      <c r="BS55" s="3">
        <f>BR54-BS54</f>
        <v/>
      </c>
      <c r="BT55" s="3">
        <f>BS54-BT54</f>
        <v/>
      </c>
      <c r="BU55" s="3">
        <f>BT54-BU54</f>
        <v/>
      </c>
      <c r="BV55" s="3">
        <f>BU54-BV54</f>
        <v/>
      </c>
    </row>
    <row r="57">
      <c r="A57" t="inlineStr">
        <is>
          <t>opening book (Jan 2025)</t>
        </is>
      </c>
      <c r="B57" t="inlineStr">
        <is>
          <t>APAC|NITRO_A</t>
        </is>
      </c>
      <c r="C57" s="3">
        <f>Params!$B$19*Params!$B$54*Params!$B$76</f>
        <v/>
      </c>
    </row>
    <row r="58">
      <c r="A58" t="inlineStr">
        <is>
          <t>active</t>
        </is>
      </c>
      <c r="B58" t="inlineStr">
        <is>
          <t>APAC|NITRO_A</t>
        </is>
      </c>
      <c r="C58" s="3">
        <f>$C$57*((MOD(C$2,12)+1)*Params!$B$15^(INT(C$2/12)+1)+(11-MOD(C$2,12))*Params!$B$15^INT(C$2/12))/12</f>
        <v/>
      </c>
      <c r="D58" s="3">
        <f>$C$57*((MOD(D$2,12)+1)*Params!$B$15^(INT(D$2/12)+1)+(11-MOD(D$2,12))*Params!$B$15^INT(D$2/12))/12</f>
        <v/>
      </c>
      <c r="E58" s="3">
        <f>$C$57*((MOD(E$2,12)+1)*Params!$B$15^(INT(E$2/12)+1)+(11-MOD(E$2,12))*Params!$B$15^INT(E$2/12))/12</f>
        <v/>
      </c>
      <c r="F58" s="3">
        <f>$C$57*((MOD(F$2,12)+1)*Params!$B$15^(INT(F$2/12)+1)+(11-MOD(F$2,12))*Params!$B$15^INT(F$2/12))/12</f>
        <v/>
      </c>
      <c r="G58" s="3">
        <f>$C$57*((MOD(G$2,12)+1)*Params!$B$15^(INT(G$2/12)+1)+(11-MOD(G$2,12))*Params!$B$15^INT(G$2/12))/12</f>
        <v/>
      </c>
      <c r="H58" s="3">
        <f>$C$57*((MOD(H$2,12)+1)*Params!$B$15^(INT(H$2/12)+1)+(11-MOD(H$2,12))*Params!$B$15^INT(H$2/12))/12</f>
        <v/>
      </c>
      <c r="I58" s="3">
        <f>$C$57*((MOD(I$2,12)+1)*Params!$B$15^(INT(I$2/12)+1)+(11-MOD(I$2,12))*Params!$B$15^INT(I$2/12))/12</f>
        <v/>
      </c>
      <c r="J58" s="3">
        <f>$C$57*((MOD(J$2,12)+1)*Params!$B$15^(INT(J$2/12)+1)+(11-MOD(J$2,12))*Params!$B$15^INT(J$2/12))/12</f>
        <v/>
      </c>
      <c r="K58" s="3">
        <f>$C$57*((MOD(K$2,12)+1)*Params!$B$15^(INT(K$2/12)+1)+(11-MOD(K$2,12))*Params!$B$15^INT(K$2/12))/12</f>
        <v/>
      </c>
      <c r="L58" s="3">
        <f>$C$57*((MOD(L$2,12)+1)*Params!$B$15^(INT(L$2/12)+1)+(11-MOD(L$2,12))*Params!$B$15^INT(L$2/12))/12</f>
        <v/>
      </c>
      <c r="M58" s="3">
        <f>$C$57*((MOD(M$2,12)+1)*Params!$B$15^(INT(M$2/12)+1)+(11-MOD(M$2,12))*Params!$B$15^INT(M$2/12))/12</f>
        <v/>
      </c>
      <c r="N58" s="3">
        <f>$C$57*((MOD(N$2,12)+1)*Params!$B$15^(INT(N$2/12)+1)+(11-MOD(N$2,12))*Params!$B$15^INT(N$2/12))/12</f>
        <v/>
      </c>
      <c r="O58" s="3">
        <f>$C$57*((MOD(O$2,12)+1)*Params!$B$15^(INT(O$2/12)+1)+(11-MOD(O$2,12))*Params!$B$15^INT(O$2/12))/12</f>
        <v/>
      </c>
      <c r="P58" s="3">
        <f>$C$57*((MOD(P$2,12)+1)*Params!$B$15^(INT(P$2/12)+1)+(11-MOD(P$2,12))*Params!$B$15^INT(P$2/12))/12</f>
        <v/>
      </c>
      <c r="Q58" s="3">
        <f>$C$57*((MOD(Q$2,12)+1)*Params!$B$15^(INT(Q$2/12)+1)+(11-MOD(Q$2,12))*Params!$B$15^INT(Q$2/12))/12</f>
        <v/>
      </c>
      <c r="R58" s="3">
        <f>$C$57*((MOD(R$2,12)+1)*Params!$B$15^(INT(R$2/12)+1)+(11-MOD(R$2,12))*Params!$B$15^INT(R$2/12))/12</f>
        <v/>
      </c>
      <c r="S58" s="3">
        <f>$C$57*((MOD(S$2,12)+1)*Params!$B$15^(INT(S$2/12)+1)+(11-MOD(S$2,12))*Params!$B$15^INT(S$2/12))/12</f>
        <v/>
      </c>
      <c r="T58" s="3">
        <f>$C$57*((MOD(T$2,12)+1)*Params!$B$15^(INT(T$2/12)+1)+(11-MOD(T$2,12))*Params!$B$15^INT(T$2/12))/12</f>
        <v/>
      </c>
      <c r="U58" s="3">
        <f>$C$57*((MOD(U$2,12)+1)*Params!$B$15^(INT(U$2/12)+1)+(11-MOD(U$2,12))*Params!$B$15^INT(U$2/12))/12</f>
        <v/>
      </c>
      <c r="V58" s="3">
        <f>$C$57*((MOD(V$2,12)+1)*Params!$B$15^(INT(V$2/12)+1)+(11-MOD(V$2,12))*Params!$B$15^INT(V$2/12))/12</f>
        <v/>
      </c>
      <c r="W58" s="3">
        <f>$C$57*((MOD(W$2,12)+1)*Params!$B$15^(INT(W$2/12)+1)+(11-MOD(W$2,12))*Params!$B$15^INT(W$2/12))/12</f>
        <v/>
      </c>
      <c r="X58" s="3">
        <f>$C$57*((MOD(X$2,12)+1)*Params!$B$15^(INT(X$2/12)+1)+(11-MOD(X$2,12))*Params!$B$15^INT(X$2/12))/12</f>
        <v/>
      </c>
      <c r="Y58" s="3">
        <f>$C$57*((MOD(Y$2,12)+1)*Params!$B$15^(INT(Y$2/12)+1)+(11-MOD(Y$2,12))*Params!$B$15^INT(Y$2/12))/12</f>
        <v/>
      </c>
      <c r="Z58" s="3">
        <f>$C$57*((MOD(Z$2,12)+1)*Params!$B$15^(INT(Z$2/12)+1)+(11-MOD(Z$2,12))*Params!$B$15^INT(Z$2/12))/12</f>
        <v/>
      </c>
      <c r="AA58" s="3">
        <f>$C$57*((MOD(AA$2,12)+1)*Params!$B$15^(INT(AA$2/12)+1)+(11-MOD(AA$2,12))*Params!$B$15^INT(AA$2/12))/12</f>
        <v/>
      </c>
      <c r="AB58" s="3">
        <f>$C$57*((MOD(AB$2,12)+1)*Params!$B$15^(INT(AB$2/12)+1)+(11-MOD(AB$2,12))*Params!$B$15^INT(AB$2/12))/12</f>
        <v/>
      </c>
      <c r="AC58" s="3">
        <f>$C$57*((MOD(AC$2,12)+1)*Params!$B$15^(INT(AC$2/12)+1)+(11-MOD(AC$2,12))*Params!$B$15^INT(AC$2/12))/12</f>
        <v/>
      </c>
      <c r="AD58" s="3">
        <f>$C$57*((MOD(AD$2,12)+1)*Params!$B$15^(INT(AD$2/12)+1)+(11-MOD(AD$2,12))*Params!$B$15^INT(AD$2/12))/12</f>
        <v/>
      </c>
      <c r="AE58" s="3">
        <f>$C$57*((MOD(AE$2,12)+1)*Params!$B$15^(INT(AE$2/12)+1)+(11-MOD(AE$2,12))*Params!$B$15^INT(AE$2/12))/12</f>
        <v/>
      </c>
      <c r="AF58" s="3">
        <f>$C$57*((MOD(AF$2,12)+1)*Params!$B$15^(INT(AF$2/12)+1)+(11-MOD(AF$2,12))*Params!$B$15^INT(AF$2/12))/12</f>
        <v/>
      </c>
      <c r="AG58" s="3">
        <f>$C$57*((MOD(AG$2,12)+1)*Params!$B$15^(INT(AG$2/12)+1)+(11-MOD(AG$2,12))*Params!$B$15^INT(AG$2/12))/12</f>
        <v/>
      </c>
      <c r="AH58" s="3">
        <f>$C$57*((MOD(AH$2,12)+1)*Params!$B$15^(INT(AH$2/12)+1)+(11-MOD(AH$2,12))*Params!$B$15^INT(AH$2/12))/12</f>
        <v/>
      </c>
      <c r="AI58" s="3">
        <f>$C$57*((MOD(AI$2,12)+1)*Params!$B$15^(INT(AI$2/12)+1)+(11-MOD(AI$2,12))*Params!$B$15^INT(AI$2/12))/12</f>
        <v/>
      </c>
      <c r="AJ58" s="3">
        <f>$C$57*((MOD(AJ$2,12)+1)*Params!$B$15^(INT(AJ$2/12)+1)+(11-MOD(AJ$2,12))*Params!$B$15^INT(AJ$2/12))/12</f>
        <v/>
      </c>
      <c r="AK58" s="3">
        <f>$C$57*((MOD(AK$2,12)+1)*Params!$B$15^(INT(AK$2/12)+1)+(11-MOD(AK$2,12))*Params!$B$15^INT(AK$2/12))/12</f>
        <v/>
      </c>
      <c r="AL58" s="3">
        <f>$C$57*((MOD(AL$2,12)+1)*Params!$B$15^(INT(AL$2/12)+1)+(11-MOD(AL$2,12))*Params!$B$15^INT(AL$2/12))/12</f>
        <v/>
      </c>
      <c r="AM58" s="3">
        <f>$C$57*((MOD(AM$2,12)+1)*Params!$B$15^(INT(AM$2/12)+1)+(11-MOD(AM$2,12))*Params!$B$15^INT(AM$2/12))/12</f>
        <v/>
      </c>
      <c r="AN58" s="3">
        <f>$C$57*((MOD(AN$2,12)+1)*Params!$B$15^(INT(AN$2/12)+1)+(11-MOD(AN$2,12))*Params!$B$15^INT(AN$2/12))/12</f>
        <v/>
      </c>
      <c r="AO58" s="3">
        <f>$C$57*((MOD(AO$2,12)+1)*Params!$B$15^(INT(AO$2/12)+1)+(11-MOD(AO$2,12))*Params!$B$15^INT(AO$2/12))/12</f>
        <v/>
      </c>
      <c r="AP58" s="3">
        <f>$C$57*((MOD(AP$2,12)+1)*Params!$B$15^(INT(AP$2/12)+1)+(11-MOD(AP$2,12))*Params!$B$15^INT(AP$2/12))/12</f>
        <v/>
      </c>
      <c r="AQ58" s="3">
        <f>$C$57*((MOD(AQ$2,12)+1)*Params!$B$15^(INT(AQ$2/12)+1)+(11-MOD(AQ$2,12))*Params!$B$15^INT(AQ$2/12))/12</f>
        <v/>
      </c>
      <c r="AR58" s="3">
        <f>$C$57*((MOD(AR$2,12)+1)*Params!$B$15^(INT(AR$2/12)+1)+(11-MOD(AR$2,12))*Params!$B$15^INT(AR$2/12))/12</f>
        <v/>
      </c>
      <c r="AS58" s="3">
        <f>$C$57*((MOD(AS$2,12)+1)*Params!$B$15^(INT(AS$2/12)+1)+(11-MOD(AS$2,12))*Params!$B$15^INT(AS$2/12))/12</f>
        <v/>
      </c>
      <c r="AT58" s="3">
        <f>$C$57*((MOD(AT$2,12)+1)*Params!$B$15^(INT(AT$2/12)+1)+(11-MOD(AT$2,12))*Params!$B$15^INT(AT$2/12))/12</f>
        <v/>
      </c>
      <c r="AU58" s="3">
        <f>$C$57*((MOD(AU$2,12)+1)*Params!$B$15^(INT(AU$2/12)+1)+(11-MOD(AU$2,12))*Params!$B$15^INT(AU$2/12))/12</f>
        <v/>
      </c>
      <c r="AV58" s="3">
        <f>$C$57*((MOD(AV$2,12)+1)*Params!$B$15^(INT(AV$2/12)+1)+(11-MOD(AV$2,12))*Params!$B$15^INT(AV$2/12))/12</f>
        <v/>
      </c>
      <c r="AW58" s="3">
        <f>$C$57*((MOD(AW$2,12)+1)*Params!$B$15^(INT(AW$2/12)+1)+(11-MOD(AW$2,12))*Params!$B$15^INT(AW$2/12))/12</f>
        <v/>
      </c>
      <c r="AX58" s="3">
        <f>$C$57*((MOD(AX$2,12)+1)*Params!$B$15^(INT(AX$2/12)+1)+(11-MOD(AX$2,12))*Params!$B$15^INT(AX$2/12))/12</f>
        <v/>
      </c>
      <c r="AY58" s="3">
        <f>$C$57*((MOD(AY$2,12)+1)*Params!$B$15^(INT(AY$2/12)+1)+(11-MOD(AY$2,12))*Params!$B$15^INT(AY$2/12))/12</f>
        <v/>
      </c>
      <c r="AZ58" s="3">
        <f>$C$57*((MOD(AZ$2,12)+1)*Params!$B$15^(INT(AZ$2/12)+1)+(11-MOD(AZ$2,12))*Params!$B$15^INT(AZ$2/12))/12</f>
        <v/>
      </c>
      <c r="BA58" s="3">
        <f>$C$57*((MOD(BA$2,12)+1)*Params!$B$15^(INT(BA$2/12)+1)+(11-MOD(BA$2,12))*Params!$B$15^INT(BA$2/12))/12</f>
        <v/>
      </c>
      <c r="BB58" s="3">
        <f>$C$57*((MOD(BB$2,12)+1)*Params!$B$15^(INT(BB$2/12)+1)+(11-MOD(BB$2,12))*Params!$B$15^INT(BB$2/12))/12</f>
        <v/>
      </c>
      <c r="BC58" s="3">
        <f>$C$57*((MOD(BC$2,12)+1)*Params!$B$15^(INT(BC$2/12)+1)+(11-MOD(BC$2,12))*Params!$B$15^INT(BC$2/12))/12</f>
        <v/>
      </c>
      <c r="BD58" s="3">
        <f>$C$57*((MOD(BD$2,12)+1)*Params!$B$15^(INT(BD$2/12)+1)+(11-MOD(BD$2,12))*Params!$B$15^INT(BD$2/12))/12</f>
        <v/>
      </c>
      <c r="BE58" s="3">
        <f>$C$57*((MOD(BE$2,12)+1)*Params!$B$15^(INT(BE$2/12)+1)+(11-MOD(BE$2,12))*Params!$B$15^INT(BE$2/12))/12</f>
        <v/>
      </c>
      <c r="BF58" s="3">
        <f>$C$57*((MOD(BF$2,12)+1)*Params!$B$15^(INT(BF$2/12)+1)+(11-MOD(BF$2,12))*Params!$B$15^INT(BF$2/12))/12</f>
        <v/>
      </c>
      <c r="BG58" s="3">
        <f>$C$57*((MOD(BG$2,12)+1)*Params!$B$15^(INT(BG$2/12)+1)+(11-MOD(BG$2,12))*Params!$B$15^INT(BG$2/12))/12</f>
        <v/>
      </c>
      <c r="BH58" s="3">
        <f>$C$57*((MOD(BH$2,12)+1)*Params!$B$15^(INT(BH$2/12)+1)+(11-MOD(BH$2,12))*Params!$B$15^INT(BH$2/12))/12</f>
        <v/>
      </c>
      <c r="BI58" s="3">
        <f>$C$57*((MOD(BI$2,12)+1)*Params!$B$15^(INT(BI$2/12)+1)+(11-MOD(BI$2,12))*Params!$B$15^INT(BI$2/12))/12</f>
        <v/>
      </c>
      <c r="BJ58" s="3">
        <f>$C$57*((MOD(BJ$2,12)+1)*Params!$B$15^(INT(BJ$2/12)+1)+(11-MOD(BJ$2,12))*Params!$B$15^INT(BJ$2/12))/12</f>
        <v/>
      </c>
      <c r="BK58" s="3">
        <f>$C$57*((MOD(BK$2,12)+1)*Params!$B$15^(INT(BK$2/12)+1)+(11-MOD(BK$2,12))*Params!$B$15^INT(BK$2/12))/12</f>
        <v/>
      </c>
      <c r="BL58" s="3">
        <f>$C$57*((MOD(BL$2,12)+1)*Params!$B$15^(INT(BL$2/12)+1)+(11-MOD(BL$2,12))*Params!$B$15^INT(BL$2/12))/12</f>
        <v/>
      </c>
      <c r="BM58" s="3">
        <f>$C$57*((MOD(BM$2,12)+1)*Params!$B$15^(INT(BM$2/12)+1)+(11-MOD(BM$2,12))*Params!$B$15^INT(BM$2/12))/12</f>
        <v/>
      </c>
      <c r="BN58" s="3">
        <f>$C$57*((MOD(BN$2,12)+1)*Params!$B$15^(INT(BN$2/12)+1)+(11-MOD(BN$2,12))*Params!$B$15^INT(BN$2/12))/12</f>
        <v/>
      </c>
      <c r="BO58" s="3">
        <f>$C$57*((MOD(BO$2,12)+1)*Params!$B$15^(INT(BO$2/12)+1)+(11-MOD(BO$2,12))*Params!$B$15^INT(BO$2/12))/12</f>
        <v/>
      </c>
      <c r="BP58" s="3">
        <f>$C$57*((MOD(BP$2,12)+1)*Params!$B$15^(INT(BP$2/12)+1)+(11-MOD(BP$2,12))*Params!$B$15^INT(BP$2/12))/12</f>
        <v/>
      </c>
      <c r="BQ58" s="3">
        <f>$C$57*((MOD(BQ$2,12)+1)*Params!$B$15^(INT(BQ$2/12)+1)+(11-MOD(BQ$2,12))*Params!$B$15^INT(BQ$2/12))/12</f>
        <v/>
      </c>
      <c r="BR58" s="3">
        <f>$C$57*((MOD(BR$2,12)+1)*Params!$B$15^(INT(BR$2/12)+1)+(11-MOD(BR$2,12))*Params!$B$15^INT(BR$2/12))/12</f>
        <v/>
      </c>
      <c r="BS58" s="3">
        <f>$C$57*((MOD(BS$2,12)+1)*Params!$B$15^(INT(BS$2/12)+1)+(11-MOD(BS$2,12))*Params!$B$15^INT(BS$2/12))/12</f>
        <v/>
      </c>
      <c r="BT58" s="3">
        <f>$C$57*((MOD(BT$2,12)+1)*Params!$B$15^(INT(BT$2/12)+1)+(11-MOD(BT$2,12))*Params!$B$15^INT(BT$2/12))/12</f>
        <v/>
      </c>
      <c r="BU58" s="3">
        <f>$C$57*((MOD(BU$2,12)+1)*Params!$B$15^(INT(BU$2/12)+1)+(11-MOD(BU$2,12))*Params!$B$15^INT(BU$2/12))/12</f>
        <v/>
      </c>
      <c r="BV58" s="3">
        <f>$C$57*((MOD(BV$2,12)+1)*Params!$B$15^(INT(BV$2/12)+1)+(11-MOD(BV$2,12))*Params!$B$15^INT(BV$2/12))/12</f>
        <v/>
      </c>
    </row>
    <row r="59">
      <c r="A59" t="inlineStr">
        <is>
          <t>churned</t>
        </is>
      </c>
      <c r="B59" t="inlineStr">
        <is>
          <t>APAC|NITRO_A</t>
        </is>
      </c>
      <c r="C59" s="3">
        <f>$C$57-C58</f>
        <v/>
      </c>
      <c r="D59" s="3">
        <f>C58-D58</f>
        <v/>
      </c>
      <c r="E59" s="3">
        <f>D58-E58</f>
        <v/>
      </c>
      <c r="F59" s="3">
        <f>E58-F58</f>
        <v/>
      </c>
      <c r="G59" s="3">
        <f>F58-G58</f>
        <v/>
      </c>
      <c r="H59" s="3">
        <f>G58-H58</f>
        <v/>
      </c>
      <c r="I59" s="3">
        <f>H58-I58</f>
        <v/>
      </c>
      <c r="J59" s="3">
        <f>I58-J58</f>
        <v/>
      </c>
      <c r="K59" s="3">
        <f>J58-K58</f>
        <v/>
      </c>
      <c r="L59" s="3">
        <f>K58-L58</f>
        <v/>
      </c>
      <c r="M59" s="3">
        <f>L58-M58</f>
        <v/>
      </c>
      <c r="N59" s="3">
        <f>M58-N58</f>
        <v/>
      </c>
      <c r="O59" s="3">
        <f>N58-O58</f>
        <v/>
      </c>
      <c r="P59" s="3">
        <f>O58-P58</f>
        <v/>
      </c>
      <c r="Q59" s="3">
        <f>P58-Q58</f>
        <v/>
      </c>
      <c r="R59" s="3">
        <f>Q58-R58</f>
        <v/>
      </c>
      <c r="S59" s="3">
        <f>R58-S58</f>
        <v/>
      </c>
      <c r="T59" s="3">
        <f>S58-T58</f>
        <v/>
      </c>
      <c r="U59" s="3">
        <f>T58-U58</f>
        <v/>
      </c>
      <c r="V59" s="3">
        <f>U58-V58</f>
        <v/>
      </c>
      <c r="W59" s="3">
        <f>V58-W58</f>
        <v/>
      </c>
      <c r="X59" s="3">
        <f>W58-X58</f>
        <v/>
      </c>
      <c r="Y59" s="3">
        <f>X58-Y58</f>
        <v/>
      </c>
      <c r="Z59" s="3">
        <f>Y58-Z58</f>
        <v/>
      </c>
      <c r="AA59" s="3">
        <f>Z58-AA58</f>
        <v/>
      </c>
      <c r="AB59" s="3">
        <f>AA58-AB58</f>
        <v/>
      </c>
      <c r="AC59" s="3">
        <f>AB58-AC58</f>
        <v/>
      </c>
      <c r="AD59" s="3">
        <f>AC58-AD58</f>
        <v/>
      </c>
      <c r="AE59" s="3">
        <f>AD58-AE58</f>
        <v/>
      </c>
      <c r="AF59" s="3">
        <f>AE58-AF58</f>
        <v/>
      </c>
      <c r="AG59" s="3">
        <f>AF58-AG58</f>
        <v/>
      </c>
      <c r="AH59" s="3">
        <f>AG58-AH58</f>
        <v/>
      </c>
      <c r="AI59" s="3">
        <f>AH58-AI58</f>
        <v/>
      </c>
      <c r="AJ59" s="3">
        <f>AI58-AJ58</f>
        <v/>
      </c>
      <c r="AK59" s="3">
        <f>AJ58-AK58</f>
        <v/>
      </c>
      <c r="AL59" s="3">
        <f>AK58-AL58</f>
        <v/>
      </c>
      <c r="AM59" s="3">
        <f>AL58-AM58</f>
        <v/>
      </c>
      <c r="AN59" s="3">
        <f>AM58-AN58</f>
        <v/>
      </c>
      <c r="AO59" s="3">
        <f>AN58-AO58</f>
        <v/>
      </c>
      <c r="AP59" s="3">
        <f>AO58-AP58</f>
        <v/>
      </c>
      <c r="AQ59" s="3">
        <f>AP58-AQ58</f>
        <v/>
      </c>
      <c r="AR59" s="3">
        <f>AQ58-AR58</f>
        <v/>
      </c>
      <c r="AS59" s="3">
        <f>AR58-AS58</f>
        <v/>
      </c>
      <c r="AT59" s="3">
        <f>AS58-AT58</f>
        <v/>
      </c>
      <c r="AU59" s="3">
        <f>AT58-AU58</f>
        <v/>
      </c>
      <c r="AV59" s="3">
        <f>AU58-AV58</f>
        <v/>
      </c>
      <c r="AW59" s="3">
        <f>AV58-AW58</f>
        <v/>
      </c>
      <c r="AX59" s="3">
        <f>AW58-AX58</f>
        <v/>
      </c>
      <c r="AY59" s="3">
        <f>AX58-AY58</f>
        <v/>
      </c>
      <c r="AZ59" s="3">
        <f>AY58-AZ58</f>
        <v/>
      </c>
      <c r="BA59" s="3">
        <f>AZ58-BA58</f>
        <v/>
      </c>
      <c r="BB59" s="3">
        <f>BA58-BB58</f>
        <v/>
      </c>
      <c r="BC59" s="3">
        <f>BB58-BC58</f>
        <v/>
      </c>
      <c r="BD59" s="3">
        <f>BC58-BD58</f>
        <v/>
      </c>
      <c r="BE59" s="3">
        <f>BD58-BE58</f>
        <v/>
      </c>
      <c r="BF59" s="3">
        <f>BE58-BF58</f>
        <v/>
      </c>
      <c r="BG59" s="3">
        <f>BF58-BG58</f>
        <v/>
      </c>
      <c r="BH59" s="3">
        <f>BG58-BH58</f>
        <v/>
      </c>
      <c r="BI59" s="3">
        <f>BH58-BI58</f>
        <v/>
      </c>
      <c r="BJ59" s="3">
        <f>BI58-BJ58</f>
        <v/>
      </c>
      <c r="BK59" s="3">
        <f>BJ58-BK58</f>
        <v/>
      </c>
      <c r="BL59" s="3">
        <f>BK58-BL58</f>
        <v/>
      </c>
      <c r="BM59" s="3">
        <f>BL58-BM58</f>
        <v/>
      </c>
      <c r="BN59" s="3">
        <f>BM58-BN58</f>
        <v/>
      </c>
      <c r="BO59" s="3">
        <f>BN58-BO58</f>
        <v/>
      </c>
      <c r="BP59" s="3">
        <f>BO58-BP58</f>
        <v/>
      </c>
      <c r="BQ59" s="3">
        <f>BP58-BQ58</f>
        <v/>
      </c>
      <c r="BR59" s="3">
        <f>BQ58-BR58</f>
        <v/>
      </c>
      <c r="BS59" s="3">
        <f>BR58-BS58</f>
        <v/>
      </c>
      <c r="BT59" s="3">
        <f>BS58-BT58</f>
        <v/>
      </c>
      <c r="BU59" s="3">
        <f>BT58-BU58</f>
        <v/>
      </c>
      <c r="BV59" s="3">
        <f>BU58-BV58</f>
        <v/>
      </c>
    </row>
    <row r="61">
      <c r="A61" t="inlineStr">
        <is>
          <t>opening book (Jan 2025)</t>
        </is>
      </c>
      <c r="B61" t="inlineStr">
        <is>
          <t>APAC|BASIC_M</t>
        </is>
      </c>
      <c r="C61" s="3">
        <f>Params!$B$19*Params!$B$54*Params!$B$77</f>
        <v/>
      </c>
    </row>
    <row r="62">
      <c r="A62" t="inlineStr">
        <is>
          <t>active</t>
        </is>
      </c>
      <c r="B62" t="inlineStr">
        <is>
          <t>APAC|BASIC_M</t>
        </is>
      </c>
      <c r="C62" s="3">
        <f>$C$61*(1-Params!$B$20)^(C$2+1)</f>
        <v/>
      </c>
      <c r="D62" s="3">
        <f>$C$61*(1-Params!$B$20)^(D$2+1)</f>
        <v/>
      </c>
      <c r="E62" s="3">
        <f>$C$61*(1-Params!$B$20)^(E$2+1)</f>
        <v/>
      </c>
      <c r="F62" s="3">
        <f>$C$61*(1-Params!$B$20)^(F$2+1)</f>
        <v/>
      </c>
      <c r="G62" s="3">
        <f>$C$61*(1-Params!$B$20)^(G$2+1)</f>
        <v/>
      </c>
      <c r="H62" s="3">
        <f>$C$61*(1-Params!$B$20)^(H$2+1)</f>
        <v/>
      </c>
      <c r="I62" s="3">
        <f>$C$61*(1-Params!$B$20)^(I$2+1)</f>
        <v/>
      </c>
      <c r="J62" s="3">
        <f>$C$61*(1-Params!$B$20)^(J$2+1)</f>
        <v/>
      </c>
      <c r="K62" s="3">
        <f>$C$61*(1-Params!$B$20)^(K$2+1)</f>
        <v/>
      </c>
      <c r="L62" s="3">
        <f>$C$61*(1-Params!$B$20)^(L$2+1)</f>
        <v/>
      </c>
      <c r="M62" s="3">
        <f>$C$61*(1-Params!$B$20)^(M$2+1)</f>
        <v/>
      </c>
      <c r="N62" s="3">
        <f>$C$61*(1-Params!$B$20)^(N$2+1)</f>
        <v/>
      </c>
      <c r="O62" s="3">
        <f>$C$61*(1-Params!$B$20)^(O$2+1)</f>
        <v/>
      </c>
      <c r="P62" s="3">
        <f>$C$61*(1-Params!$B$20)^(P$2+1)</f>
        <v/>
      </c>
      <c r="Q62" s="3">
        <f>$C$61*(1-Params!$B$20)^(Q$2+1)</f>
        <v/>
      </c>
      <c r="R62" s="3">
        <f>$C$61*(1-Params!$B$20)^(R$2+1)</f>
        <v/>
      </c>
      <c r="S62" s="3">
        <f>$C$61*(1-Params!$B$20)^(S$2+1)</f>
        <v/>
      </c>
      <c r="T62" s="3">
        <f>$C$61*(1-Params!$B$20)^(T$2+1)</f>
        <v/>
      </c>
      <c r="U62" s="3">
        <f>$C$61*(1-Params!$B$20)^(U$2+1)</f>
        <v/>
      </c>
      <c r="V62" s="3">
        <f>$C$61*(1-Params!$B$20)^(V$2+1)</f>
        <v/>
      </c>
      <c r="W62" s="3">
        <f>$C$61*(1-Params!$B$20)^(W$2+1)</f>
        <v/>
      </c>
      <c r="X62" s="3">
        <f>$C$61*(1-Params!$B$20)^(X$2+1)</f>
        <v/>
      </c>
      <c r="Y62" s="3">
        <f>$C$61*(1-Params!$B$20)^(Y$2+1)</f>
        <v/>
      </c>
      <c r="Z62" s="3">
        <f>$C$61*(1-Params!$B$20)^(Z$2+1)</f>
        <v/>
      </c>
      <c r="AA62" s="3">
        <f>$C$61*(1-Params!$B$20)^(AA$2+1)</f>
        <v/>
      </c>
      <c r="AB62" s="3">
        <f>$C$61*(1-Params!$B$20)^(AB$2+1)</f>
        <v/>
      </c>
      <c r="AC62" s="3">
        <f>$C$61*(1-Params!$B$20)^(AC$2+1)</f>
        <v/>
      </c>
      <c r="AD62" s="3">
        <f>$C$61*(1-Params!$B$20)^(AD$2+1)</f>
        <v/>
      </c>
      <c r="AE62" s="3">
        <f>$C$61*(1-Params!$B$20)^(AE$2+1)</f>
        <v/>
      </c>
      <c r="AF62" s="3">
        <f>$C$61*(1-Params!$B$20)^(AF$2+1)</f>
        <v/>
      </c>
      <c r="AG62" s="3">
        <f>$C$61*(1-Params!$B$20)^(AG$2+1)</f>
        <v/>
      </c>
      <c r="AH62" s="3">
        <f>$C$61*(1-Params!$B$20)^(AH$2+1)</f>
        <v/>
      </c>
      <c r="AI62" s="3">
        <f>$C$61*(1-Params!$B$20)^(AI$2+1)</f>
        <v/>
      </c>
      <c r="AJ62" s="3">
        <f>$C$61*(1-Params!$B$20)^(AJ$2+1)</f>
        <v/>
      </c>
      <c r="AK62" s="3">
        <f>$C$61*(1-Params!$B$20)^(AK$2+1)</f>
        <v/>
      </c>
      <c r="AL62" s="3">
        <f>$C$61*(1-Params!$B$20)^(AL$2+1)</f>
        <v/>
      </c>
      <c r="AM62" s="3">
        <f>$C$61*(1-Params!$B$20)^(AM$2+1)</f>
        <v/>
      </c>
      <c r="AN62" s="3">
        <f>$C$61*(1-Params!$B$20)^(AN$2+1)</f>
        <v/>
      </c>
      <c r="AO62" s="3">
        <f>$C$61*(1-Params!$B$20)^(AO$2+1)</f>
        <v/>
      </c>
      <c r="AP62" s="3">
        <f>$C$61*(1-Params!$B$20)^(AP$2+1)</f>
        <v/>
      </c>
      <c r="AQ62" s="3">
        <f>$C$61*(1-Params!$B$20)^(AQ$2+1)</f>
        <v/>
      </c>
      <c r="AR62" s="3">
        <f>$C$61*(1-Params!$B$20)^(AR$2+1)</f>
        <v/>
      </c>
      <c r="AS62" s="3">
        <f>$C$61*(1-Params!$B$20)^(AS$2+1)</f>
        <v/>
      </c>
      <c r="AT62" s="3">
        <f>$C$61*(1-Params!$B$20)^(AT$2+1)</f>
        <v/>
      </c>
      <c r="AU62" s="3">
        <f>$C$61*(1-Params!$B$20)^(AU$2+1)</f>
        <v/>
      </c>
      <c r="AV62" s="3">
        <f>$C$61*(1-Params!$B$20)^(AV$2+1)</f>
        <v/>
      </c>
      <c r="AW62" s="3">
        <f>$C$61*(1-Params!$B$20)^(AW$2+1)</f>
        <v/>
      </c>
      <c r="AX62" s="3">
        <f>$C$61*(1-Params!$B$20)^(AX$2+1)</f>
        <v/>
      </c>
      <c r="AY62" s="3">
        <f>$C$61*(1-Params!$B$20)^(AY$2+1)</f>
        <v/>
      </c>
      <c r="AZ62" s="3">
        <f>$C$61*(1-Params!$B$20)^(AZ$2+1)</f>
        <v/>
      </c>
      <c r="BA62" s="3">
        <f>$C$61*(1-Params!$B$20)^(BA$2+1)</f>
        <v/>
      </c>
      <c r="BB62" s="3">
        <f>$C$61*(1-Params!$B$20)^(BB$2+1)</f>
        <v/>
      </c>
      <c r="BC62" s="3">
        <f>$C$61*(1-Params!$B$20)^(BC$2+1)</f>
        <v/>
      </c>
      <c r="BD62" s="3">
        <f>$C$61*(1-Params!$B$20)^(BD$2+1)</f>
        <v/>
      </c>
      <c r="BE62" s="3">
        <f>$C$61*(1-Params!$B$20)^(BE$2+1)</f>
        <v/>
      </c>
      <c r="BF62" s="3">
        <f>$C$61*(1-Params!$B$20)^(BF$2+1)</f>
        <v/>
      </c>
      <c r="BG62" s="3">
        <f>$C$61*(1-Params!$B$20)^(BG$2+1)</f>
        <v/>
      </c>
      <c r="BH62" s="3">
        <f>$C$61*(1-Params!$B$20)^(BH$2+1)</f>
        <v/>
      </c>
      <c r="BI62" s="3">
        <f>$C$61*(1-Params!$B$20)^(BI$2+1)</f>
        <v/>
      </c>
      <c r="BJ62" s="3">
        <f>$C$61*(1-Params!$B$20)^(BJ$2+1)</f>
        <v/>
      </c>
      <c r="BK62" s="3">
        <f>$C$61*(1-Params!$B$20)^(BK$2+1)</f>
        <v/>
      </c>
      <c r="BL62" s="3">
        <f>$C$61*(1-Params!$B$20)^(BL$2+1)</f>
        <v/>
      </c>
      <c r="BM62" s="3">
        <f>$C$61*(1-Params!$B$20)^(BM$2+1)</f>
        <v/>
      </c>
      <c r="BN62" s="3">
        <f>$C$61*(1-Params!$B$20)^(BN$2+1)</f>
        <v/>
      </c>
      <c r="BO62" s="3">
        <f>$C$61*(1-Params!$B$20)^(BO$2+1)</f>
        <v/>
      </c>
      <c r="BP62" s="3">
        <f>$C$61*(1-Params!$B$20)^(BP$2+1)</f>
        <v/>
      </c>
      <c r="BQ62" s="3">
        <f>$C$61*(1-Params!$B$20)^(BQ$2+1)</f>
        <v/>
      </c>
      <c r="BR62" s="3">
        <f>$C$61*(1-Params!$B$20)^(BR$2+1)</f>
        <v/>
      </c>
      <c r="BS62" s="3">
        <f>$C$61*(1-Params!$B$20)^(BS$2+1)</f>
        <v/>
      </c>
      <c r="BT62" s="3">
        <f>$C$61*(1-Params!$B$20)^(BT$2+1)</f>
        <v/>
      </c>
      <c r="BU62" s="3">
        <f>$C$61*(1-Params!$B$20)^(BU$2+1)</f>
        <v/>
      </c>
      <c r="BV62" s="3">
        <f>$C$61*(1-Params!$B$20)^(BV$2+1)</f>
        <v/>
      </c>
    </row>
    <row r="63">
      <c r="A63" t="inlineStr">
        <is>
          <t>churned</t>
        </is>
      </c>
      <c r="B63" t="inlineStr">
        <is>
          <t>APAC|BASIC_M</t>
        </is>
      </c>
      <c r="C63" s="3">
        <f>$C$61-C62</f>
        <v/>
      </c>
      <c r="D63" s="3">
        <f>C62-D62</f>
        <v/>
      </c>
      <c r="E63" s="3">
        <f>D62-E62</f>
        <v/>
      </c>
      <c r="F63" s="3">
        <f>E62-F62</f>
        <v/>
      </c>
      <c r="G63" s="3">
        <f>F62-G62</f>
        <v/>
      </c>
      <c r="H63" s="3">
        <f>G62-H62</f>
        <v/>
      </c>
      <c r="I63" s="3">
        <f>H62-I62</f>
        <v/>
      </c>
      <c r="J63" s="3">
        <f>I62-J62</f>
        <v/>
      </c>
      <c r="K63" s="3">
        <f>J62-K62</f>
        <v/>
      </c>
      <c r="L63" s="3">
        <f>K62-L62</f>
        <v/>
      </c>
      <c r="M63" s="3">
        <f>L62-M62</f>
        <v/>
      </c>
      <c r="N63" s="3">
        <f>M62-N62</f>
        <v/>
      </c>
      <c r="O63" s="3">
        <f>N62-O62</f>
        <v/>
      </c>
      <c r="P63" s="3">
        <f>O62-P62</f>
        <v/>
      </c>
      <c r="Q63" s="3">
        <f>P62-Q62</f>
        <v/>
      </c>
      <c r="R63" s="3">
        <f>Q62-R62</f>
        <v/>
      </c>
      <c r="S63" s="3">
        <f>R62-S62</f>
        <v/>
      </c>
      <c r="T63" s="3">
        <f>S62-T62</f>
        <v/>
      </c>
      <c r="U63" s="3">
        <f>T62-U62</f>
        <v/>
      </c>
      <c r="V63" s="3">
        <f>U62-V62</f>
        <v/>
      </c>
      <c r="W63" s="3">
        <f>V62-W62</f>
        <v/>
      </c>
      <c r="X63" s="3">
        <f>W62-X62</f>
        <v/>
      </c>
      <c r="Y63" s="3">
        <f>X62-Y62</f>
        <v/>
      </c>
      <c r="Z63" s="3">
        <f>Y62-Z62</f>
        <v/>
      </c>
      <c r="AA63" s="3">
        <f>Z62-AA62</f>
        <v/>
      </c>
      <c r="AB63" s="3">
        <f>AA62-AB62</f>
        <v/>
      </c>
      <c r="AC63" s="3">
        <f>AB62-AC62</f>
        <v/>
      </c>
      <c r="AD63" s="3">
        <f>AC62-AD62</f>
        <v/>
      </c>
      <c r="AE63" s="3">
        <f>AD62-AE62</f>
        <v/>
      </c>
      <c r="AF63" s="3">
        <f>AE62-AF62</f>
        <v/>
      </c>
      <c r="AG63" s="3">
        <f>AF62-AG62</f>
        <v/>
      </c>
      <c r="AH63" s="3">
        <f>AG62-AH62</f>
        <v/>
      </c>
      <c r="AI63" s="3">
        <f>AH62-AI62</f>
        <v/>
      </c>
      <c r="AJ63" s="3">
        <f>AI62-AJ62</f>
        <v/>
      </c>
      <c r="AK63" s="3">
        <f>AJ62-AK62</f>
        <v/>
      </c>
      <c r="AL63" s="3">
        <f>AK62-AL62</f>
        <v/>
      </c>
      <c r="AM63" s="3">
        <f>AL62-AM62</f>
        <v/>
      </c>
      <c r="AN63" s="3">
        <f>AM62-AN62</f>
        <v/>
      </c>
      <c r="AO63" s="3">
        <f>AN62-AO62</f>
        <v/>
      </c>
      <c r="AP63" s="3">
        <f>AO62-AP62</f>
        <v/>
      </c>
      <c r="AQ63" s="3">
        <f>AP62-AQ62</f>
        <v/>
      </c>
      <c r="AR63" s="3">
        <f>AQ62-AR62</f>
        <v/>
      </c>
      <c r="AS63" s="3">
        <f>AR62-AS62</f>
        <v/>
      </c>
      <c r="AT63" s="3">
        <f>AS62-AT62</f>
        <v/>
      </c>
      <c r="AU63" s="3">
        <f>AT62-AU62</f>
        <v/>
      </c>
      <c r="AV63" s="3">
        <f>AU62-AV62</f>
        <v/>
      </c>
      <c r="AW63" s="3">
        <f>AV62-AW62</f>
        <v/>
      </c>
      <c r="AX63" s="3">
        <f>AW62-AX62</f>
        <v/>
      </c>
      <c r="AY63" s="3">
        <f>AX62-AY62</f>
        <v/>
      </c>
      <c r="AZ63" s="3">
        <f>AY62-AZ62</f>
        <v/>
      </c>
      <c r="BA63" s="3">
        <f>AZ62-BA62</f>
        <v/>
      </c>
      <c r="BB63" s="3">
        <f>BA62-BB62</f>
        <v/>
      </c>
      <c r="BC63" s="3">
        <f>BB62-BC62</f>
        <v/>
      </c>
      <c r="BD63" s="3">
        <f>BC62-BD62</f>
        <v/>
      </c>
      <c r="BE63" s="3">
        <f>BD62-BE62</f>
        <v/>
      </c>
      <c r="BF63" s="3">
        <f>BE62-BF62</f>
        <v/>
      </c>
      <c r="BG63" s="3">
        <f>BF62-BG62</f>
        <v/>
      </c>
      <c r="BH63" s="3">
        <f>BG62-BH62</f>
        <v/>
      </c>
      <c r="BI63" s="3">
        <f>BH62-BI62</f>
        <v/>
      </c>
      <c r="BJ63" s="3">
        <f>BI62-BJ62</f>
        <v/>
      </c>
      <c r="BK63" s="3">
        <f>BJ62-BK62</f>
        <v/>
      </c>
      <c r="BL63" s="3">
        <f>BK62-BL62</f>
        <v/>
      </c>
      <c r="BM63" s="3">
        <f>BL62-BM62</f>
        <v/>
      </c>
      <c r="BN63" s="3">
        <f>BM62-BN62</f>
        <v/>
      </c>
      <c r="BO63" s="3">
        <f>BN62-BO62</f>
        <v/>
      </c>
      <c r="BP63" s="3">
        <f>BO62-BP62</f>
        <v/>
      </c>
      <c r="BQ63" s="3">
        <f>BP62-BQ62</f>
        <v/>
      </c>
      <c r="BR63" s="3">
        <f>BQ62-BR62</f>
        <v/>
      </c>
      <c r="BS63" s="3">
        <f>BR62-BS62</f>
        <v/>
      </c>
      <c r="BT63" s="3">
        <f>BS62-BT62</f>
        <v/>
      </c>
      <c r="BU63" s="3">
        <f>BT62-BU62</f>
        <v/>
      </c>
      <c r="BV63" s="3">
        <f>BU62-BV62</f>
        <v/>
      </c>
    </row>
    <row r="65">
      <c r="A65" t="inlineStr">
        <is>
          <t>opening book (Jan 2025)</t>
        </is>
      </c>
      <c r="B65" t="inlineStr">
        <is>
          <t>APAC|BASIC_A</t>
        </is>
      </c>
      <c r="C65" s="3">
        <f>Params!$B$19*Params!$B$54*Params!$B$78</f>
        <v/>
      </c>
    </row>
    <row r="66">
      <c r="A66" t="inlineStr">
        <is>
          <t>active</t>
        </is>
      </c>
      <c r="B66" t="inlineStr">
        <is>
          <t>APAC|BASIC_A</t>
        </is>
      </c>
      <c r="C66" s="3">
        <f>$C$65*((MOD(C$2,12)+1)*Params!$B$15^(INT(C$2/12)+1)+(11-MOD(C$2,12))*Params!$B$15^INT(C$2/12))/12</f>
        <v/>
      </c>
      <c r="D66" s="3">
        <f>$C$65*((MOD(D$2,12)+1)*Params!$B$15^(INT(D$2/12)+1)+(11-MOD(D$2,12))*Params!$B$15^INT(D$2/12))/12</f>
        <v/>
      </c>
      <c r="E66" s="3">
        <f>$C$65*((MOD(E$2,12)+1)*Params!$B$15^(INT(E$2/12)+1)+(11-MOD(E$2,12))*Params!$B$15^INT(E$2/12))/12</f>
        <v/>
      </c>
      <c r="F66" s="3">
        <f>$C$65*((MOD(F$2,12)+1)*Params!$B$15^(INT(F$2/12)+1)+(11-MOD(F$2,12))*Params!$B$15^INT(F$2/12))/12</f>
        <v/>
      </c>
      <c r="G66" s="3">
        <f>$C$65*((MOD(G$2,12)+1)*Params!$B$15^(INT(G$2/12)+1)+(11-MOD(G$2,12))*Params!$B$15^INT(G$2/12))/12</f>
        <v/>
      </c>
      <c r="H66" s="3">
        <f>$C$65*((MOD(H$2,12)+1)*Params!$B$15^(INT(H$2/12)+1)+(11-MOD(H$2,12))*Params!$B$15^INT(H$2/12))/12</f>
        <v/>
      </c>
      <c r="I66" s="3">
        <f>$C$65*((MOD(I$2,12)+1)*Params!$B$15^(INT(I$2/12)+1)+(11-MOD(I$2,12))*Params!$B$15^INT(I$2/12))/12</f>
        <v/>
      </c>
      <c r="J66" s="3">
        <f>$C$65*((MOD(J$2,12)+1)*Params!$B$15^(INT(J$2/12)+1)+(11-MOD(J$2,12))*Params!$B$15^INT(J$2/12))/12</f>
        <v/>
      </c>
      <c r="K66" s="3">
        <f>$C$65*((MOD(K$2,12)+1)*Params!$B$15^(INT(K$2/12)+1)+(11-MOD(K$2,12))*Params!$B$15^INT(K$2/12))/12</f>
        <v/>
      </c>
      <c r="L66" s="3">
        <f>$C$65*((MOD(L$2,12)+1)*Params!$B$15^(INT(L$2/12)+1)+(11-MOD(L$2,12))*Params!$B$15^INT(L$2/12))/12</f>
        <v/>
      </c>
      <c r="M66" s="3">
        <f>$C$65*((MOD(M$2,12)+1)*Params!$B$15^(INT(M$2/12)+1)+(11-MOD(M$2,12))*Params!$B$15^INT(M$2/12))/12</f>
        <v/>
      </c>
      <c r="N66" s="3">
        <f>$C$65*((MOD(N$2,12)+1)*Params!$B$15^(INT(N$2/12)+1)+(11-MOD(N$2,12))*Params!$B$15^INT(N$2/12))/12</f>
        <v/>
      </c>
      <c r="O66" s="3">
        <f>$C$65*((MOD(O$2,12)+1)*Params!$B$15^(INT(O$2/12)+1)+(11-MOD(O$2,12))*Params!$B$15^INT(O$2/12))/12</f>
        <v/>
      </c>
      <c r="P66" s="3">
        <f>$C$65*((MOD(P$2,12)+1)*Params!$B$15^(INT(P$2/12)+1)+(11-MOD(P$2,12))*Params!$B$15^INT(P$2/12))/12</f>
        <v/>
      </c>
      <c r="Q66" s="3">
        <f>$C$65*((MOD(Q$2,12)+1)*Params!$B$15^(INT(Q$2/12)+1)+(11-MOD(Q$2,12))*Params!$B$15^INT(Q$2/12))/12</f>
        <v/>
      </c>
      <c r="R66" s="3">
        <f>$C$65*((MOD(R$2,12)+1)*Params!$B$15^(INT(R$2/12)+1)+(11-MOD(R$2,12))*Params!$B$15^INT(R$2/12))/12</f>
        <v/>
      </c>
      <c r="S66" s="3">
        <f>$C$65*((MOD(S$2,12)+1)*Params!$B$15^(INT(S$2/12)+1)+(11-MOD(S$2,12))*Params!$B$15^INT(S$2/12))/12</f>
        <v/>
      </c>
      <c r="T66" s="3">
        <f>$C$65*((MOD(T$2,12)+1)*Params!$B$15^(INT(T$2/12)+1)+(11-MOD(T$2,12))*Params!$B$15^INT(T$2/12))/12</f>
        <v/>
      </c>
      <c r="U66" s="3">
        <f>$C$65*((MOD(U$2,12)+1)*Params!$B$15^(INT(U$2/12)+1)+(11-MOD(U$2,12))*Params!$B$15^INT(U$2/12))/12</f>
        <v/>
      </c>
      <c r="V66" s="3">
        <f>$C$65*((MOD(V$2,12)+1)*Params!$B$15^(INT(V$2/12)+1)+(11-MOD(V$2,12))*Params!$B$15^INT(V$2/12))/12</f>
        <v/>
      </c>
      <c r="W66" s="3">
        <f>$C$65*((MOD(W$2,12)+1)*Params!$B$15^(INT(W$2/12)+1)+(11-MOD(W$2,12))*Params!$B$15^INT(W$2/12))/12</f>
        <v/>
      </c>
      <c r="X66" s="3">
        <f>$C$65*((MOD(X$2,12)+1)*Params!$B$15^(INT(X$2/12)+1)+(11-MOD(X$2,12))*Params!$B$15^INT(X$2/12))/12</f>
        <v/>
      </c>
      <c r="Y66" s="3">
        <f>$C$65*((MOD(Y$2,12)+1)*Params!$B$15^(INT(Y$2/12)+1)+(11-MOD(Y$2,12))*Params!$B$15^INT(Y$2/12))/12</f>
        <v/>
      </c>
      <c r="Z66" s="3">
        <f>$C$65*((MOD(Z$2,12)+1)*Params!$B$15^(INT(Z$2/12)+1)+(11-MOD(Z$2,12))*Params!$B$15^INT(Z$2/12))/12</f>
        <v/>
      </c>
      <c r="AA66" s="3">
        <f>$C$65*((MOD(AA$2,12)+1)*Params!$B$15^(INT(AA$2/12)+1)+(11-MOD(AA$2,12))*Params!$B$15^INT(AA$2/12))/12</f>
        <v/>
      </c>
      <c r="AB66" s="3">
        <f>$C$65*((MOD(AB$2,12)+1)*Params!$B$15^(INT(AB$2/12)+1)+(11-MOD(AB$2,12))*Params!$B$15^INT(AB$2/12))/12</f>
        <v/>
      </c>
      <c r="AC66" s="3">
        <f>$C$65*((MOD(AC$2,12)+1)*Params!$B$15^(INT(AC$2/12)+1)+(11-MOD(AC$2,12))*Params!$B$15^INT(AC$2/12))/12</f>
        <v/>
      </c>
      <c r="AD66" s="3">
        <f>$C$65*((MOD(AD$2,12)+1)*Params!$B$15^(INT(AD$2/12)+1)+(11-MOD(AD$2,12))*Params!$B$15^INT(AD$2/12))/12</f>
        <v/>
      </c>
      <c r="AE66" s="3">
        <f>$C$65*((MOD(AE$2,12)+1)*Params!$B$15^(INT(AE$2/12)+1)+(11-MOD(AE$2,12))*Params!$B$15^INT(AE$2/12))/12</f>
        <v/>
      </c>
      <c r="AF66" s="3">
        <f>$C$65*((MOD(AF$2,12)+1)*Params!$B$15^(INT(AF$2/12)+1)+(11-MOD(AF$2,12))*Params!$B$15^INT(AF$2/12))/12</f>
        <v/>
      </c>
      <c r="AG66" s="3">
        <f>$C$65*((MOD(AG$2,12)+1)*Params!$B$15^(INT(AG$2/12)+1)+(11-MOD(AG$2,12))*Params!$B$15^INT(AG$2/12))/12</f>
        <v/>
      </c>
      <c r="AH66" s="3">
        <f>$C$65*((MOD(AH$2,12)+1)*Params!$B$15^(INT(AH$2/12)+1)+(11-MOD(AH$2,12))*Params!$B$15^INT(AH$2/12))/12</f>
        <v/>
      </c>
      <c r="AI66" s="3">
        <f>$C$65*((MOD(AI$2,12)+1)*Params!$B$15^(INT(AI$2/12)+1)+(11-MOD(AI$2,12))*Params!$B$15^INT(AI$2/12))/12</f>
        <v/>
      </c>
      <c r="AJ66" s="3">
        <f>$C$65*((MOD(AJ$2,12)+1)*Params!$B$15^(INT(AJ$2/12)+1)+(11-MOD(AJ$2,12))*Params!$B$15^INT(AJ$2/12))/12</f>
        <v/>
      </c>
      <c r="AK66" s="3">
        <f>$C$65*((MOD(AK$2,12)+1)*Params!$B$15^(INT(AK$2/12)+1)+(11-MOD(AK$2,12))*Params!$B$15^INT(AK$2/12))/12</f>
        <v/>
      </c>
      <c r="AL66" s="3">
        <f>$C$65*((MOD(AL$2,12)+1)*Params!$B$15^(INT(AL$2/12)+1)+(11-MOD(AL$2,12))*Params!$B$15^INT(AL$2/12))/12</f>
        <v/>
      </c>
      <c r="AM66" s="3">
        <f>$C$65*((MOD(AM$2,12)+1)*Params!$B$15^(INT(AM$2/12)+1)+(11-MOD(AM$2,12))*Params!$B$15^INT(AM$2/12))/12</f>
        <v/>
      </c>
      <c r="AN66" s="3">
        <f>$C$65*((MOD(AN$2,12)+1)*Params!$B$15^(INT(AN$2/12)+1)+(11-MOD(AN$2,12))*Params!$B$15^INT(AN$2/12))/12</f>
        <v/>
      </c>
      <c r="AO66" s="3">
        <f>$C$65*((MOD(AO$2,12)+1)*Params!$B$15^(INT(AO$2/12)+1)+(11-MOD(AO$2,12))*Params!$B$15^INT(AO$2/12))/12</f>
        <v/>
      </c>
      <c r="AP66" s="3">
        <f>$C$65*((MOD(AP$2,12)+1)*Params!$B$15^(INT(AP$2/12)+1)+(11-MOD(AP$2,12))*Params!$B$15^INT(AP$2/12))/12</f>
        <v/>
      </c>
      <c r="AQ66" s="3">
        <f>$C$65*((MOD(AQ$2,12)+1)*Params!$B$15^(INT(AQ$2/12)+1)+(11-MOD(AQ$2,12))*Params!$B$15^INT(AQ$2/12))/12</f>
        <v/>
      </c>
      <c r="AR66" s="3">
        <f>$C$65*((MOD(AR$2,12)+1)*Params!$B$15^(INT(AR$2/12)+1)+(11-MOD(AR$2,12))*Params!$B$15^INT(AR$2/12))/12</f>
        <v/>
      </c>
      <c r="AS66" s="3">
        <f>$C$65*((MOD(AS$2,12)+1)*Params!$B$15^(INT(AS$2/12)+1)+(11-MOD(AS$2,12))*Params!$B$15^INT(AS$2/12))/12</f>
        <v/>
      </c>
      <c r="AT66" s="3">
        <f>$C$65*((MOD(AT$2,12)+1)*Params!$B$15^(INT(AT$2/12)+1)+(11-MOD(AT$2,12))*Params!$B$15^INT(AT$2/12))/12</f>
        <v/>
      </c>
      <c r="AU66" s="3">
        <f>$C$65*((MOD(AU$2,12)+1)*Params!$B$15^(INT(AU$2/12)+1)+(11-MOD(AU$2,12))*Params!$B$15^INT(AU$2/12))/12</f>
        <v/>
      </c>
      <c r="AV66" s="3">
        <f>$C$65*((MOD(AV$2,12)+1)*Params!$B$15^(INT(AV$2/12)+1)+(11-MOD(AV$2,12))*Params!$B$15^INT(AV$2/12))/12</f>
        <v/>
      </c>
      <c r="AW66" s="3">
        <f>$C$65*((MOD(AW$2,12)+1)*Params!$B$15^(INT(AW$2/12)+1)+(11-MOD(AW$2,12))*Params!$B$15^INT(AW$2/12))/12</f>
        <v/>
      </c>
      <c r="AX66" s="3">
        <f>$C$65*((MOD(AX$2,12)+1)*Params!$B$15^(INT(AX$2/12)+1)+(11-MOD(AX$2,12))*Params!$B$15^INT(AX$2/12))/12</f>
        <v/>
      </c>
      <c r="AY66" s="3">
        <f>$C$65*((MOD(AY$2,12)+1)*Params!$B$15^(INT(AY$2/12)+1)+(11-MOD(AY$2,12))*Params!$B$15^INT(AY$2/12))/12</f>
        <v/>
      </c>
      <c r="AZ66" s="3">
        <f>$C$65*((MOD(AZ$2,12)+1)*Params!$B$15^(INT(AZ$2/12)+1)+(11-MOD(AZ$2,12))*Params!$B$15^INT(AZ$2/12))/12</f>
        <v/>
      </c>
      <c r="BA66" s="3">
        <f>$C$65*((MOD(BA$2,12)+1)*Params!$B$15^(INT(BA$2/12)+1)+(11-MOD(BA$2,12))*Params!$B$15^INT(BA$2/12))/12</f>
        <v/>
      </c>
      <c r="BB66" s="3">
        <f>$C$65*((MOD(BB$2,12)+1)*Params!$B$15^(INT(BB$2/12)+1)+(11-MOD(BB$2,12))*Params!$B$15^INT(BB$2/12))/12</f>
        <v/>
      </c>
      <c r="BC66" s="3">
        <f>$C$65*((MOD(BC$2,12)+1)*Params!$B$15^(INT(BC$2/12)+1)+(11-MOD(BC$2,12))*Params!$B$15^INT(BC$2/12))/12</f>
        <v/>
      </c>
      <c r="BD66" s="3">
        <f>$C$65*((MOD(BD$2,12)+1)*Params!$B$15^(INT(BD$2/12)+1)+(11-MOD(BD$2,12))*Params!$B$15^INT(BD$2/12))/12</f>
        <v/>
      </c>
      <c r="BE66" s="3">
        <f>$C$65*((MOD(BE$2,12)+1)*Params!$B$15^(INT(BE$2/12)+1)+(11-MOD(BE$2,12))*Params!$B$15^INT(BE$2/12))/12</f>
        <v/>
      </c>
      <c r="BF66" s="3">
        <f>$C$65*((MOD(BF$2,12)+1)*Params!$B$15^(INT(BF$2/12)+1)+(11-MOD(BF$2,12))*Params!$B$15^INT(BF$2/12))/12</f>
        <v/>
      </c>
      <c r="BG66" s="3">
        <f>$C$65*((MOD(BG$2,12)+1)*Params!$B$15^(INT(BG$2/12)+1)+(11-MOD(BG$2,12))*Params!$B$15^INT(BG$2/12))/12</f>
        <v/>
      </c>
      <c r="BH66" s="3">
        <f>$C$65*((MOD(BH$2,12)+1)*Params!$B$15^(INT(BH$2/12)+1)+(11-MOD(BH$2,12))*Params!$B$15^INT(BH$2/12))/12</f>
        <v/>
      </c>
      <c r="BI66" s="3">
        <f>$C$65*((MOD(BI$2,12)+1)*Params!$B$15^(INT(BI$2/12)+1)+(11-MOD(BI$2,12))*Params!$B$15^INT(BI$2/12))/12</f>
        <v/>
      </c>
      <c r="BJ66" s="3">
        <f>$C$65*((MOD(BJ$2,12)+1)*Params!$B$15^(INT(BJ$2/12)+1)+(11-MOD(BJ$2,12))*Params!$B$15^INT(BJ$2/12))/12</f>
        <v/>
      </c>
      <c r="BK66" s="3">
        <f>$C$65*((MOD(BK$2,12)+1)*Params!$B$15^(INT(BK$2/12)+1)+(11-MOD(BK$2,12))*Params!$B$15^INT(BK$2/12))/12</f>
        <v/>
      </c>
      <c r="BL66" s="3">
        <f>$C$65*((MOD(BL$2,12)+1)*Params!$B$15^(INT(BL$2/12)+1)+(11-MOD(BL$2,12))*Params!$B$15^INT(BL$2/12))/12</f>
        <v/>
      </c>
      <c r="BM66" s="3">
        <f>$C$65*((MOD(BM$2,12)+1)*Params!$B$15^(INT(BM$2/12)+1)+(11-MOD(BM$2,12))*Params!$B$15^INT(BM$2/12))/12</f>
        <v/>
      </c>
      <c r="BN66" s="3">
        <f>$C$65*((MOD(BN$2,12)+1)*Params!$B$15^(INT(BN$2/12)+1)+(11-MOD(BN$2,12))*Params!$B$15^INT(BN$2/12))/12</f>
        <v/>
      </c>
      <c r="BO66" s="3">
        <f>$C$65*((MOD(BO$2,12)+1)*Params!$B$15^(INT(BO$2/12)+1)+(11-MOD(BO$2,12))*Params!$B$15^INT(BO$2/12))/12</f>
        <v/>
      </c>
      <c r="BP66" s="3">
        <f>$C$65*((MOD(BP$2,12)+1)*Params!$B$15^(INT(BP$2/12)+1)+(11-MOD(BP$2,12))*Params!$B$15^INT(BP$2/12))/12</f>
        <v/>
      </c>
      <c r="BQ66" s="3">
        <f>$C$65*((MOD(BQ$2,12)+1)*Params!$B$15^(INT(BQ$2/12)+1)+(11-MOD(BQ$2,12))*Params!$B$15^INT(BQ$2/12))/12</f>
        <v/>
      </c>
      <c r="BR66" s="3">
        <f>$C$65*((MOD(BR$2,12)+1)*Params!$B$15^(INT(BR$2/12)+1)+(11-MOD(BR$2,12))*Params!$B$15^INT(BR$2/12))/12</f>
        <v/>
      </c>
      <c r="BS66" s="3">
        <f>$C$65*((MOD(BS$2,12)+1)*Params!$B$15^(INT(BS$2/12)+1)+(11-MOD(BS$2,12))*Params!$B$15^INT(BS$2/12))/12</f>
        <v/>
      </c>
      <c r="BT66" s="3">
        <f>$C$65*((MOD(BT$2,12)+1)*Params!$B$15^(INT(BT$2/12)+1)+(11-MOD(BT$2,12))*Params!$B$15^INT(BT$2/12))/12</f>
        <v/>
      </c>
      <c r="BU66" s="3">
        <f>$C$65*((MOD(BU$2,12)+1)*Params!$B$15^(INT(BU$2/12)+1)+(11-MOD(BU$2,12))*Params!$B$15^INT(BU$2/12))/12</f>
        <v/>
      </c>
      <c r="BV66" s="3">
        <f>$C$65*((MOD(BV$2,12)+1)*Params!$B$15^(INT(BV$2/12)+1)+(11-MOD(BV$2,12))*Params!$B$15^INT(BV$2/12))/12</f>
        <v/>
      </c>
    </row>
    <row r="67">
      <c r="A67" t="inlineStr">
        <is>
          <t>churned</t>
        </is>
      </c>
      <c r="B67" t="inlineStr">
        <is>
          <t>APAC|BASIC_A</t>
        </is>
      </c>
      <c r="C67" s="3">
        <f>$C$65-C66</f>
        <v/>
      </c>
      <c r="D67" s="3">
        <f>C66-D66</f>
        <v/>
      </c>
      <c r="E67" s="3">
        <f>D66-E66</f>
        <v/>
      </c>
      <c r="F67" s="3">
        <f>E66-F66</f>
        <v/>
      </c>
      <c r="G67" s="3">
        <f>F66-G66</f>
        <v/>
      </c>
      <c r="H67" s="3">
        <f>G66-H66</f>
        <v/>
      </c>
      <c r="I67" s="3">
        <f>H66-I66</f>
        <v/>
      </c>
      <c r="J67" s="3">
        <f>I66-J66</f>
        <v/>
      </c>
      <c r="K67" s="3">
        <f>J66-K66</f>
        <v/>
      </c>
      <c r="L67" s="3">
        <f>K66-L66</f>
        <v/>
      </c>
      <c r="M67" s="3">
        <f>L66-M66</f>
        <v/>
      </c>
      <c r="N67" s="3">
        <f>M66-N66</f>
        <v/>
      </c>
      <c r="O67" s="3">
        <f>N66-O66</f>
        <v/>
      </c>
      <c r="P67" s="3">
        <f>O66-P66</f>
        <v/>
      </c>
      <c r="Q67" s="3">
        <f>P66-Q66</f>
        <v/>
      </c>
      <c r="R67" s="3">
        <f>Q66-R66</f>
        <v/>
      </c>
      <c r="S67" s="3">
        <f>R66-S66</f>
        <v/>
      </c>
      <c r="T67" s="3">
        <f>S66-T66</f>
        <v/>
      </c>
      <c r="U67" s="3">
        <f>T66-U66</f>
        <v/>
      </c>
      <c r="V67" s="3">
        <f>U66-V66</f>
        <v/>
      </c>
      <c r="W67" s="3">
        <f>V66-W66</f>
        <v/>
      </c>
      <c r="X67" s="3">
        <f>W66-X66</f>
        <v/>
      </c>
      <c r="Y67" s="3">
        <f>X66-Y66</f>
        <v/>
      </c>
      <c r="Z67" s="3">
        <f>Y66-Z66</f>
        <v/>
      </c>
      <c r="AA67" s="3">
        <f>Z66-AA66</f>
        <v/>
      </c>
      <c r="AB67" s="3">
        <f>AA66-AB66</f>
        <v/>
      </c>
      <c r="AC67" s="3">
        <f>AB66-AC66</f>
        <v/>
      </c>
      <c r="AD67" s="3">
        <f>AC66-AD66</f>
        <v/>
      </c>
      <c r="AE67" s="3">
        <f>AD66-AE66</f>
        <v/>
      </c>
      <c r="AF67" s="3">
        <f>AE66-AF66</f>
        <v/>
      </c>
      <c r="AG67" s="3">
        <f>AF66-AG66</f>
        <v/>
      </c>
      <c r="AH67" s="3">
        <f>AG66-AH66</f>
        <v/>
      </c>
      <c r="AI67" s="3">
        <f>AH66-AI66</f>
        <v/>
      </c>
      <c r="AJ67" s="3">
        <f>AI66-AJ66</f>
        <v/>
      </c>
      <c r="AK67" s="3">
        <f>AJ66-AK66</f>
        <v/>
      </c>
      <c r="AL67" s="3">
        <f>AK66-AL66</f>
        <v/>
      </c>
      <c r="AM67" s="3">
        <f>AL66-AM66</f>
        <v/>
      </c>
      <c r="AN67" s="3">
        <f>AM66-AN66</f>
        <v/>
      </c>
      <c r="AO67" s="3">
        <f>AN66-AO66</f>
        <v/>
      </c>
      <c r="AP67" s="3">
        <f>AO66-AP66</f>
        <v/>
      </c>
      <c r="AQ67" s="3">
        <f>AP66-AQ66</f>
        <v/>
      </c>
      <c r="AR67" s="3">
        <f>AQ66-AR66</f>
        <v/>
      </c>
      <c r="AS67" s="3">
        <f>AR66-AS66</f>
        <v/>
      </c>
      <c r="AT67" s="3">
        <f>AS66-AT66</f>
        <v/>
      </c>
      <c r="AU67" s="3">
        <f>AT66-AU66</f>
        <v/>
      </c>
      <c r="AV67" s="3">
        <f>AU66-AV66</f>
        <v/>
      </c>
      <c r="AW67" s="3">
        <f>AV66-AW66</f>
        <v/>
      </c>
      <c r="AX67" s="3">
        <f>AW66-AX66</f>
        <v/>
      </c>
      <c r="AY67" s="3">
        <f>AX66-AY66</f>
        <v/>
      </c>
      <c r="AZ67" s="3">
        <f>AY66-AZ66</f>
        <v/>
      </c>
      <c r="BA67" s="3">
        <f>AZ66-BA66</f>
        <v/>
      </c>
      <c r="BB67" s="3">
        <f>BA66-BB66</f>
        <v/>
      </c>
      <c r="BC67" s="3">
        <f>BB66-BC66</f>
        <v/>
      </c>
      <c r="BD67" s="3">
        <f>BC66-BD66</f>
        <v/>
      </c>
      <c r="BE67" s="3">
        <f>BD66-BE66</f>
        <v/>
      </c>
      <c r="BF67" s="3">
        <f>BE66-BF66</f>
        <v/>
      </c>
      <c r="BG67" s="3">
        <f>BF66-BG66</f>
        <v/>
      </c>
      <c r="BH67" s="3">
        <f>BG66-BH66</f>
        <v/>
      </c>
      <c r="BI67" s="3">
        <f>BH66-BI66</f>
        <v/>
      </c>
      <c r="BJ67" s="3">
        <f>BI66-BJ66</f>
        <v/>
      </c>
      <c r="BK67" s="3">
        <f>BJ66-BK66</f>
        <v/>
      </c>
      <c r="BL67" s="3">
        <f>BK66-BL66</f>
        <v/>
      </c>
      <c r="BM67" s="3">
        <f>BL66-BM66</f>
        <v/>
      </c>
      <c r="BN67" s="3">
        <f>BM66-BN66</f>
        <v/>
      </c>
      <c r="BO67" s="3">
        <f>BN66-BO66</f>
        <v/>
      </c>
      <c r="BP67" s="3">
        <f>BO66-BP66</f>
        <v/>
      </c>
      <c r="BQ67" s="3">
        <f>BP66-BQ66</f>
        <v/>
      </c>
      <c r="BR67" s="3">
        <f>BQ66-BR66</f>
        <v/>
      </c>
      <c r="BS67" s="3">
        <f>BR66-BS66</f>
        <v/>
      </c>
      <c r="BT67" s="3">
        <f>BS66-BT66</f>
        <v/>
      </c>
      <c r="BU67" s="3">
        <f>BT66-BU66</f>
        <v/>
      </c>
      <c r="BV67" s="3">
        <f>BU66-BV66</f>
        <v/>
      </c>
    </row>
    <row r="69">
      <c r="A69" t="inlineStr">
        <is>
          <t>opening book (Jan 2025)</t>
        </is>
      </c>
      <c r="B69" t="inlineStr">
        <is>
          <t>ROW|NITRO_M</t>
        </is>
      </c>
      <c r="C69" s="3">
        <f>Params!$B$19*Params!$B$55*Params!$B$75</f>
        <v/>
      </c>
    </row>
    <row r="70">
      <c r="A70" t="inlineStr">
        <is>
          <t>active</t>
        </is>
      </c>
      <c r="B70" t="inlineStr">
        <is>
          <t>ROW|NITRO_M</t>
        </is>
      </c>
      <c r="C70" s="3">
        <f>$C$69*(1-Params!$B$20)^(C$2+1)</f>
        <v/>
      </c>
      <c r="D70" s="3">
        <f>$C$69*(1-Params!$B$20)^(D$2+1)</f>
        <v/>
      </c>
      <c r="E70" s="3">
        <f>$C$69*(1-Params!$B$20)^(E$2+1)</f>
        <v/>
      </c>
      <c r="F70" s="3">
        <f>$C$69*(1-Params!$B$20)^(F$2+1)</f>
        <v/>
      </c>
      <c r="G70" s="3">
        <f>$C$69*(1-Params!$B$20)^(G$2+1)</f>
        <v/>
      </c>
      <c r="H70" s="3">
        <f>$C$69*(1-Params!$B$20)^(H$2+1)</f>
        <v/>
      </c>
      <c r="I70" s="3">
        <f>$C$69*(1-Params!$B$20)^(I$2+1)</f>
        <v/>
      </c>
      <c r="J70" s="3">
        <f>$C$69*(1-Params!$B$20)^(J$2+1)</f>
        <v/>
      </c>
      <c r="K70" s="3">
        <f>$C$69*(1-Params!$B$20)^(K$2+1)</f>
        <v/>
      </c>
      <c r="L70" s="3">
        <f>$C$69*(1-Params!$B$20)^(L$2+1)</f>
        <v/>
      </c>
      <c r="M70" s="3">
        <f>$C$69*(1-Params!$B$20)^(M$2+1)</f>
        <v/>
      </c>
      <c r="N70" s="3">
        <f>$C$69*(1-Params!$B$20)^(N$2+1)</f>
        <v/>
      </c>
      <c r="O70" s="3">
        <f>$C$69*(1-Params!$B$20)^(O$2+1)</f>
        <v/>
      </c>
      <c r="P70" s="3">
        <f>$C$69*(1-Params!$B$20)^(P$2+1)</f>
        <v/>
      </c>
      <c r="Q70" s="3">
        <f>$C$69*(1-Params!$B$20)^(Q$2+1)</f>
        <v/>
      </c>
      <c r="R70" s="3">
        <f>$C$69*(1-Params!$B$20)^(R$2+1)</f>
        <v/>
      </c>
      <c r="S70" s="3">
        <f>$C$69*(1-Params!$B$20)^(S$2+1)</f>
        <v/>
      </c>
      <c r="T70" s="3">
        <f>$C$69*(1-Params!$B$20)^(T$2+1)</f>
        <v/>
      </c>
      <c r="U70" s="3">
        <f>$C$69*(1-Params!$B$20)^(U$2+1)</f>
        <v/>
      </c>
      <c r="V70" s="3">
        <f>$C$69*(1-Params!$B$20)^(V$2+1)</f>
        <v/>
      </c>
      <c r="W70" s="3">
        <f>$C$69*(1-Params!$B$20)^(W$2+1)</f>
        <v/>
      </c>
      <c r="X70" s="3">
        <f>$C$69*(1-Params!$B$20)^(X$2+1)</f>
        <v/>
      </c>
      <c r="Y70" s="3">
        <f>$C$69*(1-Params!$B$20)^(Y$2+1)</f>
        <v/>
      </c>
      <c r="Z70" s="3">
        <f>$C$69*(1-Params!$B$20)^(Z$2+1)</f>
        <v/>
      </c>
      <c r="AA70" s="3">
        <f>$C$69*(1-Params!$B$20)^(AA$2+1)</f>
        <v/>
      </c>
      <c r="AB70" s="3">
        <f>$C$69*(1-Params!$B$20)^(AB$2+1)</f>
        <v/>
      </c>
      <c r="AC70" s="3">
        <f>$C$69*(1-Params!$B$20)^(AC$2+1)</f>
        <v/>
      </c>
      <c r="AD70" s="3">
        <f>$C$69*(1-Params!$B$20)^(AD$2+1)</f>
        <v/>
      </c>
      <c r="AE70" s="3">
        <f>$C$69*(1-Params!$B$20)^(AE$2+1)</f>
        <v/>
      </c>
      <c r="AF70" s="3">
        <f>$C$69*(1-Params!$B$20)^(AF$2+1)</f>
        <v/>
      </c>
      <c r="AG70" s="3">
        <f>$C$69*(1-Params!$B$20)^(AG$2+1)</f>
        <v/>
      </c>
      <c r="AH70" s="3">
        <f>$C$69*(1-Params!$B$20)^(AH$2+1)</f>
        <v/>
      </c>
      <c r="AI70" s="3">
        <f>$C$69*(1-Params!$B$20)^(AI$2+1)</f>
        <v/>
      </c>
      <c r="AJ70" s="3">
        <f>$C$69*(1-Params!$B$20)^(AJ$2+1)</f>
        <v/>
      </c>
      <c r="AK70" s="3">
        <f>$C$69*(1-Params!$B$20)^(AK$2+1)</f>
        <v/>
      </c>
      <c r="AL70" s="3">
        <f>$C$69*(1-Params!$B$20)^(AL$2+1)</f>
        <v/>
      </c>
      <c r="AM70" s="3">
        <f>$C$69*(1-Params!$B$20)^(AM$2+1)</f>
        <v/>
      </c>
      <c r="AN70" s="3">
        <f>$C$69*(1-Params!$B$20)^(AN$2+1)</f>
        <v/>
      </c>
      <c r="AO70" s="3">
        <f>$C$69*(1-Params!$B$20)^(AO$2+1)</f>
        <v/>
      </c>
      <c r="AP70" s="3">
        <f>$C$69*(1-Params!$B$20)^(AP$2+1)</f>
        <v/>
      </c>
      <c r="AQ70" s="3">
        <f>$C$69*(1-Params!$B$20)^(AQ$2+1)</f>
        <v/>
      </c>
      <c r="AR70" s="3">
        <f>$C$69*(1-Params!$B$20)^(AR$2+1)</f>
        <v/>
      </c>
      <c r="AS70" s="3">
        <f>$C$69*(1-Params!$B$20)^(AS$2+1)</f>
        <v/>
      </c>
      <c r="AT70" s="3">
        <f>$C$69*(1-Params!$B$20)^(AT$2+1)</f>
        <v/>
      </c>
      <c r="AU70" s="3">
        <f>$C$69*(1-Params!$B$20)^(AU$2+1)</f>
        <v/>
      </c>
      <c r="AV70" s="3">
        <f>$C$69*(1-Params!$B$20)^(AV$2+1)</f>
        <v/>
      </c>
      <c r="AW70" s="3">
        <f>$C$69*(1-Params!$B$20)^(AW$2+1)</f>
        <v/>
      </c>
      <c r="AX70" s="3">
        <f>$C$69*(1-Params!$B$20)^(AX$2+1)</f>
        <v/>
      </c>
      <c r="AY70" s="3">
        <f>$C$69*(1-Params!$B$20)^(AY$2+1)</f>
        <v/>
      </c>
      <c r="AZ70" s="3">
        <f>$C$69*(1-Params!$B$20)^(AZ$2+1)</f>
        <v/>
      </c>
      <c r="BA70" s="3">
        <f>$C$69*(1-Params!$B$20)^(BA$2+1)</f>
        <v/>
      </c>
      <c r="BB70" s="3">
        <f>$C$69*(1-Params!$B$20)^(BB$2+1)</f>
        <v/>
      </c>
      <c r="BC70" s="3">
        <f>$C$69*(1-Params!$B$20)^(BC$2+1)</f>
        <v/>
      </c>
      <c r="BD70" s="3">
        <f>$C$69*(1-Params!$B$20)^(BD$2+1)</f>
        <v/>
      </c>
      <c r="BE70" s="3">
        <f>$C$69*(1-Params!$B$20)^(BE$2+1)</f>
        <v/>
      </c>
      <c r="BF70" s="3">
        <f>$C$69*(1-Params!$B$20)^(BF$2+1)</f>
        <v/>
      </c>
      <c r="BG70" s="3">
        <f>$C$69*(1-Params!$B$20)^(BG$2+1)</f>
        <v/>
      </c>
      <c r="BH70" s="3">
        <f>$C$69*(1-Params!$B$20)^(BH$2+1)</f>
        <v/>
      </c>
      <c r="BI70" s="3">
        <f>$C$69*(1-Params!$B$20)^(BI$2+1)</f>
        <v/>
      </c>
      <c r="BJ70" s="3">
        <f>$C$69*(1-Params!$B$20)^(BJ$2+1)</f>
        <v/>
      </c>
      <c r="BK70" s="3">
        <f>$C$69*(1-Params!$B$20)^(BK$2+1)</f>
        <v/>
      </c>
      <c r="BL70" s="3">
        <f>$C$69*(1-Params!$B$20)^(BL$2+1)</f>
        <v/>
      </c>
      <c r="BM70" s="3">
        <f>$C$69*(1-Params!$B$20)^(BM$2+1)</f>
        <v/>
      </c>
      <c r="BN70" s="3">
        <f>$C$69*(1-Params!$B$20)^(BN$2+1)</f>
        <v/>
      </c>
      <c r="BO70" s="3">
        <f>$C$69*(1-Params!$B$20)^(BO$2+1)</f>
        <v/>
      </c>
      <c r="BP70" s="3">
        <f>$C$69*(1-Params!$B$20)^(BP$2+1)</f>
        <v/>
      </c>
      <c r="BQ70" s="3">
        <f>$C$69*(1-Params!$B$20)^(BQ$2+1)</f>
        <v/>
      </c>
      <c r="BR70" s="3">
        <f>$C$69*(1-Params!$B$20)^(BR$2+1)</f>
        <v/>
      </c>
      <c r="BS70" s="3">
        <f>$C$69*(1-Params!$B$20)^(BS$2+1)</f>
        <v/>
      </c>
      <c r="BT70" s="3">
        <f>$C$69*(1-Params!$B$20)^(BT$2+1)</f>
        <v/>
      </c>
      <c r="BU70" s="3">
        <f>$C$69*(1-Params!$B$20)^(BU$2+1)</f>
        <v/>
      </c>
      <c r="BV70" s="3">
        <f>$C$69*(1-Params!$B$20)^(BV$2+1)</f>
        <v/>
      </c>
    </row>
    <row r="71">
      <c r="A71" t="inlineStr">
        <is>
          <t>churned</t>
        </is>
      </c>
      <c r="B71" t="inlineStr">
        <is>
          <t>ROW|NITRO_M</t>
        </is>
      </c>
      <c r="C71" s="3">
        <f>$C$69-C70</f>
        <v/>
      </c>
      <c r="D71" s="3">
        <f>C70-D70</f>
        <v/>
      </c>
      <c r="E71" s="3">
        <f>D70-E70</f>
        <v/>
      </c>
      <c r="F71" s="3">
        <f>E70-F70</f>
        <v/>
      </c>
      <c r="G71" s="3">
        <f>F70-G70</f>
        <v/>
      </c>
      <c r="H71" s="3">
        <f>G70-H70</f>
        <v/>
      </c>
      <c r="I71" s="3">
        <f>H70-I70</f>
        <v/>
      </c>
      <c r="J71" s="3">
        <f>I70-J70</f>
        <v/>
      </c>
      <c r="K71" s="3">
        <f>J70-K70</f>
        <v/>
      </c>
      <c r="L71" s="3">
        <f>K70-L70</f>
        <v/>
      </c>
      <c r="M71" s="3">
        <f>L70-M70</f>
        <v/>
      </c>
      <c r="N71" s="3">
        <f>M70-N70</f>
        <v/>
      </c>
      <c r="O71" s="3">
        <f>N70-O70</f>
        <v/>
      </c>
      <c r="P71" s="3">
        <f>O70-P70</f>
        <v/>
      </c>
      <c r="Q71" s="3">
        <f>P70-Q70</f>
        <v/>
      </c>
      <c r="R71" s="3">
        <f>Q70-R70</f>
        <v/>
      </c>
      <c r="S71" s="3">
        <f>R70-S70</f>
        <v/>
      </c>
      <c r="T71" s="3">
        <f>S70-T70</f>
        <v/>
      </c>
      <c r="U71" s="3">
        <f>T70-U70</f>
        <v/>
      </c>
      <c r="V71" s="3">
        <f>U70-V70</f>
        <v/>
      </c>
      <c r="W71" s="3">
        <f>V70-W70</f>
        <v/>
      </c>
      <c r="X71" s="3">
        <f>W70-X70</f>
        <v/>
      </c>
      <c r="Y71" s="3">
        <f>X70-Y70</f>
        <v/>
      </c>
      <c r="Z71" s="3">
        <f>Y70-Z70</f>
        <v/>
      </c>
      <c r="AA71" s="3">
        <f>Z70-AA70</f>
        <v/>
      </c>
      <c r="AB71" s="3">
        <f>AA70-AB70</f>
        <v/>
      </c>
      <c r="AC71" s="3">
        <f>AB70-AC70</f>
        <v/>
      </c>
      <c r="AD71" s="3">
        <f>AC70-AD70</f>
        <v/>
      </c>
      <c r="AE71" s="3">
        <f>AD70-AE70</f>
        <v/>
      </c>
      <c r="AF71" s="3">
        <f>AE70-AF70</f>
        <v/>
      </c>
      <c r="AG71" s="3">
        <f>AF70-AG70</f>
        <v/>
      </c>
      <c r="AH71" s="3">
        <f>AG70-AH70</f>
        <v/>
      </c>
      <c r="AI71" s="3">
        <f>AH70-AI70</f>
        <v/>
      </c>
      <c r="AJ71" s="3">
        <f>AI70-AJ70</f>
        <v/>
      </c>
      <c r="AK71" s="3">
        <f>AJ70-AK70</f>
        <v/>
      </c>
      <c r="AL71" s="3">
        <f>AK70-AL70</f>
        <v/>
      </c>
      <c r="AM71" s="3">
        <f>AL70-AM70</f>
        <v/>
      </c>
      <c r="AN71" s="3">
        <f>AM70-AN70</f>
        <v/>
      </c>
      <c r="AO71" s="3">
        <f>AN70-AO70</f>
        <v/>
      </c>
      <c r="AP71" s="3">
        <f>AO70-AP70</f>
        <v/>
      </c>
      <c r="AQ71" s="3">
        <f>AP70-AQ70</f>
        <v/>
      </c>
      <c r="AR71" s="3">
        <f>AQ70-AR70</f>
        <v/>
      </c>
      <c r="AS71" s="3">
        <f>AR70-AS70</f>
        <v/>
      </c>
      <c r="AT71" s="3">
        <f>AS70-AT70</f>
        <v/>
      </c>
      <c r="AU71" s="3">
        <f>AT70-AU70</f>
        <v/>
      </c>
      <c r="AV71" s="3">
        <f>AU70-AV70</f>
        <v/>
      </c>
      <c r="AW71" s="3">
        <f>AV70-AW70</f>
        <v/>
      </c>
      <c r="AX71" s="3">
        <f>AW70-AX70</f>
        <v/>
      </c>
      <c r="AY71" s="3">
        <f>AX70-AY70</f>
        <v/>
      </c>
      <c r="AZ71" s="3">
        <f>AY70-AZ70</f>
        <v/>
      </c>
      <c r="BA71" s="3">
        <f>AZ70-BA70</f>
        <v/>
      </c>
      <c r="BB71" s="3">
        <f>BA70-BB70</f>
        <v/>
      </c>
      <c r="BC71" s="3">
        <f>BB70-BC70</f>
        <v/>
      </c>
      <c r="BD71" s="3">
        <f>BC70-BD70</f>
        <v/>
      </c>
      <c r="BE71" s="3">
        <f>BD70-BE70</f>
        <v/>
      </c>
      <c r="BF71" s="3">
        <f>BE70-BF70</f>
        <v/>
      </c>
      <c r="BG71" s="3">
        <f>BF70-BG70</f>
        <v/>
      </c>
      <c r="BH71" s="3">
        <f>BG70-BH70</f>
        <v/>
      </c>
      <c r="BI71" s="3">
        <f>BH70-BI70</f>
        <v/>
      </c>
      <c r="BJ71" s="3">
        <f>BI70-BJ70</f>
        <v/>
      </c>
      <c r="BK71" s="3">
        <f>BJ70-BK70</f>
        <v/>
      </c>
      <c r="BL71" s="3">
        <f>BK70-BL70</f>
        <v/>
      </c>
      <c r="BM71" s="3">
        <f>BL70-BM70</f>
        <v/>
      </c>
      <c r="BN71" s="3">
        <f>BM70-BN70</f>
        <v/>
      </c>
      <c r="BO71" s="3">
        <f>BN70-BO70</f>
        <v/>
      </c>
      <c r="BP71" s="3">
        <f>BO70-BP70</f>
        <v/>
      </c>
      <c r="BQ71" s="3">
        <f>BP70-BQ70</f>
        <v/>
      </c>
      <c r="BR71" s="3">
        <f>BQ70-BR70</f>
        <v/>
      </c>
      <c r="BS71" s="3">
        <f>BR70-BS70</f>
        <v/>
      </c>
      <c r="BT71" s="3">
        <f>BS70-BT70</f>
        <v/>
      </c>
      <c r="BU71" s="3">
        <f>BT70-BU70</f>
        <v/>
      </c>
      <c r="BV71" s="3">
        <f>BU70-BV70</f>
        <v/>
      </c>
    </row>
    <row r="73">
      <c r="A73" t="inlineStr">
        <is>
          <t>opening book (Jan 2025)</t>
        </is>
      </c>
      <c r="B73" t="inlineStr">
        <is>
          <t>ROW|NITRO_A</t>
        </is>
      </c>
      <c r="C73" s="3">
        <f>Params!$B$19*Params!$B$55*Params!$B$76</f>
        <v/>
      </c>
    </row>
    <row r="74">
      <c r="A74" t="inlineStr">
        <is>
          <t>active</t>
        </is>
      </c>
      <c r="B74" t="inlineStr">
        <is>
          <t>ROW|NITRO_A</t>
        </is>
      </c>
      <c r="C74" s="3">
        <f>$C$73*((MOD(C$2,12)+1)*Params!$B$15^(INT(C$2/12)+1)+(11-MOD(C$2,12))*Params!$B$15^INT(C$2/12))/12</f>
        <v/>
      </c>
      <c r="D74" s="3">
        <f>$C$73*((MOD(D$2,12)+1)*Params!$B$15^(INT(D$2/12)+1)+(11-MOD(D$2,12))*Params!$B$15^INT(D$2/12))/12</f>
        <v/>
      </c>
      <c r="E74" s="3">
        <f>$C$73*((MOD(E$2,12)+1)*Params!$B$15^(INT(E$2/12)+1)+(11-MOD(E$2,12))*Params!$B$15^INT(E$2/12))/12</f>
        <v/>
      </c>
      <c r="F74" s="3">
        <f>$C$73*((MOD(F$2,12)+1)*Params!$B$15^(INT(F$2/12)+1)+(11-MOD(F$2,12))*Params!$B$15^INT(F$2/12))/12</f>
        <v/>
      </c>
      <c r="G74" s="3">
        <f>$C$73*((MOD(G$2,12)+1)*Params!$B$15^(INT(G$2/12)+1)+(11-MOD(G$2,12))*Params!$B$15^INT(G$2/12))/12</f>
        <v/>
      </c>
      <c r="H74" s="3">
        <f>$C$73*((MOD(H$2,12)+1)*Params!$B$15^(INT(H$2/12)+1)+(11-MOD(H$2,12))*Params!$B$15^INT(H$2/12))/12</f>
        <v/>
      </c>
      <c r="I74" s="3">
        <f>$C$73*((MOD(I$2,12)+1)*Params!$B$15^(INT(I$2/12)+1)+(11-MOD(I$2,12))*Params!$B$15^INT(I$2/12))/12</f>
        <v/>
      </c>
      <c r="J74" s="3">
        <f>$C$73*((MOD(J$2,12)+1)*Params!$B$15^(INT(J$2/12)+1)+(11-MOD(J$2,12))*Params!$B$15^INT(J$2/12))/12</f>
        <v/>
      </c>
      <c r="K74" s="3">
        <f>$C$73*((MOD(K$2,12)+1)*Params!$B$15^(INT(K$2/12)+1)+(11-MOD(K$2,12))*Params!$B$15^INT(K$2/12))/12</f>
        <v/>
      </c>
      <c r="L74" s="3">
        <f>$C$73*((MOD(L$2,12)+1)*Params!$B$15^(INT(L$2/12)+1)+(11-MOD(L$2,12))*Params!$B$15^INT(L$2/12))/12</f>
        <v/>
      </c>
      <c r="M74" s="3">
        <f>$C$73*((MOD(M$2,12)+1)*Params!$B$15^(INT(M$2/12)+1)+(11-MOD(M$2,12))*Params!$B$15^INT(M$2/12))/12</f>
        <v/>
      </c>
      <c r="N74" s="3">
        <f>$C$73*((MOD(N$2,12)+1)*Params!$B$15^(INT(N$2/12)+1)+(11-MOD(N$2,12))*Params!$B$15^INT(N$2/12))/12</f>
        <v/>
      </c>
      <c r="O74" s="3">
        <f>$C$73*((MOD(O$2,12)+1)*Params!$B$15^(INT(O$2/12)+1)+(11-MOD(O$2,12))*Params!$B$15^INT(O$2/12))/12</f>
        <v/>
      </c>
      <c r="P74" s="3">
        <f>$C$73*((MOD(P$2,12)+1)*Params!$B$15^(INT(P$2/12)+1)+(11-MOD(P$2,12))*Params!$B$15^INT(P$2/12))/12</f>
        <v/>
      </c>
      <c r="Q74" s="3">
        <f>$C$73*((MOD(Q$2,12)+1)*Params!$B$15^(INT(Q$2/12)+1)+(11-MOD(Q$2,12))*Params!$B$15^INT(Q$2/12))/12</f>
        <v/>
      </c>
      <c r="R74" s="3">
        <f>$C$73*((MOD(R$2,12)+1)*Params!$B$15^(INT(R$2/12)+1)+(11-MOD(R$2,12))*Params!$B$15^INT(R$2/12))/12</f>
        <v/>
      </c>
      <c r="S74" s="3">
        <f>$C$73*((MOD(S$2,12)+1)*Params!$B$15^(INT(S$2/12)+1)+(11-MOD(S$2,12))*Params!$B$15^INT(S$2/12))/12</f>
        <v/>
      </c>
      <c r="T74" s="3">
        <f>$C$73*((MOD(T$2,12)+1)*Params!$B$15^(INT(T$2/12)+1)+(11-MOD(T$2,12))*Params!$B$15^INT(T$2/12))/12</f>
        <v/>
      </c>
      <c r="U74" s="3">
        <f>$C$73*((MOD(U$2,12)+1)*Params!$B$15^(INT(U$2/12)+1)+(11-MOD(U$2,12))*Params!$B$15^INT(U$2/12))/12</f>
        <v/>
      </c>
      <c r="V74" s="3">
        <f>$C$73*((MOD(V$2,12)+1)*Params!$B$15^(INT(V$2/12)+1)+(11-MOD(V$2,12))*Params!$B$15^INT(V$2/12))/12</f>
        <v/>
      </c>
      <c r="W74" s="3">
        <f>$C$73*((MOD(W$2,12)+1)*Params!$B$15^(INT(W$2/12)+1)+(11-MOD(W$2,12))*Params!$B$15^INT(W$2/12))/12</f>
        <v/>
      </c>
      <c r="X74" s="3">
        <f>$C$73*((MOD(X$2,12)+1)*Params!$B$15^(INT(X$2/12)+1)+(11-MOD(X$2,12))*Params!$B$15^INT(X$2/12))/12</f>
        <v/>
      </c>
      <c r="Y74" s="3">
        <f>$C$73*((MOD(Y$2,12)+1)*Params!$B$15^(INT(Y$2/12)+1)+(11-MOD(Y$2,12))*Params!$B$15^INT(Y$2/12))/12</f>
        <v/>
      </c>
      <c r="Z74" s="3">
        <f>$C$73*((MOD(Z$2,12)+1)*Params!$B$15^(INT(Z$2/12)+1)+(11-MOD(Z$2,12))*Params!$B$15^INT(Z$2/12))/12</f>
        <v/>
      </c>
      <c r="AA74" s="3">
        <f>$C$73*((MOD(AA$2,12)+1)*Params!$B$15^(INT(AA$2/12)+1)+(11-MOD(AA$2,12))*Params!$B$15^INT(AA$2/12))/12</f>
        <v/>
      </c>
      <c r="AB74" s="3">
        <f>$C$73*((MOD(AB$2,12)+1)*Params!$B$15^(INT(AB$2/12)+1)+(11-MOD(AB$2,12))*Params!$B$15^INT(AB$2/12))/12</f>
        <v/>
      </c>
      <c r="AC74" s="3">
        <f>$C$73*((MOD(AC$2,12)+1)*Params!$B$15^(INT(AC$2/12)+1)+(11-MOD(AC$2,12))*Params!$B$15^INT(AC$2/12))/12</f>
        <v/>
      </c>
      <c r="AD74" s="3">
        <f>$C$73*((MOD(AD$2,12)+1)*Params!$B$15^(INT(AD$2/12)+1)+(11-MOD(AD$2,12))*Params!$B$15^INT(AD$2/12))/12</f>
        <v/>
      </c>
      <c r="AE74" s="3">
        <f>$C$73*((MOD(AE$2,12)+1)*Params!$B$15^(INT(AE$2/12)+1)+(11-MOD(AE$2,12))*Params!$B$15^INT(AE$2/12))/12</f>
        <v/>
      </c>
      <c r="AF74" s="3">
        <f>$C$73*((MOD(AF$2,12)+1)*Params!$B$15^(INT(AF$2/12)+1)+(11-MOD(AF$2,12))*Params!$B$15^INT(AF$2/12))/12</f>
        <v/>
      </c>
      <c r="AG74" s="3">
        <f>$C$73*((MOD(AG$2,12)+1)*Params!$B$15^(INT(AG$2/12)+1)+(11-MOD(AG$2,12))*Params!$B$15^INT(AG$2/12))/12</f>
        <v/>
      </c>
      <c r="AH74" s="3">
        <f>$C$73*((MOD(AH$2,12)+1)*Params!$B$15^(INT(AH$2/12)+1)+(11-MOD(AH$2,12))*Params!$B$15^INT(AH$2/12))/12</f>
        <v/>
      </c>
      <c r="AI74" s="3">
        <f>$C$73*((MOD(AI$2,12)+1)*Params!$B$15^(INT(AI$2/12)+1)+(11-MOD(AI$2,12))*Params!$B$15^INT(AI$2/12))/12</f>
        <v/>
      </c>
      <c r="AJ74" s="3">
        <f>$C$73*((MOD(AJ$2,12)+1)*Params!$B$15^(INT(AJ$2/12)+1)+(11-MOD(AJ$2,12))*Params!$B$15^INT(AJ$2/12))/12</f>
        <v/>
      </c>
      <c r="AK74" s="3">
        <f>$C$73*((MOD(AK$2,12)+1)*Params!$B$15^(INT(AK$2/12)+1)+(11-MOD(AK$2,12))*Params!$B$15^INT(AK$2/12))/12</f>
        <v/>
      </c>
      <c r="AL74" s="3">
        <f>$C$73*((MOD(AL$2,12)+1)*Params!$B$15^(INT(AL$2/12)+1)+(11-MOD(AL$2,12))*Params!$B$15^INT(AL$2/12))/12</f>
        <v/>
      </c>
      <c r="AM74" s="3">
        <f>$C$73*((MOD(AM$2,12)+1)*Params!$B$15^(INT(AM$2/12)+1)+(11-MOD(AM$2,12))*Params!$B$15^INT(AM$2/12))/12</f>
        <v/>
      </c>
      <c r="AN74" s="3">
        <f>$C$73*((MOD(AN$2,12)+1)*Params!$B$15^(INT(AN$2/12)+1)+(11-MOD(AN$2,12))*Params!$B$15^INT(AN$2/12))/12</f>
        <v/>
      </c>
      <c r="AO74" s="3">
        <f>$C$73*((MOD(AO$2,12)+1)*Params!$B$15^(INT(AO$2/12)+1)+(11-MOD(AO$2,12))*Params!$B$15^INT(AO$2/12))/12</f>
        <v/>
      </c>
      <c r="AP74" s="3">
        <f>$C$73*((MOD(AP$2,12)+1)*Params!$B$15^(INT(AP$2/12)+1)+(11-MOD(AP$2,12))*Params!$B$15^INT(AP$2/12))/12</f>
        <v/>
      </c>
      <c r="AQ74" s="3">
        <f>$C$73*((MOD(AQ$2,12)+1)*Params!$B$15^(INT(AQ$2/12)+1)+(11-MOD(AQ$2,12))*Params!$B$15^INT(AQ$2/12))/12</f>
        <v/>
      </c>
      <c r="AR74" s="3">
        <f>$C$73*((MOD(AR$2,12)+1)*Params!$B$15^(INT(AR$2/12)+1)+(11-MOD(AR$2,12))*Params!$B$15^INT(AR$2/12))/12</f>
        <v/>
      </c>
      <c r="AS74" s="3">
        <f>$C$73*((MOD(AS$2,12)+1)*Params!$B$15^(INT(AS$2/12)+1)+(11-MOD(AS$2,12))*Params!$B$15^INT(AS$2/12))/12</f>
        <v/>
      </c>
      <c r="AT74" s="3">
        <f>$C$73*((MOD(AT$2,12)+1)*Params!$B$15^(INT(AT$2/12)+1)+(11-MOD(AT$2,12))*Params!$B$15^INT(AT$2/12))/12</f>
        <v/>
      </c>
      <c r="AU74" s="3">
        <f>$C$73*((MOD(AU$2,12)+1)*Params!$B$15^(INT(AU$2/12)+1)+(11-MOD(AU$2,12))*Params!$B$15^INT(AU$2/12))/12</f>
        <v/>
      </c>
      <c r="AV74" s="3">
        <f>$C$73*((MOD(AV$2,12)+1)*Params!$B$15^(INT(AV$2/12)+1)+(11-MOD(AV$2,12))*Params!$B$15^INT(AV$2/12))/12</f>
        <v/>
      </c>
      <c r="AW74" s="3">
        <f>$C$73*((MOD(AW$2,12)+1)*Params!$B$15^(INT(AW$2/12)+1)+(11-MOD(AW$2,12))*Params!$B$15^INT(AW$2/12))/12</f>
        <v/>
      </c>
      <c r="AX74" s="3">
        <f>$C$73*((MOD(AX$2,12)+1)*Params!$B$15^(INT(AX$2/12)+1)+(11-MOD(AX$2,12))*Params!$B$15^INT(AX$2/12))/12</f>
        <v/>
      </c>
      <c r="AY74" s="3">
        <f>$C$73*((MOD(AY$2,12)+1)*Params!$B$15^(INT(AY$2/12)+1)+(11-MOD(AY$2,12))*Params!$B$15^INT(AY$2/12))/12</f>
        <v/>
      </c>
      <c r="AZ74" s="3">
        <f>$C$73*((MOD(AZ$2,12)+1)*Params!$B$15^(INT(AZ$2/12)+1)+(11-MOD(AZ$2,12))*Params!$B$15^INT(AZ$2/12))/12</f>
        <v/>
      </c>
      <c r="BA74" s="3">
        <f>$C$73*((MOD(BA$2,12)+1)*Params!$B$15^(INT(BA$2/12)+1)+(11-MOD(BA$2,12))*Params!$B$15^INT(BA$2/12))/12</f>
        <v/>
      </c>
      <c r="BB74" s="3">
        <f>$C$73*((MOD(BB$2,12)+1)*Params!$B$15^(INT(BB$2/12)+1)+(11-MOD(BB$2,12))*Params!$B$15^INT(BB$2/12))/12</f>
        <v/>
      </c>
      <c r="BC74" s="3">
        <f>$C$73*((MOD(BC$2,12)+1)*Params!$B$15^(INT(BC$2/12)+1)+(11-MOD(BC$2,12))*Params!$B$15^INT(BC$2/12))/12</f>
        <v/>
      </c>
      <c r="BD74" s="3">
        <f>$C$73*((MOD(BD$2,12)+1)*Params!$B$15^(INT(BD$2/12)+1)+(11-MOD(BD$2,12))*Params!$B$15^INT(BD$2/12))/12</f>
        <v/>
      </c>
      <c r="BE74" s="3">
        <f>$C$73*((MOD(BE$2,12)+1)*Params!$B$15^(INT(BE$2/12)+1)+(11-MOD(BE$2,12))*Params!$B$15^INT(BE$2/12))/12</f>
        <v/>
      </c>
      <c r="BF74" s="3">
        <f>$C$73*((MOD(BF$2,12)+1)*Params!$B$15^(INT(BF$2/12)+1)+(11-MOD(BF$2,12))*Params!$B$15^INT(BF$2/12))/12</f>
        <v/>
      </c>
      <c r="BG74" s="3">
        <f>$C$73*((MOD(BG$2,12)+1)*Params!$B$15^(INT(BG$2/12)+1)+(11-MOD(BG$2,12))*Params!$B$15^INT(BG$2/12))/12</f>
        <v/>
      </c>
      <c r="BH74" s="3">
        <f>$C$73*((MOD(BH$2,12)+1)*Params!$B$15^(INT(BH$2/12)+1)+(11-MOD(BH$2,12))*Params!$B$15^INT(BH$2/12))/12</f>
        <v/>
      </c>
      <c r="BI74" s="3">
        <f>$C$73*((MOD(BI$2,12)+1)*Params!$B$15^(INT(BI$2/12)+1)+(11-MOD(BI$2,12))*Params!$B$15^INT(BI$2/12))/12</f>
        <v/>
      </c>
      <c r="BJ74" s="3">
        <f>$C$73*((MOD(BJ$2,12)+1)*Params!$B$15^(INT(BJ$2/12)+1)+(11-MOD(BJ$2,12))*Params!$B$15^INT(BJ$2/12))/12</f>
        <v/>
      </c>
      <c r="BK74" s="3">
        <f>$C$73*((MOD(BK$2,12)+1)*Params!$B$15^(INT(BK$2/12)+1)+(11-MOD(BK$2,12))*Params!$B$15^INT(BK$2/12))/12</f>
        <v/>
      </c>
      <c r="BL74" s="3">
        <f>$C$73*((MOD(BL$2,12)+1)*Params!$B$15^(INT(BL$2/12)+1)+(11-MOD(BL$2,12))*Params!$B$15^INT(BL$2/12))/12</f>
        <v/>
      </c>
      <c r="BM74" s="3">
        <f>$C$73*((MOD(BM$2,12)+1)*Params!$B$15^(INT(BM$2/12)+1)+(11-MOD(BM$2,12))*Params!$B$15^INT(BM$2/12))/12</f>
        <v/>
      </c>
      <c r="BN74" s="3">
        <f>$C$73*((MOD(BN$2,12)+1)*Params!$B$15^(INT(BN$2/12)+1)+(11-MOD(BN$2,12))*Params!$B$15^INT(BN$2/12))/12</f>
        <v/>
      </c>
      <c r="BO74" s="3">
        <f>$C$73*((MOD(BO$2,12)+1)*Params!$B$15^(INT(BO$2/12)+1)+(11-MOD(BO$2,12))*Params!$B$15^INT(BO$2/12))/12</f>
        <v/>
      </c>
      <c r="BP74" s="3">
        <f>$C$73*((MOD(BP$2,12)+1)*Params!$B$15^(INT(BP$2/12)+1)+(11-MOD(BP$2,12))*Params!$B$15^INT(BP$2/12))/12</f>
        <v/>
      </c>
      <c r="BQ74" s="3">
        <f>$C$73*((MOD(BQ$2,12)+1)*Params!$B$15^(INT(BQ$2/12)+1)+(11-MOD(BQ$2,12))*Params!$B$15^INT(BQ$2/12))/12</f>
        <v/>
      </c>
      <c r="BR74" s="3">
        <f>$C$73*((MOD(BR$2,12)+1)*Params!$B$15^(INT(BR$2/12)+1)+(11-MOD(BR$2,12))*Params!$B$15^INT(BR$2/12))/12</f>
        <v/>
      </c>
      <c r="BS74" s="3">
        <f>$C$73*((MOD(BS$2,12)+1)*Params!$B$15^(INT(BS$2/12)+1)+(11-MOD(BS$2,12))*Params!$B$15^INT(BS$2/12))/12</f>
        <v/>
      </c>
      <c r="BT74" s="3">
        <f>$C$73*((MOD(BT$2,12)+1)*Params!$B$15^(INT(BT$2/12)+1)+(11-MOD(BT$2,12))*Params!$B$15^INT(BT$2/12))/12</f>
        <v/>
      </c>
      <c r="BU74" s="3">
        <f>$C$73*((MOD(BU$2,12)+1)*Params!$B$15^(INT(BU$2/12)+1)+(11-MOD(BU$2,12))*Params!$B$15^INT(BU$2/12))/12</f>
        <v/>
      </c>
      <c r="BV74" s="3">
        <f>$C$73*((MOD(BV$2,12)+1)*Params!$B$15^(INT(BV$2/12)+1)+(11-MOD(BV$2,12))*Params!$B$15^INT(BV$2/12))/12</f>
        <v/>
      </c>
    </row>
    <row r="75">
      <c r="A75" t="inlineStr">
        <is>
          <t>churned</t>
        </is>
      </c>
      <c r="B75" t="inlineStr">
        <is>
          <t>ROW|NITRO_A</t>
        </is>
      </c>
      <c r="C75" s="3">
        <f>$C$73-C74</f>
        <v/>
      </c>
      <c r="D75" s="3">
        <f>C74-D74</f>
        <v/>
      </c>
      <c r="E75" s="3">
        <f>D74-E74</f>
        <v/>
      </c>
      <c r="F75" s="3">
        <f>E74-F74</f>
        <v/>
      </c>
      <c r="G75" s="3">
        <f>F74-G74</f>
        <v/>
      </c>
      <c r="H75" s="3">
        <f>G74-H74</f>
        <v/>
      </c>
      <c r="I75" s="3">
        <f>H74-I74</f>
        <v/>
      </c>
      <c r="J75" s="3">
        <f>I74-J74</f>
        <v/>
      </c>
      <c r="K75" s="3">
        <f>J74-K74</f>
        <v/>
      </c>
      <c r="L75" s="3">
        <f>K74-L74</f>
        <v/>
      </c>
      <c r="M75" s="3">
        <f>L74-M74</f>
        <v/>
      </c>
      <c r="N75" s="3">
        <f>M74-N74</f>
        <v/>
      </c>
      <c r="O75" s="3">
        <f>N74-O74</f>
        <v/>
      </c>
      <c r="P75" s="3">
        <f>O74-P74</f>
        <v/>
      </c>
      <c r="Q75" s="3">
        <f>P74-Q74</f>
        <v/>
      </c>
      <c r="R75" s="3">
        <f>Q74-R74</f>
        <v/>
      </c>
      <c r="S75" s="3">
        <f>R74-S74</f>
        <v/>
      </c>
      <c r="T75" s="3">
        <f>S74-T74</f>
        <v/>
      </c>
      <c r="U75" s="3">
        <f>T74-U74</f>
        <v/>
      </c>
      <c r="V75" s="3">
        <f>U74-V74</f>
        <v/>
      </c>
      <c r="W75" s="3">
        <f>V74-W74</f>
        <v/>
      </c>
      <c r="X75" s="3">
        <f>W74-X74</f>
        <v/>
      </c>
      <c r="Y75" s="3">
        <f>X74-Y74</f>
        <v/>
      </c>
      <c r="Z75" s="3">
        <f>Y74-Z74</f>
        <v/>
      </c>
      <c r="AA75" s="3">
        <f>Z74-AA74</f>
        <v/>
      </c>
      <c r="AB75" s="3">
        <f>AA74-AB74</f>
        <v/>
      </c>
      <c r="AC75" s="3">
        <f>AB74-AC74</f>
        <v/>
      </c>
      <c r="AD75" s="3">
        <f>AC74-AD74</f>
        <v/>
      </c>
      <c r="AE75" s="3">
        <f>AD74-AE74</f>
        <v/>
      </c>
      <c r="AF75" s="3">
        <f>AE74-AF74</f>
        <v/>
      </c>
      <c r="AG75" s="3">
        <f>AF74-AG74</f>
        <v/>
      </c>
      <c r="AH75" s="3">
        <f>AG74-AH74</f>
        <v/>
      </c>
      <c r="AI75" s="3">
        <f>AH74-AI74</f>
        <v/>
      </c>
      <c r="AJ75" s="3">
        <f>AI74-AJ74</f>
        <v/>
      </c>
      <c r="AK75" s="3">
        <f>AJ74-AK74</f>
        <v/>
      </c>
      <c r="AL75" s="3">
        <f>AK74-AL74</f>
        <v/>
      </c>
      <c r="AM75" s="3">
        <f>AL74-AM74</f>
        <v/>
      </c>
      <c r="AN75" s="3">
        <f>AM74-AN74</f>
        <v/>
      </c>
      <c r="AO75" s="3">
        <f>AN74-AO74</f>
        <v/>
      </c>
      <c r="AP75" s="3">
        <f>AO74-AP74</f>
        <v/>
      </c>
      <c r="AQ75" s="3">
        <f>AP74-AQ74</f>
        <v/>
      </c>
      <c r="AR75" s="3">
        <f>AQ74-AR74</f>
        <v/>
      </c>
      <c r="AS75" s="3">
        <f>AR74-AS74</f>
        <v/>
      </c>
      <c r="AT75" s="3">
        <f>AS74-AT74</f>
        <v/>
      </c>
      <c r="AU75" s="3">
        <f>AT74-AU74</f>
        <v/>
      </c>
      <c r="AV75" s="3">
        <f>AU74-AV74</f>
        <v/>
      </c>
      <c r="AW75" s="3">
        <f>AV74-AW74</f>
        <v/>
      </c>
      <c r="AX75" s="3">
        <f>AW74-AX74</f>
        <v/>
      </c>
      <c r="AY75" s="3">
        <f>AX74-AY74</f>
        <v/>
      </c>
      <c r="AZ75" s="3">
        <f>AY74-AZ74</f>
        <v/>
      </c>
      <c r="BA75" s="3">
        <f>AZ74-BA74</f>
        <v/>
      </c>
      <c r="BB75" s="3">
        <f>BA74-BB74</f>
        <v/>
      </c>
      <c r="BC75" s="3">
        <f>BB74-BC74</f>
        <v/>
      </c>
      <c r="BD75" s="3">
        <f>BC74-BD74</f>
        <v/>
      </c>
      <c r="BE75" s="3">
        <f>BD74-BE74</f>
        <v/>
      </c>
      <c r="BF75" s="3">
        <f>BE74-BF74</f>
        <v/>
      </c>
      <c r="BG75" s="3">
        <f>BF74-BG74</f>
        <v/>
      </c>
      <c r="BH75" s="3">
        <f>BG74-BH74</f>
        <v/>
      </c>
      <c r="BI75" s="3">
        <f>BH74-BI74</f>
        <v/>
      </c>
      <c r="BJ75" s="3">
        <f>BI74-BJ74</f>
        <v/>
      </c>
      <c r="BK75" s="3">
        <f>BJ74-BK74</f>
        <v/>
      </c>
      <c r="BL75" s="3">
        <f>BK74-BL74</f>
        <v/>
      </c>
      <c r="BM75" s="3">
        <f>BL74-BM74</f>
        <v/>
      </c>
      <c r="BN75" s="3">
        <f>BM74-BN74</f>
        <v/>
      </c>
      <c r="BO75" s="3">
        <f>BN74-BO74</f>
        <v/>
      </c>
      <c r="BP75" s="3">
        <f>BO74-BP74</f>
        <v/>
      </c>
      <c r="BQ75" s="3">
        <f>BP74-BQ74</f>
        <v/>
      </c>
      <c r="BR75" s="3">
        <f>BQ74-BR74</f>
        <v/>
      </c>
      <c r="BS75" s="3">
        <f>BR74-BS74</f>
        <v/>
      </c>
      <c r="BT75" s="3">
        <f>BS74-BT74</f>
        <v/>
      </c>
      <c r="BU75" s="3">
        <f>BT74-BU74</f>
        <v/>
      </c>
      <c r="BV75" s="3">
        <f>BU74-BV74</f>
        <v/>
      </c>
    </row>
    <row r="77">
      <c r="A77" t="inlineStr">
        <is>
          <t>opening book (Jan 2025)</t>
        </is>
      </c>
      <c r="B77" t="inlineStr">
        <is>
          <t>ROW|BASIC_M</t>
        </is>
      </c>
      <c r="C77" s="3">
        <f>Params!$B$19*Params!$B$55*Params!$B$77</f>
        <v/>
      </c>
    </row>
    <row r="78">
      <c r="A78" t="inlineStr">
        <is>
          <t>active</t>
        </is>
      </c>
      <c r="B78" t="inlineStr">
        <is>
          <t>ROW|BASIC_M</t>
        </is>
      </c>
      <c r="C78" s="3">
        <f>$C$77*(1-Params!$B$20)^(C$2+1)</f>
        <v/>
      </c>
      <c r="D78" s="3">
        <f>$C$77*(1-Params!$B$20)^(D$2+1)</f>
        <v/>
      </c>
      <c r="E78" s="3">
        <f>$C$77*(1-Params!$B$20)^(E$2+1)</f>
        <v/>
      </c>
      <c r="F78" s="3">
        <f>$C$77*(1-Params!$B$20)^(F$2+1)</f>
        <v/>
      </c>
      <c r="G78" s="3">
        <f>$C$77*(1-Params!$B$20)^(G$2+1)</f>
        <v/>
      </c>
      <c r="H78" s="3">
        <f>$C$77*(1-Params!$B$20)^(H$2+1)</f>
        <v/>
      </c>
      <c r="I78" s="3">
        <f>$C$77*(1-Params!$B$20)^(I$2+1)</f>
        <v/>
      </c>
      <c r="J78" s="3">
        <f>$C$77*(1-Params!$B$20)^(J$2+1)</f>
        <v/>
      </c>
      <c r="K78" s="3">
        <f>$C$77*(1-Params!$B$20)^(K$2+1)</f>
        <v/>
      </c>
      <c r="L78" s="3">
        <f>$C$77*(1-Params!$B$20)^(L$2+1)</f>
        <v/>
      </c>
      <c r="M78" s="3">
        <f>$C$77*(1-Params!$B$20)^(M$2+1)</f>
        <v/>
      </c>
      <c r="N78" s="3">
        <f>$C$77*(1-Params!$B$20)^(N$2+1)</f>
        <v/>
      </c>
      <c r="O78" s="3">
        <f>$C$77*(1-Params!$B$20)^(O$2+1)</f>
        <v/>
      </c>
      <c r="P78" s="3">
        <f>$C$77*(1-Params!$B$20)^(P$2+1)</f>
        <v/>
      </c>
      <c r="Q78" s="3">
        <f>$C$77*(1-Params!$B$20)^(Q$2+1)</f>
        <v/>
      </c>
      <c r="R78" s="3">
        <f>$C$77*(1-Params!$B$20)^(R$2+1)</f>
        <v/>
      </c>
      <c r="S78" s="3">
        <f>$C$77*(1-Params!$B$20)^(S$2+1)</f>
        <v/>
      </c>
      <c r="T78" s="3">
        <f>$C$77*(1-Params!$B$20)^(T$2+1)</f>
        <v/>
      </c>
      <c r="U78" s="3">
        <f>$C$77*(1-Params!$B$20)^(U$2+1)</f>
        <v/>
      </c>
      <c r="V78" s="3">
        <f>$C$77*(1-Params!$B$20)^(V$2+1)</f>
        <v/>
      </c>
      <c r="W78" s="3">
        <f>$C$77*(1-Params!$B$20)^(W$2+1)</f>
        <v/>
      </c>
      <c r="X78" s="3">
        <f>$C$77*(1-Params!$B$20)^(X$2+1)</f>
        <v/>
      </c>
      <c r="Y78" s="3">
        <f>$C$77*(1-Params!$B$20)^(Y$2+1)</f>
        <v/>
      </c>
      <c r="Z78" s="3">
        <f>$C$77*(1-Params!$B$20)^(Z$2+1)</f>
        <v/>
      </c>
      <c r="AA78" s="3">
        <f>$C$77*(1-Params!$B$20)^(AA$2+1)</f>
        <v/>
      </c>
      <c r="AB78" s="3">
        <f>$C$77*(1-Params!$B$20)^(AB$2+1)</f>
        <v/>
      </c>
      <c r="AC78" s="3">
        <f>$C$77*(1-Params!$B$20)^(AC$2+1)</f>
        <v/>
      </c>
      <c r="AD78" s="3">
        <f>$C$77*(1-Params!$B$20)^(AD$2+1)</f>
        <v/>
      </c>
      <c r="AE78" s="3">
        <f>$C$77*(1-Params!$B$20)^(AE$2+1)</f>
        <v/>
      </c>
      <c r="AF78" s="3">
        <f>$C$77*(1-Params!$B$20)^(AF$2+1)</f>
        <v/>
      </c>
      <c r="AG78" s="3">
        <f>$C$77*(1-Params!$B$20)^(AG$2+1)</f>
        <v/>
      </c>
      <c r="AH78" s="3">
        <f>$C$77*(1-Params!$B$20)^(AH$2+1)</f>
        <v/>
      </c>
      <c r="AI78" s="3">
        <f>$C$77*(1-Params!$B$20)^(AI$2+1)</f>
        <v/>
      </c>
      <c r="AJ78" s="3">
        <f>$C$77*(1-Params!$B$20)^(AJ$2+1)</f>
        <v/>
      </c>
      <c r="AK78" s="3">
        <f>$C$77*(1-Params!$B$20)^(AK$2+1)</f>
        <v/>
      </c>
      <c r="AL78" s="3">
        <f>$C$77*(1-Params!$B$20)^(AL$2+1)</f>
        <v/>
      </c>
      <c r="AM78" s="3">
        <f>$C$77*(1-Params!$B$20)^(AM$2+1)</f>
        <v/>
      </c>
      <c r="AN78" s="3">
        <f>$C$77*(1-Params!$B$20)^(AN$2+1)</f>
        <v/>
      </c>
      <c r="AO78" s="3">
        <f>$C$77*(1-Params!$B$20)^(AO$2+1)</f>
        <v/>
      </c>
      <c r="AP78" s="3">
        <f>$C$77*(1-Params!$B$20)^(AP$2+1)</f>
        <v/>
      </c>
      <c r="AQ78" s="3">
        <f>$C$77*(1-Params!$B$20)^(AQ$2+1)</f>
        <v/>
      </c>
      <c r="AR78" s="3">
        <f>$C$77*(1-Params!$B$20)^(AR$2+1)</f>
        <v/>
      </c>
      <c r="AS78" s="3">
        <f>$C$77*(1-Params!$B$20)^(AS$2+1)</f>
        <v/>
      </c>
      <c r="AT78" s="3">
        <f>$C$77*(1-Params!$B$20)^(AT$2+1)</f>
        <v/>
      </c>
      <c r="AU78" s="3">
        <f>$C$77*(1-Params!$B$20)^(AU$2+1)</f>
        <v/>
      </c>
      <c r="AV78" s="3">
        <f>$C$77*(1-Params!$B$20)^(AV$2+1)</f>
        <v/>
      </c>
      <c r="AW78" s="3">
        <f>$C$77*(1-Params!$B$20)^(AW$2+1)</f>
        <v/>
      </c>
      <c r="AX78" s="3">
        <f>$C$77*(1-Params!$B$20)^(AX$2+1)</f>
        <v/>
      </c>
      <c r="AY78" s="3">
        <f>$C$77*(1-Params!$B$20)^(AY$2+1)</f>
        <v/>
      </c>
      <c r="AZ78" s="3">
        <f>$C$77*(1-Params!$B$20)^(AZ$2+1)</f>
        <v/>
      </c>
      <c r="BA78" s="3">
        <f>$C$77*(1-Params!$B$20)^(BA$2+1)</f>
        <v/>
      </c>
      <c r="BB78" s="3">
        <f>$C$77*(1-Params!$B$20)^(BB$2+1)</f>
        <v/>
      </c>
      <c r="BC78" s="3">
        <f>$C$77*(1-Params!$B$20)^(BC$2+1)</f>
        <v/>
      </c>
      <c r="BD78" s="3">
        <f>$C$77*(1-Params!$B$20)^(BD$2+1)</f>
        <v/>
      </c>
      <c r="BE78" s="3">
        <f>$C$77*(1-Params!$B$20)^(BE$2+1)</f>
        <v/>
      </c>
      <c r="BF78" s="3">
        <f>$C$77*(1-Params!$B$20)^(BF$2+1)</f>
        <v/>
      </c>
      <c r="BG78" s="3">
        <f>$C$77*(1-Params!$B$20)^(BG$2+1)</f>
        <v/>
      </c>
      <c r="BH78" s="3">
        <f>$C$77*(1-Params!$B$20)^(BH$2+1)</f>
        <v/>
      </c>
      <c r="BI78" s="3">
        <f>$C$77*(1-Params!$B$20)^(BI$2+1)</f>
        <v/>
      </c>
      <c r="BJ78" s="3">
        <f>$C$77*(1-Params!$B$20)^(BJ$2+1)</f>
        <v/>
      </c>
      <c r="BK78" s="3">
        <f>$C$77*(1-Params!$B$20)^(BK$2+1)</f>
        <v/>
      </c>
      <c r="BL78" s="3">
        <f>$C$77*(1-Params!$B$20)^(BL$2+1)</f>
        <v/>
      </c>
      <c r="BM78" s="3">
        <f>$C$77*(1-Params!$B$20)^(BM$2+1)</f>
        <v/>
      </c>
      <c r="BN78" s="3">
        <f>$C$77*(1-Params!$B$20)^(BN$2+1)</f>
        <v/>
      </c>
      <c r="BO78" s="3">
        <f>$C$77*(1-Params!$B$20)^(BO$2+1)</f>
        <v/>
      </c>
      <c r="BP78" s="3">
        <f>$C$77*(1-Params!$B$20)^(BP$2+1)</f>
        <v/>
      </c>
      <c r="BQ78" s="3">
        <f>$C$77*(1-Params!$B$20)^(BQ$2+1)</f>
        <v/>
      </c>
      <c r="BR78" s="3">
        <f>$C$77*(1-Params!$B$20)^(BR$2+1)</f>
        <v/>
      </c>
      <c r="BS78" s="3">
        <f>$C$77*(1-Params!$B$20)^(BS$2+1)</f>
        <v/>
      </c>
      <c r="BT78" s="3">
        <f>$C$77*(1-Params!$B$20)^(BT$2+1)</f>
        <v/>
      </c>
      <c r="BU78" s="3">
        <f>$C$77*(1-Params!$B$20)^(BU$2+1)</f>
        <v/>
      </c>
      <c r="BV78" s="3">
        <f>$C$77*(1-Params!$B$20)^(BV$2+1)</f>
        <v/>
      </c>
    </row>
    <row r="79">
      <c r="A79" t="inlineStr">
        <is>
          <t>churned</t>
        </is>
      </c>
      <c r="B79" t="inlineStr">
        <is>
          <t>ROW|BASIC_M</t>
        </is>
      </c>
      <c r="C79" s="3">
        <f>$C$77-C78</f>
        <v/>
      </c>
      <c r="D79" s="3">
        <f>C78-D78</f>
        <v/>
      </c>
      <c r="E79" s="3">
        <f>D78-E78</f>
        <v/>
      </c>
      <c r="F79" s="3">
        <f>E78-F78</f>
        <v/>
      </c>
      <c r="G79" s="3">
        <f>F78-G78</f>
        <v/>
      </c>
      <c r="H79" s="3">
        <f>G78-H78</f>
        <v/>
      </c>
      <c r="I79" s="3">
        <f>H78-I78</f>
        <v/>
      </c>
      <c r="J79" s="3">
        <f>I78-J78</f>
        <v/>
      </c>
      <c r="K79" s="3">
        <f>J78-K78</f>
        <v/>
      </c>
      <c r="L79" s="3">
        <f>K78-L78</f>
        <v/>
      </c>
      <c r="M79" s="3">
        <f>L78-M78</f>
        <v/>
      </c>
      <c r="N79" s="3">
        <f>M78-N78</f>
        <v/>
      </c>
      <c r="O79" s="3">
        <f>N78-O78</f>
        <v/>
      </c>
      <c r="P79" s="3">
        <f>O78-P78</f>
        <v/>
      </c>
      <c r="Q79" s="3">
        <f>P78-Q78</f>
        <v/>
      </c>
      <c r="R79" s="3">
        <f>Q78-R78</f>
        <v/>
      </c>
      <c r="S79" s="3">
        <f>R78-S78</f>
        <v/>
      </c>
      <c r="T79" s="3">
        <f>S78-T78</f>
        <v/>
      </c>
      <c r="U79" s="3">
        <f>T78-U78</f>
        <v/>
      </c>
      <c r="V79" s="3">
        <f>U78-V78</f>
        <v/>
      </c>
      <c r="W79" s="3">
        <f>V78-W78</f>
        <v/>
      </c>
      <c r="X79" s="3">
        <f>W78-X78</f>
        <v/>
      </c>
      <c r="Y79" s="3">
        <f>X78-Y78</f>
        <v/>
      </c>
      <c r="Z79" s="3">
        <f>Y78-Z78</f>
        <v/>
      </c>
      <c r="AA79" s="3">
        <f>Z78-AA78</f>
        <v/>
      </c>
      <c r="AB79" s="3">
        <f>AA78-AB78</f>
        <v/>
      </c>
      <c r="AC79" s="3">
        <f>AB78-AC78</f>
        <v/>
      </c>
      <c r="AD79" s="3">
        <f>AC78-AD78</f>
        <v/>
      </c>
      <c r="AE79" s="3">
        <f>AD78-AE78</f>
        <v/>
      </c>
      <c r="AF79" s="3">
        <f>AE78-AF78</f>
        <v/>
      </c>
      <c r="AG79" s="3">
        <f>AF78-AG78</f>
        <v/>
      </c>
      <c r="AH79" s="3">
        <f>AG78-AH78</f>
        <v/>
      </c>
      <c r="AI79" s="3">
        <f>AH78-AI78</f>
        <v/>
      </c>
      <c r="AJ79" s="3">
        <f>AI78-AJ78</f>
        <v/>
      </c>
      <c r="AK79" s="3">
        <f>AJ78-AK78</f>
        <v/>
      </c>
      <c r="AL79" s="3">
        <f>AK78-AL78</f>
        <v/>
      </c>
      <c r="AM79" s="3">
        <f>AL78-AM78</f>
        <v/>
      </c>
      <c r="AN79" s="3">
        <f>AM78-AN78</f>
        <v/>
      </c>
      <c r="AO79" s="3">
        <f>AN78-AO78</f>
        <v/>
      </c>
      <c r="AP79" s="3">
        <f>AO78-AP78</f>
        <v/>
      </c>
      <c r="AQ79" s="3">
        <f>AP78-AQ78</f>
        <v/>
      </c>
      <c r="AR79" s="3">
        <f>AQ78-AR78</f>
        <v/>
      </c>
      <c r="AS79" s="3">
        <f>AR78-AS78</f>
        <v/>
      </c>
      <c r="AT79" s="3">
        <f>AS78-AT78</f>
        <v/>
      </c>
      <c r="AU79" s="3">
        <f>AT78-AU78</f>
        <v/>
      </c>
      <c r="AV79" s="3">
        <f>AU78-AV78</f>
        <v/>
      </c>
      <c r="AW79" s="3">
        <f>AV78-AW78</f>
        <v/>
      </c>
      <c r="AX79" s="3">
        <f>AW78-AX78</f>
        <v/>
      </c>
      <c r="AY79" s="3">
        <f>AX78-AY78</f>
        <v/>
      </c>
      <c r="AZ79" s="3">
        <f>AY78-AZ78</f>
        <v/>
      </c>
      <c r="BA79" s="3">
        <f>AZ78-BA78</f>
        <v/>
      </c>
      <c r="BB79" s="3">
        <f>BA78-BB78</f>
        <v/>
      </c>
      <c r="BC79" s="3">
        <f>BB78-BC78</f>
        <v/>
      </c>
      <c r="BD79" s="3">
        <f>BC78-BD78</f>
        <v/>
      </c>
      <c r="BE79" s="3">
        <f>BD78-BE78</f>
        <v/>
      </c>
      <c r="BF79" s="3">
        <f>BE78-BF78</f>
        <v/>
      </c>
      <c r="BG79" s="3">
        <f>BF78-BG78</f>
        <v/>
      </c>
      <c r="BH79" s="3">
        <f>BG78-BH78</f>
        <v/>
      </c>
      <c r="BI79" s="3">
        <f>BH78-BI78</f>
        <v/>
      </c>
      <c r="BJ79" s="3">
        <f>BI78-BJ78</f>
        <v/>
      </c>
      <c r="BK79" s="3">
        <f>BJ78-BK78</f>
        <v/>
      </c>
      <c r="BL79" s="3">
        <f>BK78-BL78</f>
        <v/>
      </c>
      <c r="BM79" s="3">
        <f>BL78-BM78</f>
        <v/>
      </c>
      <c r="BN79" s="3">
        <f>BM78-BN78</f>
        <v/>
      </c>
      <c r="BO79" s="3">
        <f>BN78-BO78</f>
        <v/>
      </c>
      <c r="BP79" s="3">
        <f>BO78-BP78</f>
        <v/>
      </c>
      <c r="BQ79" s="3">
        <f>BP78-BQ78</f>
        <v/>
      </c>
      <c r="BR79" s="3">
        <f>BQ78-BR78</f>
        <v/>
      </c>
      <c r="BS79" s="3">
        <f>BR78-BS78</f>
        <v/>
      </c>
      <c r="BT79" s="3">
        <f>BS78-BT78</f>
        <v/>
      </c>
      <c r="BU79" s="3">
        <f>BT78-BU78</f>
        <v/>
      </c>
      <c r="BV79" s="3">
        <f>BU78-BV78</f>
        <v/>
      </c>
    </row>
    <row r="81">
      <c r="A81" t="inlineStr">
        <is>
          <t>opening book (Jan 2025)</t>
        </is>
      </c>
      <c r="B81" t="inlineStr">
        <is>
          <t>ROW|BASIC_A</t>
        </is>
      </c>
      <c r="C81" s="3">
        <f>Params!$B$19*Params!$B$55*Params!$B$78</f>
        <v/>
      </c>
    </row>
    <row r="82">
      <c r="A82" t="inlineStr">
        <is>
          <t>active</t>
        </is>
      </c>
      <c r="B82" t="inlineStr">
        <is>
          <t>ROW|BASIC_A</t>
        </is>
      </c>
      <c r="C82" s="3">
        <f>$C$81*((MOD(C$2,12)+1)*Params!$B$15^(INT(C$2/12)+1)+(11-MOD(C$2,12))*Params!$B$15^INT(C$2/12))/12</f>
        <v/>
      </c>
      <c r="D82" s="3">
        <f>$C$81*((MOD(D$2,12)+1)*Params!$B$15^(INT(D$2/12)+1)+(11-MOD(D$2,12))*Params!$B$15^INT(D$2/12))/12</f>
        <v/>
      </c>
      <c r="E82" s="3">
        <f>$C$81*((MOD(E$2,12)+1)*Params!$B$15^(INT(E$2/12)+1)+(11-MOD(E$2,12))*Params!$B$15^INT(E$2/12))/12</f>
        <v/>
      </c>
      <c r="F82" s="3">
        <f>$C$81*((MOD(F$2,12)+1)*Params!$B$15^(INT(F$2/12)+1)+(11-MOD(F$2,12))*Params!$B$15^INT(F$2/12))/12</f>
        <v/>
      </c>
      <c r="G82" s="3">
        <f>$C$81*((MOD(G$2,12)+1)*Params!$B$15^(INT(G$2/12)+1)+(11-MOD(G$2,12))*Params!$B$15^INT(G$2/12))/12</f>
        <v/>
      </c>
      <c r="H82" s="3">
        <f>$C$81*((MOD(H$2,12)+1)*Params!$B$15^(INT(H$2/12)+1)+(11-MOD(H$2,12))*Params!$B$15^INT(H$2/12))/12</f>
        <v/>
      </c>
      <c r="I82" s="3">
        <f>$C$81*((MOD(I$2,12)+1)*Params!$B$15^(INT(I$2/12)+1)+(11-MOD(I$2,12))*Params!$B$15^INT(I$2/12))/12</f>
        <v/>
      </c>
      <c r="J82" s="3">
        <f>$C$81*((MOD(J$2,12)+1)*Params!$B$15^(INT(J$2/12)+1)+(11-MOD(J$2,12))*Params!$B$15^INT(J$2/12))/12</f>
        <v/>
      </c>
      <c r="K82" s="3">
        <f>$C$81*((MOD(K$2,12)+1)*Params!$B$15^(INT(K$2/12)+1)+(11-MOD(K$2,12))*Params!$B$15^INT(K$2/12))/12</f>
        <v/>
      </c>
      <c r="L82" s="3">
        <f>$C$81*((MOD(L$2,12)+1)*Params!$B$15^(INT(L$2/12)+1)+(11-MOD(L$2,12))*Params!$B$15^INT(L$2/12))/12</f>
        <v/>
      </c>
      <c r="M82" s="3">
        <f>$C$81*((MOD(M$2,12)+1)*Params!$B$15^(INT(M$2/12)+1)+(11-MOD(M$2,12))*Params!$B$15^INT(M$2/12))/12</f>
        <v/>
      </c>
      <c r="N82" s="3">
        <f>$C$81*((MOD(N$2,12)+1)*Params!$B$15^(INT(N$2/12)+1)+(11-MOD(N$2,12))*Params!$B$15^INT(N$2/12))/12</f>
        <v/>
      </c>
      <c r="O82" s="3">
        <f>$C$81*((MOD(O$2,12)+1)*Params!$B$15^(INT(O$2/12)+1)+(11-MOD(O$2,12))*Params!$B$15^INT(O$2/12))/12</f>
        <v/>
      </c>
      <c r="P82" s="3">
        <f>$C$81*((MOD(P$2,12)+1)*Params!$B$15^(INT(P$2/12)+1)+(11-MOD(P$2,12))*Params!$B$15^INT(P$2/12))/12</f>
        <v/>
      </c>
      <c r="Q82" s="3">
        <f>$C$81*((MOD(Q$2,12)+1)*Params!$B$15^(INT(Q$2/12)+1)+(11-MOD(Q$2,12))*Params!$B$15^INT(Q$2/12))/12</f>
        <v/>
      </c>
      <c r="R82" s="3">
        <f>$C$81*((MOD(R$2,12)+1)*Params!$B$15^(INT(R$2/12)+1)+(11-MOD(R$2,12))*Params!$B$15^INT(R$2/12))/12</f>
        <v/>
      </c>
      <c r="S82" s="3">
        <f>$C$81*((MOD(S$2,12)+1)*Params!$B$15^(INT(S$2/12)+1)+(11-MOD(S$2,12))*Params!$B$15^INT(S$2/12))/12</f>
        <v/>
      </c>
      <c r="T82" s="3">
        <f>$C$81*((MOD(T$2,12)+1)*Params!$B$15^(INT(T$2/12)+1)+(11-MOD(T$2,12))*Params!$B$15^INT(T$2/12))/12</f>
        <v/>
      </c>
      <c r="U82" s="3">
        <f>$C$81*((MOD(U$2,12)+1)*Params!$B$15^(INT(U$2/12)+1)+(11-MOD(U$2,12))*Params!$B$15^INT(U$2/12))/12</f>
        <v/>
      </c>
      <c r="V82" s="3">
        <f>$C$81*((MOD(V$2,12)+1)*Params!$B$15^(INT(V$2/12)+1)+(11-MOD(V$2,12))*Params!$B$15^INT(V$2/12))/12</f>
        <v/>
      </c>
      <c r="W82" s="3">
        <f>$C$81*((MOD(W$2,12)+1)*Params!$B$15^(INT(W$2/12)+1)+(11-MOD(W$2,12))*Params!$B$15^INT(W$2/12))/12</f>
        <v/>
      </c>
      <c r="X82" s="3">
        <f>$C$81*((MOD(X$2,12)+1)*Params!$B$15^(INT(X$2/12)+1)+(11-MOD(X$2,12))*Params!$B$15^INT(X$2/12))/12</f>
        <v/>
      </c>
      <c r="Y82" s="3">
        <f>$C$81*((MOD(Y$2,12)+1)*Params!$B$15^(INT(Y$2/12)+1)+(11-MOD(Y$2,12))*Params!$B$15^INT(Y$2/12))/12</f>
        <v/>
      </c>
      <c r="Z82" s="3">
        <f>$C$81*((MOD(Z$2,12)+1)*Params!$B$15^(INT(Z$2/12)+1)+(11-MOD(Z$2,12))*Params!$B$15^INT(Z$2/12))/12</f>
        <v/>
      </c>
      <c r="AA82" s="3">
        <f>$C$81*((MOD(AA$2,12)+1)*Params!$B$15^(INT(AA$2/12)+1)+(11-MOD(AA$2,12))*Params!$B$15^INT(AA$2/12))/12</f>
        <v/>
      </c>
      <c r="AB82" s="3">
        <f>$C$81*((MOD(AB$2,12)+1)*Params!$B$15^(INT(AB$2/12)+1)+(11-MOD(AB$2,12))*Params!$B$15^INT(AB$2/12))/12</f>
        <v/>
      </c>
      <c r="AC82" s="3">
        <f>$C$81*((MOD(AC$2,12)+1)*Params!$B$15^(INT(AC$2/12)+1)+(11-MOD(AC$2,12))*Params!$B$15^INT(AC$2/12))/12</f>
        <v/>
      </c>
      <c r="AD82" s="3">
        <f>$C$81*((MOD(AD$2,12)+1)*Params!$B$15^(INT(AD$2/12)+1)+(11-MOD(AD$2,12))*Params!$B$15^INT(AD$2/12))/12</f>
        <v/>
      </c>
      <c r="AE82" s="3">
        <f>$C$81*((MOD(AE$2,12)+1)*Params!$B$15^(INT(AE$2/12)+1)+(11-MOD(AE$2,12))*Params!$B$15^INT(AE$2/12))/12</f>
        <v/>
      </c>
      <c r="AF82" s="3">
        <f>$C$81*((MOD(AF$2,12)+1)*Params!$B$15^(INT(AF$2/12)+1)+(11-MOD(AF$2,12))*Params!$B$15^INT(AF$2/12))/12</f>
        <v/>
      </c>
      <c r="AG82" s="3">
        <f>$C$81*((MOD(AG$2,12)+1)*Params!$B$15^(INT(AG$2/12)+1)+(11-MOD(AG$2,12))*Params!$B$15^INT(AG$2/12))/12</f>
        <v/>
      </c>
      <c r="AH82" s="3">
        <f>$C$81*((MOD(AH$2,12)+1)*Params!$B$15^(INT(AH$2/12)+1)+(11-MOD(AH$2,12))*Params!$B$15^INT(AH$2/12))/12</f>
        <v/>
      </c>
      <c r="AI82" s="3">
        <f>$C$81*((MOD(AI$2,12)+1)*Params!$B$15^(INT(AI$2/12)+1)+(11-MOD(AI$2,12))*Params!$B$15^INT(AI$2/12))/12</f>
        <v/>
      </c>
      <c r="AJ82" s="3">
        <f>$C$81*((MOD(AJ$2,12)+1)*Params!$B$15^(INT(AJ$2/12)+1)+(11-MOD(AJ$2,12))*Params!$B$15^INT(AJ$2/12))/12</f>
        <v/>
      </c>
      <c r="AK82" s="3">
        <f>$C$81*((MOD(AK$2,12)+1)*Params!$B$15^(INT(AK$2/12)+1)+(11-MOD(AK$2,12))*Params!$B$15^INT(AK$2/12))/12</f>
        <v/>
      </c>
      <c r="AL82" s="3">
        <f>$C$81*((MOD(AL$2,12)+1)*Params!$B$15^(INT(AL$2/12)+1)+(11-MOD(AL$2,12))*Params!$B$15^INT(AL$2/12))/12</f>
        <v/>
      </c>
      <c r="AM82" s="3">
        <f>$C$81*((MOD(AM$2,12)+1)*Params!$B$15^(INT(AM$2/12)+1)+(11-MOD(AM$2,12))*Params!$B$15^INT(AM$2/12))/12</f>
        <v/>
      </c>
      <c r="AN82" s="3">
        <f>$C$81*((MOD(AN$2,12)+1)*Params!$B$15^(INT(AN$2/12)+1)+(11-MOD(AN$2,12))*Params!$B$15^INT(AN$2/12))/12</f>
        <v/>
      </c>
      <c r="AO82" s="3">
        <f>$C$81*((MOD(AO$2,12)+1)*Params!$B$15^(INT(AO$2/12)+1)+(11-MOD(AO$2,12))*Params!$B$15^INT(AO$2/12))/12</f>
        <v/>
      </c>
      <c r="AP82" s="3">
        <f>$C$81*((MOD(AP$2,12)+1)*Params!$B$15^(INT(AP$2/12)+1)+(11-MOD(AP$2,12))*Params!$B$15^INT(AP$2/12))/12</f>
        <v/>
      </c>
      <c r="AQ82" s="3">
        <f>$C$81*((MOD(AQ$2,12)+1)*Params!$B$15^(INT(AQ$2/12)+1)+(11-MOD(AQ$2,12))*Params!$B$15^INT(AQ$2/12))/12</f>
        <v/>
      </c>
      <c r="AR82" s="3">
        <f>$C$81*((MOD(AR$2,12)+1)*Params!$B$15^(INT(AR$2/12)+1)+(11-MOD(AR$2,12))*Params!$B$15^INT(AR$2/12))/12</f>
        <v/>
      </c>
      <c r="AS82" s="3">
        <f>$C$81*((MOD(AS$2,12)+1)*Params!$B$15^(INT(AS$2/12)+1)+(11-MOD(AS$2,12))*Params!$B$15^INT(AS$2/12))/12</f>
        <v/>
      </c>
      <c r="AT82" s="3">
        <f>$C$81*((MOD(AT$2,12)+1)*Params!$B$15^(INT(AT$2/12)+1)+(11-MOD(AT$2,12))*Params!$B$15^INT(AT$2/12))/12</f>
        <v/>
      </c>
      <c r="AU82" s="3">
        <f>$C$81*((MOD(AU$2,12)+1)*Params!$B$15^(INT(AU$2/12)+1)+(11-MOD(AU$2,12))*Params!$B$15^INT(AU$2/12))/12</f>
        <v/>
      </c>
      <c r="AV82" s="3">
        <f>$C$81*((MOD(AV$2,12)+1)*Params!$B$15^(INT(AV$2/12)+1)+(11-MOD(AV$2,12))*Params!$B$15^INT(AV$2/12))/12</f>
        <v/>
      </c>
      <c r="AW82" s="3">
        <f>$C$81*((MOD(AW$2,12)+1)*Params!$B$15^(INT(AW$2/12)+1)+(11-MOD(AW$2,12))*Params!$B$15^INT(AW$2/12))/12</f>
        <v/>
      </c>
      <c r="AX82" s="3">
        <f>$C$81*((MOD(AX$2,12)+1)*Params!$B$15^(INT(AX$2/12)+1)+(11-MOD(AX$2,12))*Params!$B$15^INT(AX$2/12))/12</f>
        <v/>
      </c>
      <c r="AY82" s="3">
        <f>$C$81*((MOD(AY$2,12)+1)*Params!$B$15^(INT(AY$2/12)+1)+(11-MOD(AY$2,12))*Params!$B$15^INT(AY$2/12))/12</f>
        <v/>
      </c>
      <c r="AZ82" s="3">
        <f>$C$81*((MOD(AZ$2,12)+1)*Params!$B$15^(INT(AZ$2/12)+1)+(11-MOD(AZ$2,12))*Params!$B$15^INT(AZ$2/12))/12</f>
        <v/>
      </c>
      <c r="BA82" s="3">
        <f>$C$81*((MOD(BA$2,12)+1)*Params!$B$15^(INT(BA$2/12)+1)+(11-MOD(BA$2,12))*Params!$B$15^INT(BA$2/12))/12</f>
        <v/>
      </c>
      <c r="BB82" s="3">
        <f>$C$81*((MOD(BB$2,12)+1)*Params!$B$15^(INT(BB$2/12)+1)+(11-MOD(BB$2,12))*Params!$B$15^INT(BB$2/12))/12</f>
        <v/>
      </c>
      <c r="BC82" s="3">
        <f>$C$81*((MOD(BC$2,12)+1)*Params!$B$15^(INT(BC$2/12)+1)+(11-MOD(BC$2,12))*Params!$B$15^INT(BC$2/12))/12</f>
        <v/>
      </c>
      <c r="BD82" s="3">
        <f>$C$81*((MOD(BD$2,12)+1)*Params!$B$15^(INT(BD$2/12)+1)+(11-MOD(BD$2,12))*Params!$B$15^INT(BD$2/12))/12</f>
        <v/>
      </c>
      <c r="BE82" s="3">
        <f>$C$81*((MOD(BE$2,12)+1)*Params!$B$15^(INT(BE$2/12)+1)+(11-MOD(BE$2,12))*Params!$B$15^INT(BE$2/12))/12</f>
        <v/>
      </c>
      <c r="BF82" s="3">
        <f>$C$81*((MOD(BF$2,12)+1)*Params!$B$15^(INT(BF$2/12)+1)+(11-MOD(BF$2,12))*Params!$B$15^INT(BF$2/12))/12</f>
        <v/>
      </c>
      <c r="BG82" s="3">
        <f>$C$81*((MOD(BG$2,12)+1)*Params!$B$15^(INT(BG$2/12)+1)+(11-MOD(BG$2,12))*Params!$B$15^INT(BG$2/12))/12</f>
        <v/>
      </c>
      <c r="BH82" s="3">
        <f>$C$81*((MOD(BH$2,12)+1)*Params!$B$15^(INT(BH$2/12)+1)+(11-MOD(BH$2,12))*Params!$B$15^INT(BH$2/12))/12</f>
        <v/>
      </c>
      <c r="BI82" s="3">
        <f>$C$81*((MOD(BI$2,12)+1)*Params!$B$15^(INT(BI$2/12)+1)+(11-MOD(BI$2,12))*Params!$B$15^INT(BI$2/12))/12</f>
        <v/>
      </c>
      <c r="BJ82" s="3">
        <f>$C$81*((MOD(BJ$2,12)+1)*Params!$B$15^(INT(BJ$2/12)+1)+(11-MOD(BJ$2,12))*Params!$B$15^INT(BJ$2/12))/12</f>
        <v/>
      </c>
      <c r="BK82" s="3">
        <f>$C$81*((MOD(BK$2,12)+1)*Params!$B$15^(INT(BK$2/12)+1)+(11-MOD(BK$2,12))*Params!$B$15^INT(BK$2/12))/12</f>
        <v/>
      </c>
      <c r="BL82" s="3">
        <f>$C$81*((MOD(BL$2,12)+1)*Params!$B$15^(INT(BL$2/12)+1)+(11-MOD(BL$2,12))*Params!$B$15^INT(BL$2/12))/12</f>
        <v/>
      </c>
      <c r="BM82" s="3">
        <f>$C$81*((MOD(BM$2,12)+1)*Params!$B$15^(INT(BM$2/12)+1)+(11-MOD(BM$2,12))*Params!$B$15^INT(BM$2/12))/12</f>
        <v/>
      </c>
      <c r="BN82" s="3">
        <f>$C$81*((MOD(BN$2,12)+1)*Params!$B$15^(INT(BN$2/12)+1)+(11-MOD(BN$2,12))*Params!$B$15^INT(BN$2/12))/12</f>
        <v/>
      </c>
      <c r="BO82" s="3">
        <f>$C$81*((MOD(BO$2,12)+1)*Params!$B$15^(INT(BO$2/12)+1)+(11-MOD(BO$2,12))*Params!$B$15^INT(BO$2/12))/12</f>
        <v/>
      </c>
      <c r="BP82" s="3">
        <f>$C$81*((MOD(BP$2,12)+1)*Params!$B$15^(INT(BP$2/12)+1)+(11-MOD(BP$2,12))*Params!$B$15^INT(BP$2/12))/12</f>
        <v/>
      </c>
      <c r="BQ82" s="3">
        <f>$C$81*((MOD(BQ$2,12)+1)*Params!$B$15^(INT(BQ$2/12)+1)+(11-MOD(BQ$2,12))*Params!$B$15^INT(BQ$2/12))/12</f>
        <v/>
      </c>
      <c r="BR82" s="3">
        <f>$C$81*((MOD(BR$2,12)+1)*Params!$B$15^(INT(BR$2/12)+1)+(11-MOD(BR$2,12))*Params!$B$15^INT(BR$2/12))/12</f>
        <v/>
      </c>
      <c r="BS82" s="3">
        <f>$C$81*((MOD(BS$2,12)+1)*Params!$B$15^(INT(BS$2/12)+1)+(11-MOD(BS$2,12))*Params!$B$15^INT(BS$2/12))/12</f>
        <v/>
      </c>
      <c r="BT82" s="3">
        <f>$C$81*((MOD(BT$2,12)+1)*Params!$B$15^(INT(BT$2/12)+1)+(11-MOD(BT$2,12))*Params!$B$15^INT(BT$2/12))/12</f>
        <v/>
      </c>
      <c r="BU82" s="3">
        <f>$C$81*((MOD(BU$2,12)+1)*Params!$B$15^(INT(BU$2/12)+1)+(11-MOD(BU$2,12))*Params!$B$15^INT(BU$2/12))/12</f>
        <v/>
      </c>
      <c r="BV82" s="3">
        <f>$C$81*((MOD(BV$2,12)+1)*Params!$B$15^(INT(BV$2/12)+1)+(11-MOD(BV$2,12))*Params!$B$15^INT(BV$2/12))/12</f>
        <v/>
      </c>
    </row>
    <row r="83">
      <c r="A83" t="inlineStr">
        <is>
          <t>churned</t>
        </is>
      </c>
      <c r="B83" t="inlineStr">
        <is>
          <t>ROW|BASIC_A</t>
        </is>
      </c>
      <c r="C83" s="3">
        <f>$C$81-C82</f>
        <v/>
      </c>
      <c r="D83" s="3">
        <f>C82-D82</f>
        <v/>
      </c>
      <c r="E83" s="3">
        <f>D82-E82</f>
        <v/>
      </c>
      <c r="F83" s="3">
        <f>E82-F82</f>
        <v/>
      </c>
      <c r="G83" s="3">
        <f>F82-G82</f>
        <v/>
      </c>
      <c r="H83" s="3">
        <f>G82-H82</f>
        <v/>
      </c>
      <c r="I83" s="3">
        <f>H82-I82</f>
        <v/>
      </c>
      <c r="J83" s="3">
        <f>I82-J82</f>
        <v/>
      </c>
      <c r="K83" s="3">
        <f>J82-K82</f>
        <v/>
      </c>
      <c r="L83" s="3">
        <f>K82-L82</f>
        <v/>
      </c>
      <c r="M83" s="3">
        <f>L82-M82</f>
        <v/>
      </c>
      <c r="N83" s="3">
        <f>M82-N82</f>
        <v/>
      </c>
      <c r="O83" s="3">
        <f>N82-O82</f>
        <v/>
      </c>
      <c r="P83" s="3">
        <f>O82-P82</f>
        <v/>
      </c>
      <c r="Q83" s="3">
        <f>P82-Q82</f>
        <v/>
      </c>
      <c r="R83" s="3">
        <f>Q82-R82</f>
        <v/>
      </c>
      <c r="S83" s="3">
        <f>R82-S82</f>
        <v/>
      </c>
      <c r="T83" s="3">
        <f>S82-T82</f>
        <v/>
      </c>
      <c r="U83" s="3">
        <f>T82-U82</f>
        <v/>
      </c>
      <c r="V83" s="3">
        <f>U82-V82</f>
        <v/>
      </c>
      <c r="W83" s="3">
        <f>V82-W82</f>
        <v/>
      </c>
      <c r="X83" s="3">
        <f>W82-X82</f>
        <v/>
      </c>
      <c r="Y83" s="3">
        <f>X82-Y82</f>
        <v/>
      </c>
      <c r="Z83" s="3">
        <f>Y82-Z82</f>
        <v/>
      </c>
      <c r="AA83" s="3">
        <f>Z82-AA82</f>
        <v/>
      </c>
      <c r="AB83" s="3">
        <f>AA82-AB82</f>
        <v/>
      </c>
      <c r="AC83" s="3">
        <f>AB82-AC82</f>
        <v/>
      </c>
      <c r="AD83" s="3">
        <f>AC82-AD82</f>
        <v/>
      </c>
      <c r="AE83" s="3">
        <f>AD82-AE82</f>
        <v/>
      </c>
      <c r="AF83" s="3">
        <f>AE82-AF82</f>
        <v/>
      </c>
      <c r="AG83" s="3">
        <f>AF82-AG82</f>
        <v/>
      </c>
      <c r="AH83" s="3">
        <f>AG82-AH82</f>
        <v/>
      </c>
      <c r="AI83" s="3">
        <f>AH82-AI82</f>
        <v/>
      </c>
      <c r="AJ83" s="3">
        <f>AI82-AJ82</f>
        <v/>
      </c>
      <c r="AK83" s="3">
        <f>AJ82-AK82</f>
        <v/>
      </c>
      <c r="AL83" s="3">
        <f>AK82-AL82</f>
        <v/>
      </c>
      <c r="AM83" s="3">
        <f>AL82-AM82</f>
        <v/>
      </c>
      <c r="AN83" s="3">
        <f>AM82-AN82</f>
        <v/>
      </c>
      <c r="AO83" s="3">
        <f>AN82-AO82</f>
        <v/>
      </c>
      <c r="AP83" s="3">
        <f>AO82-AP82</f>
        <v/>
      </c>
      <c r="AQ83" s="3">
        <f>AP82-AQ82</f>
        <v/>
      </c>
      <c r="AR83" s="3">
        <f>AQ82-AR82</f>
        <v/>
      </c>
      <c r="AS83" s="3">
        <f>AR82-AS82</f>
        <v/>
      </c>
      <c r="AT83" s="3">
        <f>AS82-AT82</f>
        <v/>
      </c>
      <c r="AU83" s="3">
        <f>AT82-AU82</f>
        <v/>
      </c>
      <c r="AV83" s="3">
        <f>AU82-AV82</f>
        <v/>
      </c>
      <c r="AW83" s="3">
        <f>AV82-AW82</f>
        <v/>
      </c>
      <c r="AX83" s="3">
        <f>AW82-AX82</f>
        <v/>
      </c>
      <c r="AY83" s="3">
        <f>AX82-AY82</f>
        <v/>
      </c>
      <c r="AZ83" s="3">
        <f>AY82-AZ82</f>
        <v/>
      </c>
      <c r="BA83" s="3">
        <f>AZ82-BA82</f>
        <v/>
      </c>
      <c r="BB83" s="3">
        <f>BA82-BB82</f>
        <v/>
      </c>
      <c r="BC83" s="3">
        <f>BB82-BC82</f>
        <v/>
      </c>
      <c r="BD83" s="3">
        <f>BC82-BD82</f>
        <v/>
      </c>
      <c r="BE83" s="3">
        <f>BD82-BE82</f>
        <v/>
      </c>
      <c r="BF83" s="3">
        <f>BE82-BF82</f>
        <v/>
      </c>
      <c r="BG83" s="3">
        <f>BF82-BG82</f>
        <v/>
      </c>
      <c r="BH83" s="3">
        <f>BG82-BH82</f>
        <v/>
      </c>
      <c r="BI83" s="3">
        <f>BH82-BI82</f>
        <v/>
      </c>
      <c r="BJ83" s="3">
        <f>BI82-BJ82</f>
        <v/>
      </c>
      <c r="BK83" s="3">
        <f>BJ82-BK82</f>
        <v/>
      </c>
      <c r="BL83" s="3">
        <f>BK82-BL82</f>
        <v/>
      </c>
      <c r="BM83" s="3">
        <f>BL82-BM82</f>
        <v/>
      </c>
      <c r="BN83" s="3">
        <f>BM82-BN82</f>
        <v/>
      </c>
      <c r="BO83" s="3">
        <f>BN82-BO82</f>
        <v/>
      </c>
      <c r="BP83" s="3">
        <f>BO82-BP82</f>
        <v/>
      </c>
      <c r="BQ83" s="3">
        <f>BP82-BQ82</f>
        <v/>
      </c>
      <c r="BR83" s="3">
        <f>BQ82-BR82</f>
        <v/>
      </c>
      <c r="BS83" s="3">
        <f>BR82-BS82</f>
        <v/>
      </c>
      <c r="BT83" s="3">
        <f>BS82-BT82</f>
        <v/>
      </c>
      <c r="BU83" s="3">
        <f>BT82-BU82</f>
        <v/>
      </c>
      <c r="BV83" s="3">
        <f>BU82-BV82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V1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churn pool inflow</t>
        </is>
      </c>
      <c r="B3" t="inlineStr">
        <is>
          <t>US_CA|NITRO_M</t>
        </is>
      </c>
      <c r="C3" s="3">
        <f>Paid!C5+Legacy!C7</f>
        <v/>
      </c>
      <c r="D3" s="3">
        <f>Paid!D5+Legacy!D7</f>
        <v/>
      </c>
      <c r="E3" s="3">
        <f>Paid!E5+Legacy!E7</f>
        <v/>
      </c>
      <c r="F3" s="3">
        <f>Paid!F5+Legacy!F7</f>
        <v/>
      </c>
      <c r="G3" s="3">
        <f>Paid!G5+Legacy!G7</f>
        <v/>
      </c>
      <c r="H3" s="3">
        <f>Paid!H5+Legacy!H7</f>
        <v/>
      </c>
      <c r="I3" s="3">
        <f>Paid!I5+Legacy!I7</f>
        <v/>
      </c>
      <c r="J3" s="3">
        <f>Paid!J5+Legacy!J7</f>
        <v/>
      </c>
      <c r="K3" s="3">
        <f>Paid!K5+Legacy!K7</f>
        <v/>
      </c>
      <c r="L3" s="3">
        <f>Paid!L5+Legacy!L7</f>
        <v/>
      </c>
      <c r="M3" s="3">
        <f>Paid!M5+Legacy!M7</f>
        <v/>
      </c>
      <c r="N3" s="3">
        <f>Paid!N5+Legacy!N7</f>
        <v/>
      </c>
      <c r="O3" s="3">
        <f>Paid!O5+Legacy!O7</f>
        <v/>
      </c>
      <c r="P3" s="3">
        <f>Paid!P5+Legacy!P7</f>
        <v/>
      </c>
      <c r="Q3" s="3">
        <f>Paid!Q5+Legacy!Q7</f>
        <v/>
      </c>
      <c r="R3" s="3">
        <f>Paid!R5+Legacy!R7</f>
        <v/>
      </c>
      <c r="S3" s="3">
        <f>Paid!S5+Legacy!S7</f>
        <v/>
      </c>
      <c r="T3" s="3">
        <f>Paid!T5+Legacy!T7</f>
        <v/>
      </c>
      <c r="U3" s="3">
        <f>Paid!U5+Legacy!U7</f>
        <v/>
      </c>
      <c r="V3" s="3">
        <f>Paid!V5+Legacy!V7</f>
        <v/>
      </c>
      <c r="W3" s="3">
        <f>Paid!W5+Legacy!W7</f>
        <v/>
      </c>
      <c r="X3" s="3">
        <f>Paid!X5+Legacy!X7</f>
        <v/>
      </c>
      <c r="Y3" s="3">
        <f>Paid!Y5+Legacy!Y7</f>
        <v/>
      </c>
      <c r="Z3" s="3">
        <f>Paid!Z5+Legacy!Z7</f>
        <v/>
      </c>
      <c r="AA3" s="3">
        <f>Paid!AA5+Legacy!AA7</f>
        <v/>
      </c>
      <c r="AB3" s="3">
        <f>Paid!AB5+Legacy!AB7</f>
        <v/>
      </c>
      <c r="AC3" s="3">
        <f>Paid!AC5+Legacy!AC7</f>
        <v/>
      </c>
      <c r="AD3" s="3">
        <f>Paid!AD5+Legacy!AD7</f>
        <v/>
      </c>
      <c r="AE3" s="3">
        <f>Paid!AE5+Legacy!AE7</f>
        <v/>
      </c>
      <c r="AF3" s="3">
        <f>Paid!AF5+Legacy!AF7</f>
        <v/>
      </c>
      <c r="AG3" s="3">
        <f>Paid!AG5+Legacy!AG7</f>
        <v/>
      </c>
      <c r="AH3" s="3">
        <f>Paid!AH5+Legacy!AH7</f>
        <v/>
      </c>
      <c r="AI3" s="3">
        <f>Paid!AI5+Legacy!AI7</f>
        <v/>
      </c>
      <c r="AJ3" s="3">
        <f>Paid!AJ5+Legacy!AJ7</f>
        <v/>
      </c>
      <c r="AK3" s="3">
        <f>Paid!AK5+Legacy!AK7</f>
        <v/>
      </c>
      <c r="AL3" s="3">
        <f>Paid!AL5+Legacy!AL7</f>
        <v/>
      </c>
      <c r="AM3" s="3">
        <f>Paid!AM5+Legacy!AM7</f>
        <v/>
      </c>
      <c r="AN3" s="3">
        <f>Paid!AN5+Legacy!AN7</f>
        <v/>
      </c>
      <c r="AO3" s="3">
        <f>Paid!AO5+Legacy!AO7</f>
        <v/>
      </c>
      <c r="AP3" s="3">
        <f>Paid!AP5+Legacy!AP7</f>
        <v/>
      </c>
      <c r="AQ3" s="3">
        <f>Paid!AQ5+Legacy!AQ7</f>
        <v/>
      </c>
      <c r="AR3" s="3">
        <f>Paid!AR5+Legacy!AR7</f>
        <v/>
      </c>
      <c r="AS3" s="3">
        <f>Paid!AS5+Legacy!AS7</f>
        <v/>
      </c>
      <c r="AT3" s="3">
        <f>Paid!AT5+Legacy!AT7</f>
        <v/>
      </c>
      <c r="AU3" s="3">
        <f>Paid!AU5+Legacy!AU7</f>
        <v/>
      </c>
      <c r="AV3" s="3">
        <f>Paid!AV5+Legacy!AV7</f>
        <v/>
      </c>
      <c r="AW3" s="3">
        <f>Paid!AW5+Legacy!AW7</f>
        <v/>
      </c>
      <c r="AX3" s="3">
        <f>Paid!AX5+Legacy!AX7</f>
        <v/>
      </c>
      <c r="AY3" s="3">
        <f>Paid!AY5+Legacy!AY7</f>
        <v/>
      </c>
      <c r="AZ3" s="3">
        <f>Paid!AZ5+Legacy!AZ7</f>
        <v/>
      </c>
      <c r="BA3" s="3">
        <f>Paid!BA5+Legacy!BA7</f>
        <v/>
      </c>
      <c r="BB3" s="3">
        <f>Paid!BB5+Legacy!BB7</f>
        <v/>
      </c>
      <c r="BC3" s="3">
        <f>Paid!BC5+Legacy!BC7</f>
        <v/>
      </c>
      <c r="BD3" s="3">
        <f>Paid!BD5+Legacy!BD7</f>
        <v/>
      </c>
      <c r="BE3" s="3">
        <f>Paid!BE5+Legacy!BE7</f>
        <v/>
      </c>
      <c r="BF3" s="3">
        <f>Paid!BF5+Legacy!BF7</f>
        <v/>
      </c>
      <c r="BG3" s="3">
        <f>Paid!BG5+Legacy!BG7</f>
        <v/>
      </c>
      <c r="BH3" s="3">
        <f>Paid!BH5+Legacy!BH7</f>
        <v/>
      </c>
      <c r="BI3" s="3">
        <f>Paid!BI5+Legacy!BI7</f>
        <v/>
      </c>
      <c r="BJ3" s="3">
        <f>Paid!BJ5+Legacy!BJ7</f>
        <v/>
      </c>
      <c r="BK3" s="3">
        <f>Paid!BK5+Legacy!BK7</f>
        <v/>
      </c>
      <c r="BL3" s="3">
        <f>Paid!BL5+Legacy!BL7</f>
        <v/>
      </c>
      <c r="BM3" s="3">
        <f>Paid!BM5+Legacy!BM7</f>
        <v/>
      </c>
      <c r="BN3" s="3">
        <f>Paid!BN5+Legacy!BN7</f>
        <v/>
      </c>
      <c r="BO3" s="3">
        <f>Paid!BO5+Legacy!BO7</f>
        <v/>
      </c>
      <c r="BP3" s="3">
        <f>Paid!BP5+Legacy!BP7</f>
        <v/>
      </c>
      <c r="BQ3" s="3">
        <f>Paid!BQ5+Legacy!BQ7</f>
        <v/>
      </c>
      <c r="BR3" s="3">
        <f>Paid!BR5+Legacy!BR7</f>
        <v/>
      </c>
      <c r="BS3" s="3">
        <f>Paid!BS5+Legacy!BS7</f>
        <v/>
      </c>
      <c r="BT3" s="3">
        <f>Paid!BT5+Legacy!BT7</f>
        <v/>
      </c>
      <c r="BU3" s="3">
        <f>Paid!BU5+Legacy!BU7</f>
        <v/>
      </c>
      <c r="BV3" s="3">
        <f>Paid!BV5+Legacy!BV7</f>
        <v/>
      </c>
    </row>
    <row r="4">
      <c r="A4" t="inlineStr">
        <is>
          <t>reactivations out</t>
        </is>
      </c>
      <c r="B4" t="inlineStr">
        <is>
          <t>US_CA|NITRO_M</t>
        </is>
      </c>
      <c r="C4" s="3">
        <f>React!$C$3*Curves!$BV$19</f>
        <v/>
      </c>
      <c r="D4" s="3">
        <f>SUMPRODUCT(React!$C$3:$D$3,Curves!$BU$19:$BV$19)</f>
        <v/>
      </c>
      <c r="E4" s="3">
        <f>SUMPRODUCT(React!$C$3:$E$3,Curves!$BT$19:$BV$19)</f>
        <v/>
      </c>
      <c r="F4" s="3">
        <f>SUMPRODUCT(React!$C$3:$F$3,Curves!$BS$19:$BV$19)</f>
        <v/>
      </c>
      <c r="G4" s="3">
        <f>SUMPRODUCT(React!$C$3:$G$3,Curves!$BR$19:$BV$19)</f>
        <v/>
      </c>
      <c r="H4" s="3">
        <f>SUMPRODUCT(React!$C$3:$H$3,Curves!$BQ$19:$BV$19)</f>
        <v/>
      </c>
      <c r="I4" s="3">
        <f>SUMPRODUCT(React!$C$3:$I$3,Curves!$BP$19:$BV$19)</f>
        <v/>
      </c>
      <c r="J4" s="3">
        <f>SUMPRODUCT(React!$C$3:$J$3,Curves!$BO$19:$BV$19)</f>
        <v/>
      </c>
      <c r="K4" s="3">
        <f>SUMPRODUCT(React!$C$3:$K$3,Curves!$BN$19:$BV$19)</f>
        <v/>
      </c>
      <c r="L4" s="3">
        <f>SUMPRODUCT(React!$C$3:$L$3,Curves!$BM$19:$BV$19)</f>
        <v/>
      </c>
      <c r="M4" s="3">
        <f>SUMPRODUCT(React!$C$3:$M$3,Curves!$BL$19:$BV$19)</f>
        <v/>
      </c>
      <c r="N4" s="3">
        <f>SUMPRODUCT(React!$C$3:$N$3,Curves!$BK$19:$BV$19)</f>
        <v/>
      </c>
      <c r="O4" s="3">
        <f>SUMPRODUCT(React!$C$3:$O$3,Curves!$BJ$19:$BV$19)</f>
        <v/>
      </c>
      <c r="P4" s="3">
        <f>SUMPRODUCT(React!$C$3:$P$3,Curves!$BI$19:$BV$19)</f>
        <v/>
      </c>
      <c r="Q4" s="3">
        <f>SUMPRODUCT(React!$C$3:$Q$3,Curves!$BH$19:$BV$19)</f>
        <v/>
      </c>
      <c r="R4" s="3">
        <f>SUMPRODUCT(React!$C$3:$R$3,Curves!$BG$19:$BV$19)</f>
        <v/>
      </c>
      <c r="S4" s="3">
        <f>SUMPRODUCT(React!$C$3:$S$3,Curves!$BF$19:$BV$19)</f>
        <v/>
      </c>
      <c r="T4" s="3">
        <f>SUMPRODUCT(React!$C$3:$T$3,Curves!$BE$19:$BV$19)</f>
        <v/>
      </c>
      <c r="U4" s="3">
        <f>SUMPRODUCT(React!$C$3:$U$3,Curves!$BD$19:$BV$19)</f>
        <v/>
      </c>
      <c r="V4" s="3">
        <f>SUMPRODUCT(React!$C$3:$V$3,Curves!$BC$19:$BV$19)</f>
        <v/>
      </c>
      <c r="W4" s="3">
        <f>SUMPRODUCT(React!$C$3:$W$3,Curves!$BB$19:$BV$19)</f>
        <v/>
      </c>
      <c r="X4" s="3">
        <f>SUMPRODUCT(React!$C$3:$X$3,Curves!$BA$19:$BV$19)</f>
        <v/>
      </c>
      <c r="Y4" s="3">
        <f>SUMPRODUCT(React!$C$3:$Y$3,Curves!$AZ$19:$BV$19)</f>
        <v/>
      </c>
      <c r="Z4" s="3">
        <f>SUMPRODUCT(React!$C$3:$Z$3,Curves!$AY$19:$BV$19)</f>
        <v/>
      </c>
      <c r="AA4" s="3">
        <f>SUMPRODUCT(React!$C$3:$AA$3,Curves!$AX$19:$BV$19)</f>
        <v/>
      </c>
      <c r="AB4" s="3">
        <f>SUMPRODUCT(React!$C$3:$AB$3,Curves!$AW$19:$BV$19)</f>
        <v/>
      </c>
      <c r="AC4" s="3">
        <f>SUMPRODUCT(React!$C$3:$AC$3,Curves!$AV$19:$BV$19)</f>
        <v/>
      </c>
      <c r="AD4" s="3">
        <f>SUMPRODUCT(React!$C$3:$AD$3,Curves!$AU$19:$BV$19)</f>
        <v/>
      </c>
      <c r="AE4" s="3">
        <f>SUMPRODUCT(React!$C$3:$AE$3,Curves!$AT$19:$BV$19)</f>
        <v/>
      </c>
      <c r="AF4" s="3">
        <f>SUMPRODUCT(React!$C$3:$AF$3,Curves!$AS$19:$BV$19)</f>
        <v/>
      </c>
      <c r="AG4" s="3">
        <f>SUMPRODUCT(React!$C$3:$AG$3,Curves!$AR$19:$BV$19)</f>
        <v/>
      </c>
      <c r="AH4" s="3">
        <f>SUMPRODUCT(React!$C$3:$AH$3,Curves!$AQ$19:$BV$19)</f>
        <v/>
      </c>
      <c r="AI4" s="3">
        <f>SUMPRODUCT(React!$C$3:$AI$3,Curves!$AP$19:$BV$19)</f>
        <v/>
      </c>
      <c r="AJ4" s="3">
        <f>SUMPRODUCT(React!$C$3:$AJ$3,Curves!$AO$19:$BV$19)</f>
        <v/>
      </c>
      <c r="AK4" s="3">
        <f>SUMPRODUCT(React!$C$3:$AK$3,Curves!$AN$19:$BV$19)</f>
        <v/>
      </c>
      <c r="AL4" s="3">
        <f>SUMPRODUCT(React!$C$3:$AL$3,Curves!$AM$19:$BV$19)</f>
        <v/>
      </c>
      <c r="AM4" s="3">
        <f>SUMPRODUCT(React!$C$3:$AM$3,Curves!$AL$19:$BV$19)</f>
        <v/>
      </c>
      <c r="AN4" s="3">
        <f>SUMPRODUCT(React!$C$3:$AN$3,Curves!$AK$19:$BV$19)</f>
        <v/>
      </c>
      <c r="AO4" s="3">
        <f>SUMPRODUCT(React!$C$3:$AO$3,Curves!$AJ$19:$BV$19)</f>
        <v/>
      </c>
      <c r="AP4" s="3">
        <f>SUMPRODUCT(React!$C$3:$AP$3,Curves!$AI$19:$BV$19)</f>
        <v/>
      </c>
      <c r="AQ4" s="3">
        <f>SUMPRODUCT(React!$C$3:$AQ$3,Curves!$AH$19:$BV$19)</f>
        <v/>
      </c>
      <c r="AR4" s="3">
        <f>SUMPRODUCT(React!$C$3:$AR$3,Curves!$AG$19:$BV$19)</f>
        <v/>
      </c>
      <c r="AS4" s="3">
        <f>SUMPRODUCT(React!$C$3:$AS$3,Curves!$AF$19:$BV$19)</f>
        <v/>
      </c>
      <c r="AT4" s="3">
        <f>SUMPRODUCT(React!$C$3:$AT$3,Curves!$AE$19:$BV$19)</f>
        <v/>
      </c>
      <c r="AU4" s="3">
        <f>SUMPRODUCT(React!$C$3:$AU$3,Curves!$AD$19:$BV$19)</f>
        <v/>
      </c>
      <c r="AV4" s="3">
        <f>SUMPRODUCT(React!$C$3:$AV$3,Curves!$AC$19:$BV$19)</f>
        <v/>
      </c>
      <c r="AW4" s="3">
        <f>SUMPRODUCT(React!$C$3:$AW$3,Curves!$AB$19:$BV$19)</f>
        <v/>
      </c>
      <c r="AX4" s="3">
        <f>SUMPRODUCT(React!$C$3:$AX$3,Curves!$AA$19:$BV$19)</f>
        <v/>
      </c>
      <c r="AY4" s="3">
        <f>SUMPRODUCT(React!$C$3:$AY$3,Curves!$Z$19:$BV$19)</f>
        <v/>
      </c>
      <c r="AZ4" s="3">
        <f>SUMPRODUCT(React!$C$3:$AZ$3,Curves!$Y$19:$BV$19)</f>
        <v/>
      </c>
      <c r="BA4" s="3">
        <f>SUMPRODUCT(React!$C$3:$BA$3,Curves!$X$19:$BV$19)</f>
        <v/>
      </c>
      <c r="BB4" s="3">
        <f>SUMPRODUCT(React!$C$3:$BB$3,Curves!$W$19:$BV$19)</f>
        <v/>
      </c>
      <c r="BC4" s="3">
        <f>SUMPRODUCT(React!$C$3:$BC$3,Curves!$V$19:$BV$19)</f>
        <v/>
      </c>
      <c r="BD4" s="3">
        <f>SUMPRODUCT(React!$C$3:$BD$3,Curves!$U$19:$BV$19)</f>
        <v/>
      </c>
      <c r="BE4" s="3">
        <f>SUMPRODUCT(React!$C$3:$BE$3,Curves!$T$19:$BV$19)</f>
        <v/>
      </c>
      <c r="BF4" s="3">
        <f>SUMPRODUCT(React!$C$3:$BF$3,Curves!$S$19:$BV$19)</f>
        <v/>
      </c>
      <c r="BG4" s="3">
        <f>SUMPRODUCT(React!$C$3:$BG$3,Curves!$R$19:$BV$19)</f>
        <v/>
      </c>
      <c r="BH4" s="3">
        <f>SUMPRODUCT(React!$C$3:$BH$3,Curves!$Q$19:$BV$19)</f>
        <v/>
      </c>
      <c r="BI4" s="3">
        <f>SUMPRODUCT(React!$C$3:$BI$3,Curves!$P$19:$BV$19)</f>
        <v/>
      </c>
      <c r="BJ4" s="3">
        <f>SUMPRODUCT(React!$C$3:$BJ$3,Curves!$O$19:$BV$19)</f>
        <v/>
      </c>
      <c r="BK4" s="3">
        <f>SUMPRODUCT(React!$C$3:$BK$3,Curves!$N$19:$BV$19)</f>
        <v/>
      </c>
      <c r="BL4" s="3">
        <f>SUMPRODUCT(React!$C$3:$BL$3,Curves!$M$19:$BV$19)</f>
        <v/>
      </c>
      <c r="BM4" s="3">
        <f>SUMPRODUCT(React!$C$3:$BM$3,Curves!$L$19:$BV$19)</f>
        <v/>
      </c>
      <c r="BN4" s="3">
        <f>SUMPRODUCT(React!$C$3:$BN$3,Curves!$K$19:$BV$19)</f>
        <v/>
      </c>
      <c r="BO4" s="3">
        <f>SUMPRODUCT(React!$C$3:$BO$3,Curves!$J$19:$BV$19)</f>
        <v/>
      </c>
      <c r="BP4" s="3">
        <f>SUMPRODUCT(React!$C$3:$BP$3,Curves!$I$19:$BV$19)</f>
        <v/>
      </c>
      <c r="BQ4" s="3">
        <f>SUMPRODUCT(React!$C$3:$BQ$3,Curves!$H$19:$BV$19)</f>
        <v/>
      </c>
      <c r="BR4" s="3">
        <f>SUMPRODUCT(React!$C$3:$BR$3,Curves!$G$19:$BV$19)</f>
        <v/>
      </c>
      <c r="BS4" s="3">
        <f>SUMPRODUCT(React!$C$3:$BS$3,Curves!$F$19:$BV$19)</f>
        <v/>
      </c>
      <c r="BT4" s="3">
        <f>SUMPRODUCT(React!$C$3:$BT$3,Curves!$E$19:$BV$19)</f>
        <v/>
      </c>
      <c r="BU4" s="3">
        <f>SUMPRODUCT(React!$C$3:$BU$3,Curves!$D$19:$BV$19)</f>
        <v/>
      </c>
      <c r="BV4" s="3">
        <f>SUMPRODUCT(React!$C$3:$BV$3,Curves!$C$19:$BV$19)</f>
        <v/>
      </c>
    </row>
    <row r="5">
      <c r="A5" t="inlineStr">
        <is>
          <t>reactivated in</t>
        </is>
      </c>
      <c r="B5" t="inlineStr">
        <is>
          <t>US_CA|NITRO_M</t>
        </is>
      </c>
      <c r="C5" s="3">
        <f>C4+C11</f>
        <v/>
      </c>
      <c r="D5" s="3">
        <f>D4+D11</f>
        <v/>
      </c>
      <c r="E5" s="3">
        <f>E4+E11</f>
        <v/>
      </c>
      <c r="F5" s="3">
        <f>F4+F11</f>
        <v/>
      </c>
      <c r="G5" s="3">
        <f>G4+G11</f>
        <v/>
      </c>
      <c r="H5" s="3">
        <f>H4+H11</f>
        <v/>
      </c>
      <c r="I5" s="3">
        <f>I4+I11</f>
        <v/>
      </c>
      <c r="J5" s="3">
        <f>J4+J11</f>
        <v/>
      </c>
      <c r="K5" s="3">
        <f>K4+K11</f>
        <v/>
      </c>
      <c r="L5" s="3">
        <f>L4+L11</f>
        <v/>
      </c>
      <c r="M5" s="3">
        <f>M4+M11</f>
        <v/>
      </c>
      <c r="N5" s="3">
        <f>N4+N11</f>
        <v/>
      </c>
      <c r="O5" s="3">
        <f>O4+O11</f>
        <v/>
      </c>
      <c r="P5" s="3">
        <f>P4+P11</f>
        <v/>
      </c>
      <c r="Q5" s="3">
        <f>Q4+Q11</f>
        <v/>
      </c>
      <c r="R5" s="3">
        <f>R4+R11</f>
        <v/>
      </c>
      <c r="S5" s="3">
        <f>S4+S11</f>
        <v/>
      </c>
      <c r="T5" s="3">
        <f>T4+T11</f>
        <v/>
      </c>
      <c r="U5" s="3">
        <f>U4+U11</f>
        <v/>
      </c>
      <c r="V5" s="3">
        <f>V4+V11</f>
        <v/>
      </c>
      <c r="W5" s="3">
        <f>W4+W11</f>
        <v/>
      </c>
      <c r="X5" s="3">
        <f>X4+X11</f>
        <v/>
      </c>
      <c r="Y5" s="3">
        <f>Y4+Y11</f>
        <v/>
      </c>
      <c r="Z5" s="3">
        <f>Z4+Z11</f>
        <v/>
      </c>
      <c r="AA5" s="3">
        <f>AA4+AA11</f>
        <v/>
      </c>
      <c r="AB5" s="3">
        <f>AB4+AB11</f>
        <v/>
      </c>
      <c r="AC5" s="3">
        <f>AC4+AC11</f>
        <v/>
      </c>
      <c r="AD5" s="3">
        <f>AD4+AD11</f>
        <v/>
      </c>
      <c r="AE5" s="3">
        <f>AE4+AE11</f>
        <v/>
      </c>
      <c r="AF5" s="3">
        <f>AF4+AF11</f>
        <v/>
      </c>
      <c r="AG5" s="3">
        <f>AG4+AG11</f>
        <v/>
      </c>
      <c r="AH5" s="3">
        <f>AH4+AH11</f>
        <v/>
      </c>
      <c r="AI5" s="3">
        <f>AI4+AI11</f>
        <v/>
      </c>
      <c r="AJ5" s="3">
        <f>AJ4+AJ11</f>
        <v/>
      </c>
      <c r="AK5" s="3">
        <f>AK4+AK11</f>
        <v/>
      </c>
      <c r="AL5" s="3">
        <f>AL4+AL11</f>
        <v/>
      </c>
      <c r="AM5" s="3">
        <f>AM4+AM11</f>
        <v/>
      </c>
      <c r="AN5" s="3">
        <f>AN4+AN11</f>
        <v/>
      </c>
      <c r="AO5" s="3">
        <f>AO4+AO11</f>
        <v/>
      </c>
      <c r="AP5" s="3">
        <f>AP4+AP11</f>
        <v/>
      </c>
      <c r="AQ5" s="3">
        <f>AQ4+AQ11</f>
        <v/>
      </c>
      <c r="AR5" s="3">
        <f>AR4+AR11</f>
        <v/>
      </c>
      <c r="AS5" s="3">
        <f>AS4+AS11</f>
        <v/>
      </c>
      <c r="AT5" s="3">
        <f>AT4+AT11</f>
        <v/>
      </c>
      <c r="AU5" s="3">
        <f>AU4+AU11</f>
        <v/>
      </c>
      <c r="AV5" s="3">
        <f>AV4+AV11</f>
        <v/>
      </c>
      <c r="AW5" s="3">
        <f>AW4+AW11</f>
        <v/>
      </c>
      <c r="AX5" s="3">
        <f>AX4+AX11</f>
        <v/>
      </c>
      <c r="AY5" s="3">
        <f>AY4+AY11</f>
        <v/>
      </c>
      <c r="AZ5" s="3">
        <f>AZ4+AZ11</f>
        <v/>
      </c>
      <c r="BA5" s="3">
        <f>BA4+BA11</f>
        <v/>
      </c>
      <c r="BB5" s="3">
        <f>BB4+BB11</f>
        <v/>
      </c>
      <c r="BC5" s="3">
        <f>BC4+BC11</f>
        <v/>
      </c>
      <c r="BD5" s="3">
        <f>BD4+BD11</f>
        <v/>
      </c>
      <c r="BE5" s="3">
        <f>BE4+BE11</f>
        <v/>
      </c>
      <c r="BF5" s="3">
        <f>BF4+BF11</f>
        <v/>
      </c>
      <c r="BG5" s="3">
        <f>BG4+BG11</f>
        <v/>
      </c>
      <c r="BH5" s="3">
        <f>BH4+BH11</f>
        <v/>
      </c>
      <c r="BI5" s="3">
        <f>BI4+BI11</f>
        <v/>
      </c>
      <c r="BJ5" s="3">
        <f>BJ4+BJ11</f>
        <v/>
      </c>
      <c r="BK5" s="3">
        <f>BK4+BK11</f>
        <v/>
      </c>
      <c r="BL5" s="3">
        <f>BL4+BL11</f>
        <v/>
      </c>
      <c r="BM5" s="3">
        <f>BM4+BM11</f>
        <v/>
      </c>
      <c r="BN5" s="3">
        <f>BN4+BN11</f>
        <v/>
      </c>
      <c r="BO5" s="3">
        <f>BO4+BO11</f>
        <v/>
      </c>
      <c r="BP5" s="3">
        <f>BP4+BP11</f>
        <v/>
      </c>
      <c r="BQ5" s="3">
        <f>BQ4+BQ11</f>
        <v/>
      </c>
      <c r="BR5" s="3">
        <f>BR4+BR11</f>
        <v/>
      </c>
      <c r="BS5" s="3">
        <f>BS4+BS11</f>
        <v/>
      </c>
      <c r="BT5" s="3">
        <f>BT4+BT11</f>
        <v/>
      </c>
      <c r="BU5" s="3">
        <f>BU4+BU11</f>
        <v/>
      </c>
      <c r="BV5" s="3">
        <f>BV4+BV11</f>
        <v/>
      </c>
    </row>
    <row r="6">
      <c r="A6" t="inlineStr">
        <is>
          <t>active</t>
        </is>
      </c>
      <c r="B6" t="inlineStr">
        <is>
          <t>US_CA|NITRO_M</t>
        </is>
      </c>
      <c r="C6" s="3">
        <f>React!$C$5*Curves!$BV$17</f>
        <v/>
      </c>
      <c r="D6" s="3">
        <f>SUMPRODUCT(React!$C$5:$D$5,Curves!$BU$17:$BV$17)</f>
        <v/>
      </c>
      <c r="E6" s="3">
        <f>SUMPRODUCT(React!$C$5:$E$5,Curves!$BT$17:$BV$17)</f>
        <v/>
      </c>
      <c r="F6" s="3">
        <f>SUMPRODUCT(React!$C$5:$F$5,Curves!$BS$17:$BV$17)</f>
        <v/>
      </c>
      <c r="G6" s="3">
        <f>SUMPRODUCT(React!$C$5:$G$5,Curves!$BR$17:$BV$17)</f>
        <v/>
      </c>
      <c r="H6" s="3">
        <f>SUMPRODUCT(React!$C$5:$H$5,Curves!$BQ$17:$BV$17)</f>
        <v/>
      </c>
      <c r="I6" s="3">
        <f>SUMPRODUCT(React!$C$5:$I$5,Curves!$BP$17:$BV$17)</f>
        <v/>
      </c>
      <c r="J6" s="3">
        <f>SUMPRODUCT(React!$C$5:$J$5,Curves!$BO$17:$BV$17)</f>
        <v/>
      </c>
      <c r="K6" s="3">
        <f>SUMPRODUCT(React!$C$5:$K$5,Curves!$BN$17:$BV$17)</f>
        <v/>
      </c>
      <c r="L6" s="3">
        <f>SUMPRODUCT(React!$C$5:$L$5,Curves!$BM$17:$BV$17)</f>
        <v/>
      </c>
      <c r="M6" s="3">
        <f>SUMPRODUCT(React!$C$5:$M$5,Curves!$BL$17:$BV$17)</f>
        <v/>
      </c>
      <c r="N6" s="3">
        <f>SUMPRODUCT(React!$C$5:$N$5,Curves!$BK$17:$BV$17)</f>
        <v/>
      </c>
      <c r="O6" s="3">
        <f>SUMPRODUCT(React!$C$5:$O$5,Curves!$BJ$17:$BV$17)</f>
        <v/>
      </c>
      <c r="P6" s="3">
        <f>SUMPRODUCT(React!$C$5:$P$5,Curves!$BI$17:$BV$17)</f>
        <v/>
      </c>
      <c r="Q6" s="3">
        <f>SUMPRODUCT(React!$C$5:$Q$5,Curves!$BH$17:$BV$17)</f>
        <v/>
      </c>
      <c r="R6" s="3">
        <f>SUMPRODUCT(React!$C$5:$R$5,Curves!$BG$17:$BV$17)</f>
        <v/>
      </c>
      <c r="S6" s="3">
        <f>SUMPRODUCT(React!$C$5:$S$5,Curves!$BF$17:$BV$17)</f>
        <v/>
      </c>
      <c r="T6" s="3">
        <f>SUMPRODUCT(React!$C$5:$T$5,Curves!$BE$17:$BV$17)</f>
        <v/>
      </c>
      <c r="U6" s="3">
        <f>SUMPRODUCT(React!$C$5:$U$5,Curves!$BD$17:$BV$17)</f>
        <v/>
      </c>
      <c r="V6" s="3">
        <f>SUMPRODUCT(React!$C$5:$V$5,Curves!$BC$17:$BV$17)</f>
        <v/>
      </c>
      <c r="W6" s="3">
        <f>SUMPRODUCT(React!$C$5:$W$5,Curves!$BB$17:$BV$17)</f>
        <v/>
      </c>
      <c r="X6" s="3">
        <f>SUMPRODUCT(React!$C$5:$X$5,Curves!$BA$17:$BV$17)</f>
        <v/>
      </c>
      <c r="Y6" s="3">
        <f>SUMPRODUCT(React!$C$5:$Y$5,Curves!$AZ$17:$BV$17)</f>
        <v/>
      </c>
      <c r="Z6" s="3">
        <f>SUMPRODUCT(React!$C$5:$Z$5,Curves!$AY$17:$BV$17)</f>
        <v/>
      </c>
      <c r="AA6" s="3">
        <f>SUMPRODUCT(React!$C$5:$AA$5,Curves!$AX$17:$BV$17)</f>
        <v/>
      </c>
      <c r="AB6" s="3">
        <f>SUMPRODUCT(React!$C$5:$AB$5,Curves!$AW$17:$BV$17)</f>
        <v/>
      </c>
      <c r="AC6" s="3">
        <f>SUMPRODUCT(React!$C$5:$AC$5,Curves!$AV$17:$BV$17)</f>
        <v/>
      </c>
      <c r="AD6" s="3">
        <f>SUMPRODUCT(React!$C$5:$AD$5,Curves!$AU$17:$BV$17)</f>
        <v/>
      </c>
      <c r="AE6" s="3">
        <f>SUMPRODUCT(React!$C$5:$AE$5,Curves!$AT$17:$BV$17)</f>
        <v/>
      </c>
      <c r="AF6" s="3">
        <f>SUMPRODUCT(React!$C$5:$AF$5,Curves!$AS$17:$BV$17)</f>
        <v/>
      </c>
      <c r="AG6" s="3">
        <f>SUMPRODUCT(React!$C$5:$AG$5,Curves!$AR$17:$BV$17)</f>
        <v/>
      </c>
      <c r="AH6" s="3">
        <f>SUMPRODUCT(React!$C$5:$AH$5,Curves!$AQ$17:$BV$17)</f>
        <v/>
      </c>
      <c r="AI6" s="3">
        <f>SUMPRODUCT(React!$C$5:$AI$5,Curves!$AP$17:$BV$17)</f>
        <v/>
      </c>
      <c r="AJ6" s="3">
        <f>SUMPRODUCT(React!$C$5:$AJ$5,Curves!$AO$17:$BV$17)</f>
        <v/>
      </c>
      <c r="AK6" s="3">
        <f>SUMPRODUCT(React!$C$5:$AK$5,Curves!$AN$17:$BV$17)</f>
        <v/>
      </c>
      <c r="AL6" s="3">
        <f>SUMPRODUCT(React!$C$5:$AL$5,Curves!$AM$17:$BV$17)</f>
        <v/>
      </c>
      <c r="AM6" s="3">
        <f>SUMPRODUCT(React!$C$5:$AM$5,Curves!$AL$17:$BV$17)</f>
        <v/>
      </c>
      <c r="AN6" s="3">
        <f>SUMPRODUCT(React!$C$5:$AN$5,Curves!$AK$17:$BV$17)</f>
        <v/>
      </c>
      <c r="AO6" s="3">
        <f>SUMPRODUCT(React!$C$5:$AO$5,Curves!$AJ$17:$BV$17)</f>
        <v/>
      </c>
      <c r="AP6" s="3">
        <f>SUMPRODUCT(React!$C$5:$AP$5,Curves!$AI$17:$BV$17)</f>
        <v/>
      </c>
      <c r="AQ6" s="3">
        <f>SUMPRODUCT(React!$C$5:$AQ$5,Curves!$AH$17:$BV$17)</f>
        <v/>
      </c>
      <c r="AR6" s="3">
        <f>SUMPRODUCT(React!$C$5:$AR$5,Curves!$AG$17:$BV$17)</f>
        <v/>
      </c>
      <c r="AS6" s="3">
        <f>SUMPRODUCT(React!$C$5:$AS$5,Curves!$AF$17:$BV$17)</f>
        <v/>
      </c>
      <c r="AT6" s="3">
        <f>SUMPRODUCT(React!$C$5:$AT$5,Curves!$AE$17:$BV$17)</f>
        <v/>
      </c>
      <c r="AU6" s="3">
        <f>SUMPRODUCT(React!$C$5:$AU$5,Curves!$AD$17:$BV$17)</f>
        <v/>
      </c>
      <c r="AV6" s="3">
        <f>SUMPRODUCT(React!$C$5:$AV$5,Curves!$AC$17:$BV$17)</f>
        <v/>
      </c>
      <c r="AW6" s="3">
        <f>SUMPRODUCT(React!$C$5:$AW$5,Curves!$AB$17:$BV$17)</f>
        <v/>
      </c>
      <c r="AX6" s="3">
        <f>SUMPRODUCT(React!$C$5:$AX$5,Curves!$AA$17:$BV$17)</f>
        <v/>
      </c>
      <c r="AY6" s="3">
        <f>SUMPRODUCT(React!$C$5:$AY$5,Curves!$Z$17:$BV$17)</f>
        <v/>
      </c>
      <c r="AZ6" s="3">
        <f>SUMPRODUCT(React!$C$5:$AZ$5,Curves!$Y$17:$BV$17)</f>
        <v/>
      </c>
      <c r="BA6" s="3">
        <f>SUMPRODUCT(React!$C$5:$BA$5,Curves!$X$17:$BV$17)</f>
        <v/>
      </c>
      <c r="BB6" s="3">
        <f>SUMPRODUCT(React!$C$5:$BB$5,Curves!$W$17:$BV$17)</f>
        <v/>
      </c>
      <c r="BC6" s="3">
        <f>SUMPRODUCT(React!$C$5:$BC$5,Curves!$V$17:$BV$17)</f>
        <v/>
      </c>
      <c r="BD6" s="3">
        <f>SUMPRODUCT(React!$C$5:$BD$5,Curves!$U$17:$BV$17)</f>
        <v/>
      </c>
      <c r="BE6" s="3">
        <f>SUMPRODUCT(React!$C$5:$BE$5,Curves!$T$17:$BV$17)</f>
        <v/>
      </c>
      <c r="BF6" s="3">
        <f>SUMPRODUCT(React!$C$5:$BF$5,Curves!$S$17:$BV$17)</f>
        <v/>
      </c>
      <c r="BG6" s="3">
        <f>SUMPRODUCT(React!$C$5:$BG$5,Curves!$R$17:$BV$17)</f>
        <v/>
      </c>
      <c r="BH6" s="3">
        <f>SUMPRODUCT(React!$C$5:$BH$5,Curves!$Q$17:$BV$17)</f>
        <v/>
      </c>
      <c r="BI6" s="3">
        <f>SUMPRODUCT(React!$C$5:$BI$5,Curves!$P$17:$BV$17)</f>
        <v/>
      </c>
      <c r="BJ6" s="3">
        <f>SUMPRODUCT(React!$C$5:$BJ$5,Curves!$O$17:$BV$17)</f>
        <v/>
      </c>
      <c r="BK6" s="3">
        <f>SUMPRODUCT(React!$C$5:$BK$5,Curves!$N$17:$BV$17)</f>
        <v/>
      </c>
      <c r="BL6" s="3">
        <f>SUMPRODUCT(React!$C$5:$BL$5,Curves!$M$17:$BV$17)</f>
        <v/>
      </c>
      <c r="BM6" s="3">
        <f>SUMPRODUCT(React!$C$5:$BM$5,Curves!$L$17:$BV$17)</f>
        <v/>
      </c>
      <c r="BN6" s="3">
        <f>SUMPRODUCT(React!$C$5:$BN$5,Curves!$K$17:$BV$17)</f>
        <v/>
      </c>
      <c r="BO6" s="3">
        <f>SUMPRODUCT(React!$C$5:$BO$5,Curves!$J$17:$BV$17)</f>
        <v/>
      </c>
      <c r="BP6" s="3">
        <f>SUMPRODUCT(React!$C$5:$BP$5,Curves!$I$17:$BV$17)</f>
        <v/>
      </c>
      <c r="BQ6" s="3">
        <f>SUMPRODUCT(React!$C$5:$BQ$5,Curves!$H$17:$BV$17)</f>
        <v/>
      </c>
      <c r="BR6" s="3">
        <f>SUMPRODUCT(React!$C$5:$BR$5,Curves!$G$17:$BV$17)</f>
        <v/>
      </c>
      <c r="BS6" s="3">
        <f>SUMPRODUCT(React!$C$5:$BS$5,Curves!$F$17:$BV$17)</f>
        <v/>
      </c>
      <c r="BT6" s="3">
        <f>SUMPRODUCT(React!$C$5:$BT$5,Curves!$E$17:$BV$17)</f>
        <v/>
      </c>
      <c r="BU6" s="3">
        <f>SUMPRODUCT(React!$C$5:$BU$5,Curves!$D$17:$BV$17)</f>
        <v/>
      </c>
      <c r="BV6" s="3">
        <f>SUMPRODUCT(React!$C$5:$BV$5,Curves!$C$17:$BV$17)</f>
        <v/>
      </c>
    </row>
    <row r="7">
      <c r="A7" t="inlineStr">
        <is>
          <t>active yr 1</t>
        </is>
      </c>
      <c r="B7" t="inlineStr">
        <is>
          <t>US_CA|NITRO_M</t>
        </is>
      </c>
      <c r="C7" s="3">
        <f>React!$C$5*Curves!$BV$22</f>
        <v/>
      </c>
      <c r="D7" s="3">
        <f>SUMPRODUCT(React!$C$5:$D$5,Curves!$BU$22:$BV$22)</f>
        <v/>
      </c>
      <c r="E7" s="3">
        <f>SUMPRODUCT(React!$C$5:$E$5,Curves!$BT$22:$BV$22)</f>
        <v/>
      </c>
      <c r="F7" s="3">
        <f>SUMPRODUCT(React!$C$5:$F$5,Curves!$BS$22:$BV$22)</f>
        <v/>
      </c>
      <c r="G7" s="3">
        <f>SUMPRODUCT(React!$C$5:$G$5,Curves!$BR$22:$BV$22)</f>
        <v/>
      </c>
      <c r="H7" s="3">
        <f>SUMPRODUCT(React!$C$5:$H$5,Curves!$BQ$22:$BV$22)</f>
        <v/>
      </c>
      <c r="I7" s="3">
        <f>SUMPRODUCT(React!$C$5:$I$5,Curves!$BP$22:$BV$22)</f>
        <v/>
      </c>
      <c r="J7" s="3">
        <f>SUMPRODUCT(React!$C$5:$J$5,Curves!$BO$22:$BV$22)</f>
        <v/>
      </c>
      <c r="K7" s="3">
        <f>SUMPRODUCT(React!$C$5:$K$5,Curves!$BN$22:$BV$22)</f>
        <v/>
      </c>
      <c r="L7" s="3">
        <f>SUMPRODUCT(React!$C$5:$L$5,Curves!$BM$22:$BV$22)</f>
        <v/>
      </c>
      <c r="M7" s="3">
        <f>SUMPRODUCT(React!$C$5:$M$5,Curves!$BL$22:$BV$22)</f>
        <v/>
      </c>
      <c r="N7" s="3">
        <f>SUMPRODUCT(React!$C$5:$N$5,Curves!$BK$22:$BV$22)</f>
        <v/>
      </c>
      <c r="O7" s="3">
        <f>SUMPRODUCT(React!$C$5:$O$5,Curves!$BJ$22:$BV$22)</f>
        <v/>
      </c>
      <c r="P7" s="3">
        <f>SUMPRODUCT(React!$C$5:$P$5,Curves!$BI$22:$BV$22)</f>
        <v/>
      </c>
      <c r="Q7" s="3">
        <f>SUMPRODUCT(React!$C$5:$Q$5,Curves!$BH$22:$BV$22)</f>
        <v/>
      </c>
      <c r="R7" s="3">
        <f>SUMPRODUCT(React!$C$5:$R$5,Curves!$BG$22:$BV$22)</f>
        <v/>
      </c>
      <c r="S7" s="3">
        <f>SUMPRODUCT(React!$C$5:$S$5,Curves!$BF$22:$BV$22)</f>
        <v/>
      </c>
      <c r="T7" s="3">
        <f>SUMPRODUCT(React!$C$5:$T$5,Curves!$BE$22:$BV$22)</f>
        <v/>
      </c>
      <c r="U7" s="3">
        <f>SUMPRODUCT(React!$C$5:$U$5,Curves!$BD$22:$BV$22)</f>
        <v/>
      </c>
      <c r="V7" s="3">
        <f>SUMPRODUCT(React!$C$5:$V$5,Curves!$BC$22:$BV$22)</f>
        <v/>
      </c>
      <c r="W7" s="3">
        <f>SUMPRODUCT(React!$C$5:$W$5,Curves!$BB$22:$BV$22)</f>
        <v/>
      </c>
      <c r="X7" s="3">
        <f>SUMPRODUCT(React!$C$5:$X$5,Curves!$BA$22:$BV$22)</f>
        <v/>
      </c>
      <c r="Y7" s="3">
        <f>SUMPRODUCT(React!$C$5:$Y$5,Curves!$AZ$22:$BV$22)</f>
        <v/>
      </c>
      <c r="Z7" s="3">
        <f>SUMPRODUCT(React!$C$5:$Z$5,Curves!$AY$22:$BV$22)</f>
        <v/>
      </c>
      <c r="AA7" s="3">
        <f>SUMPRODUCT(React!$C$5:$AA$5,Curves!$AX$22:$BV$22)</f>
        <v/>
      </c>
      <c r="AB7" s="3">
        <f>SUMPRODUCT(React!$C$5:$AB$5,Curves!$AW$22:$BV$22)</f>
        <v/>
      </c>
      <c r="AC7" s="3">
        <f>SUMPRODUCT(React!$C$5:$AC$5,Curves!$AV$22:$BV$22)</f>
        <v/>
      </c>
      <c r="AD7" s="3">
        <f>SUMPRODUCT(React!$C$5:$AD$5,Curves!$AU$22:$BV$22)</f>
        <v/>
      </c>
      <c r="AE7" s="3">
        <f>SUMPRODUCT(React!$C$5:$AE$5,Curves!$AT$22:$BV$22)</f>
        <v/>
      </c>
      <c r="AF7" s="3">
        <f>SUMPRODUCT(React!$C$5:$AF$5,Curves!$AS$22:$BV$22)</f>
        <v/>
      </c>
      <c r="AG7" s="3">
        <f>SUMPRODUCT(React!$C$5:$AG$5,Curves!$AR$22:$BV$22)</f>
        <v/>
      </c>
      <c r="AH7" s="3">
        <f>SUMPRODUCT(React!$C$5:$AH$5,Curves!$AQ$22:$BV$22)</f>
        <v/>
      </c>
      <c r="AI7" s="3">
        <f>SUMPRODUCT(React!$C$5:$AI$5,Curves!$AP$22:$BV$22)</f>
        <v/>
      </c>
      <c r="AJ7" s="3">
        <f>SUMPRODUCT(React!$C$5:$AJ$5,Curves!$AO$22:$BV$22)</f>
        <v/>
      </c>
      <c r="AK7" s="3">
        <f>SUMPRODUCT(React!$C$5:$AK$5,Curves!$AN$22:$BV$22)</f>
        <v/>
      </c>
      <c r="AL7" s="3">
        <f>SUMPRODUCT(React!$C$5:$AL$5,Curves!$AM$22:$BV$22)</f>
        <v/>
      </c>
      <c r="AM7" s="3">
        <f>SUMPRODUCT(React!$C$5:$AM$5,Curves!$AL$22:$BV$22)</f>
        <v/>
      </c>
      <c r="AN7" s="3">
        <f>SUMPRODUCT(React!$C$5:$AN$5,Curves!$AK$22:$BV$22)</f>
        <v/>
      </c>
      <c r="AO7" s="3">
        <f>SUMPRODUCT(React!$C$5:$AO$5,Curves!$AJ$22:$BV$22)</f>
        <v/>
      </c>
      <c r="AP7" s="3">
        <f>SUMPRODUCT(React!$C$5:$AP$5,Curves!$AI$22:$BV$22)</f>
        <v/>
      </c>
      <c r="AQ7" s="3">
        <f>SUMPRODUCT(React!$C$5:$AQ$5,Curves!$AH$22:$BV$22)</f>
        <v/>
      </c>
      <c r="AR7" s="3">
        <f>SUMPRODUCT(React!$C$5:$AR$5,Curves!$AG$22:$BV$22)</f>
        <v/>
      </c>
      <c r="AS7" s="3">
        <f>SUMPRODUCT(React!$C$5:$AS$5,Curves!$AF$22:$BV$22)</f>
        <v/>
      </c>
      <c r="AT7" s="3">
        <f>SUMPRODUCT(React!$C$5:$AT$5,Curves!$AE$22:$BV$22)</f>
        <v/>
      </c>
      <c r="AU7" s="3">
        <f>SUMPRODUCT(React!$C$5:$AU$5,Curves!$AD$22:$BV$22)</f>
        <v/>
      </c>
      <c r="AV7" s="3">
        <f>SUMPRODUCT(React!$C$5:$AV$5,Curves!$AC$22:$BV$22)</f>
        <v/>
      </c>
      <c r="AW7" s="3">
        <f>SUMPRODUCT(React!$C$5:$AW$5,Curves!$AB$22:$BV$22)</f>
        <v/>
      </c>
      <c r="AX7" s="3">
        <f>SUMPRODUCT(React!$C$5:$AX$5,Curves!$AA$22:$BV$22)</f>
        <v/>
      </c>
      <c r="AY7" s="3">
        <f>SUMPRODUCT(React!$C$5:$AY$5,Curves!$Z$22:$BV$22)</f>
        <v/>
      </c>
      <c r="AZ7" s="3">
        <f>SUMPRODUCT(React!$C$5:$AZ$5,Curves!$Y$22:$BV$22)</f>
        <v/>
      </c>
      <c r="BA7" s="3">
        <f>SUMPRODUCT(React!$C$5:$BA$5,Curves!$X$22:$BV$22)</f>
        <v/>
      </c>
      <c r="BB7" s="3">
        <f>SUMPRODUCT(React!$C$5:$BB$5,Curves!$W$22:$BV$22)</f>
        <v/>
      </c>
      <c r="BC7" s="3">
        <f>SUMPRODUCT(React!$C$5:$BC$5,Curves!$V$22:$BV$22)</f>
        <v/>
      </c>
      <c r="BD7" s="3">
        <f>SUMPRODUCT(React!$C$5:$BD$5,Curves!$U$22:$BV$22)</f>
        <v/>
      </c>
      <c r="BE7" s="3">
        <f>SUMPRODUCT(React!$C$5:$BE$5,Curves!$T$22:$BV$22)</f>
        <v/>
      </c>
      <c r="BF7" s="3">
        <f>SUMPRODUCT(React!$C$5:$BF$5,Curves!$S$22:$BV$22)</f>
        <v/>
      </c>
      <c r="BG7" s="3">
        <f>SUMPRODUCT(React!$C$5:$BG$5,Curves!$R$22:$BV$22)</f>
        <v/>
      </c>
      <c r="BH7" s="3">
        <f>SUMPRODUCT(React!$C$5:$BH$5,Curves!$Q$22:$BV$22)</f>
        <v/>
      </c>
      <c r="BI7" s="3">
        <f>SUMPRODUCT(React!$C$5:$BI$5,Curves!$P$22:$BV$22)</f>
        <v/>
      </c>
      <c r="BJ7" s="3">
        <f>SUMPRODUCT(React!$C$5:$BJ$5,Curves!$O$22:$BV$22)</f>
        <v/>
      </c>
      <c r="BK7" s="3">
        <f>SUMPRODUCT(React!$C$5:$BK$5,Curves!$N$22:$BV$22)</f>
        <v/>
      </c>
      <c r="BL7" s="3">
        <f>SUMPRODUCT(React!$C$5:$BL$5,Curves!$M$22:$BV$22)</f>
        <v/>
      </c>
      <c r="BM7" s="3">
        <f>SUMPRODUCT(React!$C$5:$BM$5,Curves!$L$22:$BV$22)</f>
        <v/>
      </c>
      <c r="BN7" s="3">
        <f>SUMPRODUCT(React!$C$5:$BN$5,Curves!$K$22:$BV$22)</f>
        <v/>
      </c>
      <c r="BO7" s="3">
        <f>SUMPRODUCT(React!$C$5:$BO$5,Curves!$J$22:$BV$22)</f>
        <v/>
      </c>
      <c r="BP7" s="3">
        <f>SUMPRODUCT(React!$C$5:$BP$5,Curves!$I$22:$BV$22)</f>
        <v/>
      </c>
      <c r="BQ7" s="3">
        <f>SUMPRODUCT(React!$C$5:$BQ$5,Curves!$H$22:$BV$22)</f>
        <v/>
      </c>
      <c r="BR7" s="3">
        <f>SUMPRODUCT(React!$C$5:$BR$5,Curves!$G$22:$BV$22)</f>
        <v/>
      </c>
      <c r="BS7" s="3">
        <f>SUMPRODUCT(React!$C$5:$BS$5,Curves!$F$22:$BV$22)</f>
        <v/>
      </c>
      <c r="BT7" s="3">
        <f>SUMPRODUCT(React!$C$5:$BT$5,Curves!$E$22:$BV$22)</f>
        <v/>
      </c>
      <c r="BU7" s="3">
        <f>SUMPRODUCT(React!$C$5:$BU$5,Curves!$D$22:$BV$22)</f>
        <v/>
      </c>
      <c r="BV7" s="3">
        <f>SUMPRODUCT(React!$C$5:$BV$5,Curves!$C$22:$BV$22)</f>
        <v/>
      </c>
    </row>
    <row r="8">
      <c r="A8" t="inlineStr">
        <is>
          <t>churned</t>
        </is>
      </c>
      <c r="B8" t="inlineStr">
        <is>
          <t>US_CA|NITRO_M</t>
        </is>
      </c>
      <c r="C8" s="3">
        <f>React!$C$5*Curves!$BV$18</f>
        <v/>
      </c>
      <c r="D8" s="3">
        <f>SUMPRODUCT(React!$C$5:$D$5,Curves!$BU$18:$BV$18)</f>
        <v/>
      </c>
      <c r="E8" s="3">
        <f>SUMPRODUCT(React!$C$5:$E$5,Curves!$BT$18:$BV$18)</f>
        <v/>
      </c>
      <c r="F8" s="3">
        <f>SUMPRODUCT(React!$C$5:$F$5,Curves!$BS$18:$BV$18)</f>
        <v/>
      </c>
      <c r="G8" s="3">
        <f>SUMPRODUCT(React!$C$5:$G$5,Curves!$BR$18:$BV$18)</f>
        <v/>
      </c>
      <c r="H8" s="3">
        <f>SUMPRODUCT(React!$C$5:$H$5,Curves!$BQ$18:$BV$18)</f>
        <v/>
      </c>
      <c r="I8" s="3">
        <f>SUMPRODUCT(React!$C$5:$I$5,Curves!$BP$18:$BV$18)</f>
        <v/>
      </c>
      <c r="J8" s="3">
        <f>SUMPRODUCT(React!$C$5:$J$5,Curves!$BO$18:$BV$18)</f>
        <v/>
      </c>
      <c r="K8" s="3">
        <f>SUMPRODUCT(React!$C$5:$K$5,Curves!$BN$18:$BV$18)</f>
        <v/>
      </c>
      <c r="L8" s="3">
        <f>SUMPRODUCT(React!$C$5:$L$5,Curves!$BM$18:$BV$18)</f>
        <v/>
      </c>
      <c r="M8" s="3">
        <f>SUMPRODUCT(React!$C$5:$M$5,Curves!$BL$18:$BV$18)</f>
        <v/>
      </c>
      <c r="N8" s="3">
        <f>SUMPRODUCT(React!$C$5:$N$5,Curves!$BK$18:$BV$18)</f>
        <v/>
      </c>
      <c r="O8" s="3">
        <f>SUMPRODUCT(React!$C$5:$O$5,Curves!$BJ$18:$BV$18)</f>
        <v/>
      </c>
      <c r="P8" s="3">
        <f>SUMPRODUCT(React!$C$5:$P$5,Curves!$BI$18:$BV$18)</f>
        <v/>
      </c>
      <c r="Q8" s="3">
        <f>SUMPRODUCT(React!$C$5:$Q$5,Curves!$BH$18:$BV$18)</f>
        <v/>
      </c>
      <c r="R8" s="3">
        <f>SUMPRODUCT(React!$C$5:$R$5,Curves!$BG$18:$BV$18)</f>
        <v/>
      </c>
      <c r="S8" s="3">
        <f>SUMPRODUCT(React!$C$5:$S$5,Curves!$BF$18:$BV$18)</f>
        <v/>
      </c>
      <c r="T8" s="3">
        <f>SUMPRODUCT(React!$C$5:$T$5,Curves!$BE$18:$BV$18)</f>
        <v/>
      </c>
      <c r="U8" s="3">
        <f>SUMPRODUCT(React!$C$5:$U$5,Curves!$BD$18:$BV$18)</f>
        <v/>
      </c>
      <c r="V8" s="3">
        <f>SUMPRODUCT(React!$C$5:$V$5,Curves!$BC$18:$BV$18)</f>
        <v/>
      </c>
      <c r="W8" s="3">
        <f>SUMPRODUCT(React!$C$5:$W$5,Curves!$BB$18:$BV$18)</f>
        <v/>
      </c>
      <c r="X8" s="3">
        <f>SUMPRODUCT(React!$C$5:$X$5,Curves!$BA$18:$BV$18)</f>
        <v/>
      </c>
      <c r="Y8" s="3">
        <f>SUMPRODUCT(React!$C$5:$Y$5,Curves!$AZ$18:$BV$18)</f>
        <v/>
      </c>
      <c r="Z8" s="3">
        <f>SUMPRODUCT(React!$C$5:$Z$5,Curves!$AY$18:$BV$18)</f>
        <v/>
      </c>
      <c r="AA8" s="3">
        <f>SUMPRODUCT(React!$C$5:$AA$5,Curves!$AX$18:$BV$18)</f>
        <v/>
      </c>
      <c r="AB8" s="3">
        <f>SUMPRODUCT(React!$C$5:$AB$5,Curves!$AW$18:$BV$18)</f>
        <v/>
      </c>
      <c r="AC8" s="3">
        <f>SUMPRODUCT(React!$C$5:$AC$5,Curves!$AV$18:$BV$18)</f>
        <v/>
      </c>
      <c r="AD8" s="3">
        <f>SUMPRODUCT(React!$C$5:$AD$5,Curves!$AU$18:$BV$18)</f>
        <v/>
      </c>
      <c r="AE8" s="3">
        <f>SUMPRODUCT(React!$C$5:$AE$5,Curves!$AT$18:$BV$18)</f>
        <v/>
      </c>
      <c r="AF8" s="3">
        <f>SUMPRODUCT(React!$C$5:$AF$5,Curves!$AS$18:$BV$18)</f>
        <v/>
      </c>
      <c r="AG8" s="3">
        <f>SUMPRODUCT(React!$C$5:$AG$5,Curves!$AR$18:$BV$18)</f>
        <v/>
      </c>
      <c r="AH8" s="3">
        <f>SUMPRODUCT(React!$C$5:$AH$5,Curves!$AQ$18:$BV$18)</f>
        <v/>
      </c>
      <c r="AI8" s="3">
        <f>SUMPRODUCT(React!$C$5:$AI$5,Curves!$AP$18:$BV$18)</f>
        <v/>
      </c>
      <c r="AJ8" s="3">
        <f>SUMPRODUCT(React!$C$5:$AJ$5,Curves!$AO$18:$BV$18)</f>
        <v/>
      </c>
      <c r="AK8" s="3">
        <f>SUMPRODUCT(React!$C$5:$AK$5,Curves!$AN$18:$BV$18)</f>
        <v/>
      </c>
      <c r="AL8" s="3">
        <f>SUMPRODUCT(React!$C$5:$AL$5,Curves!$AM$18:$BV$18)</f>
        <v/>
      </c>
      <c r="AM8" s="3">
        <f>SUMPRODUCT(React!$C$5:$AM$5,Curves!$AL$18:$BV$18)</f>
        <v/>
      </c>
      <c r="AN8" s="3">
        <f>SUMPRODUCT(React!$C$5:$AN$5,Curves!$AK$18:$BV$18)</f>
        <v/>
      </c>
      <c r="AO8" s="3">
        <f>SUMPRODUCT(React!$C$5:$AO$5,Curves!$AJ$18:$BV$18)</f>
        <v/>
      </c>
      <c r="AP8" s="3">
        <f>SUMPRODUCT(React!$C$5:$AP$5,Curves!$AI$18:$BV$18)</f>
        <v/>
      </c>
      <c r="AQ8" s="3">
        <f>SUMPRODUCT(React!$C$5:$AQ$5,Curves!$AH$18:$BV$18)</f>
        <v/>
      </c>
      <c r="AR8" s="3">
        <f>SUMPRODUCT(React!$C$5:$AR$5,Curves!$AG$18:$BV$18)</f>
        <v/>
      </c>
      <c r="AS8" s="3">
        <f>SUMPRODUCT(React!$C$5:$AS$5,Curves!$AF$18:$BV$18)</f>
        <v/>
      </c>
      <c r="AT8" s="3">
        <f>SUMPRODUCT(React!$C$5:$AT$5,Curves!$AE$18:$BV$18)</f>
        <v/>
      </c>
      <c r="AU8" s="3">
        <f>SUMPRODUCT(React!$C$5:$AU$5,Curves!$AD$18:$BV$18)</f>
        <v/>
      </c>
      <c r="AV8" s="3">
        <f>SUMPRODUCT(React!$C$5:$AV$5,Curves!$AC$18:$BV$18)</f>
        <v/>
      </c>
      <c r="AW8" s="3">
        <f>SUMPRODUCT(React!$C$5:$AW$5,Curves!$AB$18:$BV$18)</f>
        <v/>
      </c>
      <c r="AX8" s="3">
        <f>SUMPRODUCT(React!$C$5:$AX$5,Curves!$AA$18:$BV$18)</f>
        <v/>
      </c>
      <c r="AY8" s="3">
        <f>SUMPRODUCT(React!$C$5:$AY$5,Curves!$Z$18:$BV$18)</f>
        <v/>
      </c>
      <c r="AZ8" s="3">
        <f>SUMPRODUCT(React!$C$5:$AZ$5,Curves!$Y$18:$BV$18)</f>
        <v/>
      </c>
      <c r="BA8" s="3">
        <f>SUMPRODUCT(React!$C$5:$BA$5,Curves!$X$18:$BV$18)</f>
        <v/>
      </c>
      <c r="BB8" s="3">
        <f>SUMPRODUCT(React!$C$5:$BB$5,Curves!$W$18:$BV$18)</f>
        <v/>
      </c>
      <c r="BC8" s="3">
        <f>SUMPRODUCT(React!$C$5:$BC$5,Curves!$V$18:$BV$18)</f>
        <v/>
      </c>
      <c r="BD8" s="3">
        <f>SUMPRODUCT(React!$C$5:$BD$5,Curves!$U$18:$BV$18)</f>
        <v/>
      </c>
      <c r="BE8" s="3">
        <f>SUMPRODUCT(React!$C$5:$BE$5,Curves!$T$18:$BV$18)</f>
        <v/>
      </c>
      <c r="BF8" s="3">
        <f>SUMPRODUCT(React!$C$5:$BF$5,Curves!$S$18:$BV$18)</f>
        <v/>
      </c>
      <c r="BG8" s="3">
        <f>SUMPRODUCT(React!$C$5:$BG$5,Curves!$R$18:$BV$18)</f>
        <v/>
      </c>
      <c r="BH8" s="3">
        <f>SUMPRODUCT(React!$C$5:$BH$5,Curves!$Q$18:$BV$18)</f>
        <v/>
      </c>
      <c r="BI8" s="3">
        <f>SUMPRODUCT(React!$C$5:$BI$5,Curves!$P$18:$BV$18)</f>
        <v/>
      </c>
      <c r="BJ8" s="3">
        <f>SUMPRODUCT(React!$C$5:$BJ$5,Curves!$O$18:$BV$18)</f>
        <v/>
      </c>
      <c r="BK8" s="3">
        <f>SUMPRODUCT(React!$C$5:$BK$5,Curves!$N$18:$BV$18)</f>
        <v/>
      </c>
      <c r="BL8" s="3">
        <f>SUMPRODUCT(React!$C$5:$BL$5,Curves!$M$18:$BV$18)</f>
        <v/>
      </c>
      <c r="BM8" s="3">
        <f>SUMPRODUCT(React!$C$5:$BM$5,Curves!$L$18:$BV$18)</f>
        <v/>
      </c>
      <c r="BN8" s="3">
        <f>SUMPRODUCT(React!$C$5:$BN$5,Curves!$K$18:$BV$18)</f>
        <v/>
      </c>
      <c r="BO8" s="3">
        <f>SUMPRODUCT(React!$C$5:$BO$5,Curves!$J$18:$BV$18)</f>
        <v/>
      </c>
      <c r="BP8" s="3">
        <f>SUMPRODUCT(React!$C$5:$BP$5,Curves!$I$18:$BV$18)</f>
        <v/>
      </c>
      <c r="BQ8" s="3">
        <f>SUMPRODUCT(React!$C$5:$BQ$5,Curves!$H$18:$BV$18)</f>
        <v/>
      </c>
      <c r="BR8" s="3">
        <f>SUMPRODUCT(React!$C$5:$BR$5,Curves!$G$18:$BV$18)</f>
        <v/>
      </c>
      <c r="BS8" s="3">
        <f>SUMPRODUCT(React!$C$5:$BS$5,Curves!$F$18:$BV$18)</f>
        <v/>
      </c>
      <c r="BT8" s="3">
        <f>SUMPRODUCT(React!$C$5:$BT$5,Curves!$E$18:$BV$18)</f>
        <v/>
      </c>
      <c r="BU8" s="3">
        <f>SUMPRODUCT(React!$C$5:$BU$5,Curves!$D$18:$BV$18)</f>
        <v/>
      </c>
      <c r="BV8" s="3">
        <f>SUMPRODUCT(React!$C$5:$BV$5,Curves!$C$18:$BV$18)</f>
        <v/>
      </c>
    </row>
    <row r="10">
      <c r="A10" t="inlineStr">
        <is>
          <t>churn pool inflow</t>
        </is>
      </c>
      <c r="B10" t="inlineStr">
        <is>
          <t>US_CA|NITRO_A</t>
        </is>
      </c>
      <c r="C10" s="3">
        <f>Paid!C9+Legacy!C11</f>
        <v/>
      </c>
      <c r="D10" s="3">
        <f>Paid!D9+Legacy!D11</f>
        <v/>
      </c>
      <c r="E10" s="3">
        <f>Paid!E9+Legacy!E11</f>
        <v/>
      </c>
      <c r="F10" s="3">
        <f>Paid!F9+Legacy!F11</f>
        <v/>
      </c>
      <c r="G10" s="3">
        <f>Paid!G9+Legacy!G11</f>
        <v/>
      </c>
      <c r="H10" s="3">
        <f>Paid!H9+Legacy!H11</f>
        <v/>
      </c>
      <c r="I10" s="3">
        <f>Paid!I9+Legacy!I11</f>
        <v/>
      </c>
      <c r="J10" s="3">
        <f>Paid!J9+Legacy!J11</f>
        <v/>
      </c>
      <c r="K10" s="3">
        <f>Paid!K9+Legacy!K11</f>
        <v/>
      </c>
      <c r="L10" s="3">
        <f>Paid!L9+Legacy!L11</f>
        <v/>
      </c>
      <c r="M10" s="3">
        <f>Paid!M9+Legacy!M11</f>
        <v/>
      </c>
      <c r="N10" s="3">
        <f>Paid!N9+Legacy!N11</f>
        <v/>
      </c>
      <c r="O10" s="3">
        <f>Paid!O9+Legacy!O11</f>
        <v/>
      </c>
      <c r="P10" s="3">
        <f>Paid!P9+Legacy!P11</f>
        <v/>
      </c>
      <c r="Q10" s="3">
        <f>Paid!Q9+Legacy!Q11</f>
        <v/>
      </c>
      <c r="R10" s="3">
        <f>Paid!R9+Legacy!R11</f>
        <v/>
      </c>
      <c r="S10" s="3">
        <f>Paid!S9+Legacy!S11</f>
        <v/>
      </c>
      <c r="T10" s="3">
        <f>Paid!T9+Legacy!T11</f>
        <v/>
      </c>
      <c r="U10" s="3">
        <f>Paid!U9+Legacy!U11</f>
        <v/>
      </c>
      <c r="V10" s="3">
        <f>Paid!V9+Legacy!V11</f>
        <v/>
      </c>
      <c r="W10" s="3">
        <f>Paid!W9+Legacy!W11</f>
        <v/>
      </c>
      <c r="X10" s="3">
        <f>Paid!X9+Legacy!X11</f>
        <v/>
      </c>
      <c r="Y10" s="3">
        <f>Paid!Y9+Legacy!Y11</f>
        <v/>
      </c>
      <c r="Z10" s="3">
        <f>Paid!Z9+Legacy!Z11</f>
        <v/>
      </c>
      <c r="AA10" s="3">
        <f>Paid!AA9+Legacy!AA11</f>
        <v/>
      </c>
      <c r="AB10" s="3">
        <f>Paid!AB9+Legacy!AB11</f>
        <v/>
      </c>
      <c r="AC10" s="3">
        <f>Paid!AC9+Legacy!AC11</f>
        <v/>
      </c>
      <c r="AD10" s="3">
        <f>Paid!AD9+Legacy!AD11</f>
        <v/>
      </c>
      <c r="AE10" s="3">
        <f>Paid!AE9+Legacy!AE11</f>
        <v/>
      </c>
      <c r="AF10" s="3">
        <f>Paid!AF9+Legacy!AF11</f>
        <v/>
      </c>
      <c r="AG10" s="3">
        <f>Paid!AG9+Legacy!AG11</f>
        <v/>
      </c>
      <c r="AH10" s="3">
        <f>Paid!AH9+Legacy!AH11</f>
        <v/>
      </c>
      <c r="AI10" s="3">
        <f>Paid!AI9+Legacy!AI11</f>
        <v/>
      </c>
      <c r="AJ10" s="3">
        <f>Paid!AJ9+Legacy!AJ11</f>
        <v/>
      </c>
      <c r="AK10" s="3">
        <f>Paid!AK9+Legacy!AK11</f>
        <v/>
      </c>
      <c r="AL10" s="3">
        <f>Paid!AL9+Legacy!AL11</f>
        <v/>
      </c>
      <c r="AM10" s="3">
        <f>Paid!AM9+Legacy!AM11</f>
        <v/>
      </c>
      <c r="AN10" s="3">
        <f>Paid!AN9+Legacy!AN11</f>
        <v/>
      </c>
      <c r="AO10" s="3">
        <f>Paid!AO9+Legacy!AO11</f>
        <v/>
      </c>
      <c r="AP10" s="3">
        <f>Paid!AP9+Legacy!AP11</f>
        <v/>
      </c>
      <c r="AQ10" s="3">
        <f>Paid!AQ9+Legacy!AQ11</f>
        <v/>
      </c>
      <c r="AR10" s="3">
        <f>Paid!AR9+Legacy!AR11</f>
        <v/>
      </c>
      <c r="AS10" s="3">
        <f>Paid!AS9+Legacy!AS11</f>
        <v/>
      </c>
      <c r="AT10" s="3">
        <f>Paid!AT9+Legacy!AT11</f>
        <v/>
      </c>
      <c r="AU10" s="3">
        <f>Paid!AU9+Legacy!AU11</f>
        <v/>
      </c>
      <c r="AV10" s="3">
        <f>Paid!AV9+Legacy!AV11</f>
        <v/>
      </c>
      <c r="AW10" s="3">
        <f>Paid!AW9+Legacy!AW11</f>
        <v/>
      </c>
      <c r="AX10" s="3">
        <f>Paid!AX9+Legacy!AX11</f>
        <v/>
      </c>
      <c r="AY10" s="3">
        <f>Paid!AY9+Legacy!AY11</f>
        <v/>
      </c>
      <c r="AZ10" s="3">
        <f>Paid!AZ9+Legacy!AZ11</f>
        <v/>
      </c>
      <c r="BA10" s="3">
        <f>Paid!BA9+Legacy!BA11</f>
        <v/>
      </c>
      <c r="BB10" s="3">
        <f>Paid!BB9+Legacy!BB11</f>
        <v/>
      </c>
      <c r="BC10" s="3">
        <f>Paid!BC9+Legacy!BC11</f>
        <v/>
      </c>
      <c r="BD10" s="3">
        <f>Paid!BD9+Legacy!BD11</f>
        <v/>
      </c>
      <c r="BE10" s="3">
        <f>Paid!BE9+Legacy!BE11</f>
        <v/>
      </c>
      <c r="BF10" s="3">
        <f>Paid!BF9+Legacy!BF11</f>
        <v/>
      </c>
      <c r="BG10" s="3">
        <f>Paid!BG9+Legacy!BG11</f>
        <v/>
      </c>
      <c r="BH10" s="3">
        <f>Paid!BH9+Legacy!BH11</f>
        <v/>
      </c>
      <c r="BI10" s="3">
        <f>Paid!BI9+Legacy!BI11</f>
        <v/>
      </c>
      <c r="BJ10" s="3">
        <f>Paid!BJ9+Legacy!BJ11</f>
        <v/>
      </c>
      <c r="BK10" s="3">
        <f>Paid!BK9+Legacy!BK11</f>
        <v/>
      </c>
      <c r="BL10" s="3">
        <f>Paid!BL9+Legacy!BL11</f>
        <v/>
      </c>
      <c r="BM10" s="3">
        <f>Paid!BM9+Legacy!BM11</f>
        <v/>
      </c>
      <c r="BN10" s="3">
        <f>Paid!BN9+Legacy!BN11</f>
        <v/>
      </c>
      <c r="BO10" s="3">
        <f>Paid!BO9+Legacy!BO11</f>
        <v/>
      </c>
      <c r="BP10" s="3">
        <f>Paid!BP9+Legacy!BP11</f>
        <v/>
      </c>
      <c r="BQ10" s="3">
        <f>Paid!BQ9+Legacy!BQ11</f>
        <v/>
      </c>
      <c r="BR10" s="3">
        <f>Paid!BR9+Legacy!BR11</f>
        <v/>
      </c>
      <c r="BS10" s="3">
        <f>Paid!BS9+Legacy!BS11</f>
        <v/>
      </c>
      <c r="BT10" s="3">
        <f>Paid!BT9+Legacy!BT11</f>
        <v/>
      </c>
      <c r="BU10" s="3">
        <f>Paid!BU9+Legacy!BU11</f>
        <v/>
      </c>
      <c r="BV10" s="3">
        <f>Paid!BV9+Legacy!BV11</f>
        <v/>
      </c>
    </row>
    <row r="11">
      <c r="A11" t="inlineStr">
        <is>
          <t>reactivations out</t>
        </is>
      </c>
      <c r="B11" t="inlineStr">
        <is>
          <t>US_CA|NITRO_A</t>
        </is>
      </c>
      <c r="C11" s="3">
        <f>React!$C$10*Curves!$BV$19</f>
        <v/>
      </c>
      <c r="D11" s="3">
        <f>SUMPRODUCT(React!$C$10:$D$10,Curves!$BU$19:$BV$19)</f>
        <v/>
      </c>
      <c r="E11" s="3">
        <f>SUMPRODUCT(React!$C$10:$E$10,Curves!$BT$19:$BV$19)</f>
        <v/>
      </c>
      <c r="F11" s="3">
        <f>SUMPRODUCT(React!$C$10:$F$10,Curves!$BS$19:$BV$19)</f>
        <v/>
      </c>
      <c r="G11" s="3">
        <f>SUMPRODUCT(React!$C$10:$G$10,Curves!$BR$19:$BV$19)</f>
        <v/>
      </c>
      <c r="H11" s="3">
        <f>SUMPRODUCT(React!$C$10:$H$10,Curves!$BQ$19:$BV$19)</f>
        <v/>
      </c>
      <c r="I11" s="3">
        <f>SUMPRODUCT(React!$C$10:$I$10,Curves!$BP$19:$BV$19)</f>
        <v/>
      </c>
      <c r="J11" s="3">
        <f>SUMPRODUCT(React!$C$10:$J$10,Curves!$BO$19:$BV$19)</f>
        <v/>
      </c>
      <c r="K11" s="3">
        <f>SUMPRODUCT(React!$C$10:$K$10,Curves!$BN$19:$BV$19)</f>
        <v/>
      </c>
      <c r="L11" s="3">
        <f>SUMPRODUCT(React!$C$10:$L$10,Curves!$BM$19:$BV$19)</f>
        <v/>
      </c>
      <c r="M11" s="3">
        <f>SUMPRODUCT(React!$C$10:$M$10,Curves!$BL$19:$BV$19)</f>
        <v/>
      </c>
      <c r="N11" s="3">
        <f>SUMPRODUCT(React!$C$10:$N$10,Curves!$BK$19:$BV$19)</f>
        <v/>
      </c>
      <c r="O11" s="3">
        <f>SUMPRODUCT(React!$C$10:$O$10,Curves!$BJ$19:$BV$19)</f>
        <v/>
      </c>
      <c r="P11" s="3">
        <f>SUMPRODUCT(React!$C$10:$P$10,Curves!$BI$19:$BV$19)</f>
        <v/>
      </c>
      <c r="Q11" s="3">
        <f>SUMPRODUCT(React!$C$10:$Q$10,Curves!$BH$19:$BV$19)</f>
        <v/>
      </c>
      <c r="R11" s="3">
        <f>SUMPRODUCT(React!$C$10:$R$10,Curves!$BG$19:$BV$19)</f>
        <v/>
      </c>
      <c r="S11" s="3">
        <f>SUMPRODUCT(React!$C$10:$S$10,Curves!$BF$19:$BV$19)</f>
        <v/>
      </c>
      <c r="T11" s="3">
        <f>SUMPRODUCT(React!$C$10:$T$10,Curves!$BE$19:$BV$19)</f>
        <v/>
      </c>
      <c r="U11" s="3">
        <f>SUMPRODUCT(React!$C$10:$U$10,Curves!$BD$19:$BV$19)</f>
        <v/>
      </c>
      <c r="V11" s="3">
        <f>SUMPRODUCT(React!$C$10:$V$10,Curves!$BC$19:$BV$19)</f>
        <v/>
      </c>
      <c r="W11" s="3">
        <f>SUMPRODUCT(React!$C$10:$W$10,Curves!$BB$19:$BV$19)</f>
        <v/>
      </c>
      <c r="X11" s="3">
        <f>SUMPRODUCT(React!$C$10:$X$10,Curves!$BA$19:$BV$19)</f>
        <v/>
      </c>
      <c r="Y11" s="3">
        <f>SUMPRODUCT(React!$C$10:$Y$10,Curves!$AZ$19:$BV$19)</f>
        <v/>
      </c>
      <c r="Z11" s="3">
        <f>SUMPRODUCT(React!$C$10:$Z$10,Curves!$AY$19:$BV$19)</f>
        <v/>
      </c>
      <c r="AA11" s="3">
        <f>SUMPRODUCT(React!$C$10:$AA$10,Curves!$AX$19:$BV$19)</f>
        <v/>
      </c>
      <c r="AB11" s="3">
        <f>SUMPRODUCT(React!$C$10:$AB$10,Curves!$AW$19:$BV$19)</f>
        <v/>
      </c>
      <c r="AC11" s="3">
        <f>SUMPRODUCT(React!$C$10:$AC$10,Curves!$AV$19:$BV$19)</f>
        <v/>
      </c>
      <c r="AD11" s="3">
        <f>SUMPRODUCT(React!$C$10:$AD$10,Curves!$AU$19:$BV$19)</f>
        <v/>
      </c>
      <c r="AE11" s="3">
        <f>SUMPRODUCT(React!$C$10:$AE$10,Curves!$AT$19:$BV$19)</f>
        <v/>
      </c>
      <c r="AF11" s="3">
        <f>SUMPRODUCT(React!$C$10:$AF$10,Curves!$AS$19:$BV$19)</f>
        <v/>
      </c>
      <c r="AG11" s="3">
        <f>SUMPRODUCT(React!$C$10:$AG$10,Curves!$AR$19:$BV$19)</f>
        <v/>
      </c>
      <c r="AH11" s="3">
        <f>SUMPRODUCT(React!$C$10:$AH$10,Curves!$AQ$19:$BV$19)</f>
        <v/>
      </c>
      <c r="AI11" s="3">
        <f>SUMPRODUCT(React!$C$10:$AI$10,Curves!$AP$19:$BV$19)</f>
        <v/>
      </c>
      <c r="AJ11" s="3">
        <f>SUMPRODUCT(React!$C$10:$AJ$10,Curves!$AO$19:$BV$19)</f>
        <v/>
      </c>
      <c r="AK11" s="3">
        <f>SUMPRODUCT(React!$C$10:$AK$10,Curves!$AN$19:$BV$19)</f>
        <v/>
      </c>
      <c r="AL11" s="3">
        <f>SUMPRODUCT(React!$C$10:$AL$10,Curves!$AM$19:$BV$19)</f>
        <v/>
      </c>
      <c r="AM11" s="3">
        <f>SUMPRODUCT(React!$C$10:$AM$10,Curves!$AL$19:$BV$19)</f>
        <v/>
      </c>
      <c r="AN11" s="3">
        <f>SUMPRODUCT(React!$C$10:$AN$10,Curves!$AK$19:$BV$19)</f>
        <v/>
      </c>
      <c r="AO11" s="3">
        <f>SUMPRODUCT(React!$C$10:$AO$10,Curves!$AJ$19:$BV$19)</f>
        <v/>
      </c>
      <c r="AP11" s="3">
        <f>SUMPRODUCT(React!$C$10:$AP$10,Curves!$AI$19:$BV$19)</f>
        <v/>
      </c>
      <c r="AQ11" s="3">
        <f>SUMPRODUCT(React!$C$10:$AQ$10,Curves!$AH$19:$BV$19)</f>
        <v/>
      </c>
      <c r="AR11" s="3">
        <f>SUMPRODUCT(React!$C$10:$AR$10,Curves!$AG$19:$BV$19)</f>
        <v/>
      </c>
      <c r="AS11" s="3">
        <f>SUMPRODUCT(React!$C$10:$AS$10,Curves!$AF$19:$BV$19)</f>
        <v/>
      </c>
      <c r="AT11" s="3">
        <f>SUMPRODUCT(React!$C$10:$AT$10,Curves!$AE$19:$BV$19)</f>
        <v/>
      </c>
      <c r="AU11" s="3">
        <f>SUMPRODUCT(React!$C$10:$AU$10,Curves!$AD$19:$BV$19)</f>
        <v/>
      </c>
      <c r="AV11" s="3">
        <f>SUMPRODUCT(React!$C$10:$AV$10,Curves!$AC$19:$BV$19)</f>
        <v/>
      </c>
      <c r="AW11" s="3">
        <f>SUMPRODUCT(React!$C$10:$AW$10,Curves!$AB$19:$BV$19)</f>
        <v/>
      </c>
      <c r="AX11" s="3">
        <f>SUMPRODUCT(React!$C$10:$AX$10,Curves!$AA$19:$BV$19)</f>
        <v/>
      </c>
      <c r="AY11" s="3">
        <f>SUMPRODUCT(React!$C$10:$AY$10,Curves!$Z$19:$BV$19)</f>
        <v/>
      </c>
      <c r="AZ11" s="3">
        <f>SUMPRODUCT(React!$C$10:$AZ$10,Curves!$Y$19:$BV$19)</f>
        <v/>
      </c>
      <c r="BA11" s="3">
        <f>SUMPRODUCT(React!$C$10:$BA$10,Curves!$X$19:$BV$19)</f>
        <v/>
      </c>
      <c r="BB11" s="3">
        <f>SUMPRODUCT(React!$C$10:$BB$10,Curves!$W$19:$BV$19)</f>
        <v/>
      </c>
      <c r="BC11" s="3">
        <f>SUMPRODUCT(React!$C$10:$BC$10,Curves!$V$19:$BV$19)</f>
        <v/>
      </c>
      <c r="BD11" s="3">
        <f>SUMPRODUCT(React!$C$10:$BD$10,Curves!$U$19:$BV$19)</f>
        <v/>
      </c>
      <c r="BE11" s="3">
        <f>SUMPRODUCT(React!$C$10:$BE$10,Curves!$T$19:$BV$19)</f>
        <v/>
      </c>
      <c r="BF11" s="3">
        <f>SUMPRODUCT(React!$C$10:$BF$10,Curves!$S$19:$BV$19)</f>
        <v/>
      </c>
      <c r="BG11" s="3">
        <f>SUMPRODUCT(React!$C$10:$BG$10,Curves!$R$19:$BV$19)</f>
        <v/>
      </c>
      <c r="BH11" s="3">
        <f>SUMPRODUCT(React!$C$10:$BH$10,Curves!$Q$19:$BV$19)</f>
        <v/>
      </c>
      <c r="BI11" s="3">
        <f>SUMPRODUCT(React!$C$10:$BI$10,Curves!$P$19:$BV$19)</f>
        <v/>
      </c>
      <c r="BJ11" s="3">
        <f>SUMPRODUCT(React!$C$10:$BJ$10,Curves!$O$19:$BV$19)</f>
        <v/>
      </c>
      <c r="BK11" s="3">
        <f>SUMPRODUCT(React!$C$10:$BK$10,Curves!$N$19:$BV$19)</f>
        <v/>
      </c>
      <c r="BL11" s="3">
        <f>SUMPRODUCT(React!$C$10:$BL$10,Curves!$M$19:$BV$19)</f>
        <v/>
      </c>
      <c r="BM11" s="3">
        <f>SUMPRODUCT(React!$C$10:$BM$10,Curves!$L$19:$BV$19)</f>
        <v/>
      </c>
      <c r="BN11" s="3">
        <f>SUMPRODUCT(React!$C$10:$BN$10,Curves!$K$19:$BV$19)</f>
        <v/>
      </c>
      <c r="BO11" s="3">
        <f>SUMPRODUCT(React!$C$10:$BO$10,Curves!$J$19:$BV$19)</f>
        <v/>
      </c>
      <c r="BP11" s="3">
        <f>SUMPRODUCT(React!$C$10:$BP$10,Curves!$I$19:$BV$19)</f>
        <v/>
      </c>
      <c r="BQ11" s="3">
        <f>SUMPRODUCT(React!$C$10:$BQ$10,Curves!$H$19:$BV$19)</f>
        <v/>
      </c>
      <c r="BR11" s="3">
        <f>SUMPRODUCT(React!$C$10:$BR$10,Curves!$G$19:$BV$19)</f>
        <v/>
      </c>
      <c r="BS11" s="3">
        <f>SUMPRODUCT(React!$C$10:$BS$10,Curves!$F$19:$BV$19)</f>
        <v/>
      </c>
      <c r="BT11" s="3">
        <f>SUMPRODUCT(React!$C$10:$BT$10,Curves!$E$19:$BV$19)</f>
        <v/>
      </c>
      <c r="BU11" s="3">
        <f>SUMPRODUCT(React!$C$10:$BU$10,Curves!$D$19:$BV$19)</f>
        <v/>
      </c>
      <c r="BV11" s="3">
        <f>SUMPRODUCT(React!$C$10:$BV$10,Curves!$C$19:$BV$19)</f>
        <v/>
      </c>
    </row>
    <row r="12">
      <c r="A12" t="inlineStr">
        <is>
          <t>reactivated in</t>
        </is>
      </c>
      <c r="B12" t="inlineStr">
        <is>
          <t>US_CA|NITRO_A</t>
        </is>
      </c>
      <c r="C12" s="3">
        <f>0</f>
        <v/>
      </c>
      <c r="D12" s="3">
        <f>0</f>
        <v/>
      </c>
      <c r="E12" s="3">
        <f>0</f>
        <v/>
      </c>
      <c r="F12" s="3">
        <f>0</f>
        <v/>
      </c>
      <c r="G12" s="3">
        <f>0</f>
        <v/>
      </c>
      <c r="H12" s="3">
        <f>0</f>
        <v/>
      </c>
      <c r="I12" s="3">
        <f>0</f>
        <v/>
      </c>
      <c r="J12" s="3">
        <f>0</f>
        <v/>
      </c>
      <c r="K12" s="3">
        <f>0</f>
        <v/>
      </c>
      <c r="L12" s="3">
        <f>0</f>
        <v/>
      </c>
      <c r="M12" s="3">
        <f>0</f>
        <v/>
      </c>
      <c r="N12" s="3">
        <f>0</f>
        <v/>
      </c>
      <c r="O12" s="3">
        <f>0</f>
        <v/>
      </c>
      <c r="P12" s="3">
        <f>0</f>
        <v/>
      </c>
      <c r="Q12" s="3">
        <f>0</f>
        <v/>
      </c>
      <c r="R12" s="3">
        <f>0</f>
        <v/>
      </c>
      <c r="S12" s="3">
        <f>0</f>
        <v/>
      </c>
      <c r="T12" s="3">
        <f>0</f>
        <v/>
      </c>
      <c r="U12" s="3">
        <f>0</f>
        <v/>
      </c>
      <c r="V12" s="3">
        <f>0</f>
        <v/>
      </c>
      <c r="W12" s="3">
        <f>0</f>
        <v/>
      </c>
      <c r="X12" s="3">
        <f>0</f>
        <v/>
      </c>
      <c r="Y12" s="3">
        <f>0</f>
        <v/>
      </c>
      <c r="Z12" s="3">
        <f>0</f>
        <v/>
      </c>
      <c r="AA12" s="3">
        <f>0</f>
        <v/>
      </c>
      <c r="AB12" s="3">
        <f>0</f>
        <v/>
      </c>
      <c r="AC12" s="3">
        <f>0</f>
        <v/>
      </c>
      <c r="AD12" s="3">
        <f>0</f>
        <v/>
      </c>
      <c r="AE12" s="3">
        <f>0</f>
        <v/>
      </c>
      <c r="AF12" s="3">
        <f>0</f>
        <v/>
      </c>
      <c r="AG12" s="3">
        <f>0</f>
        <v/>
      </c>
      <c r="AH12" s="3">
        <f>0</f>
        <v/>
      </c>
      <c r="AI12" s="3">
        <f>0</f>
        <v/>
      </c>
      <c r="AJ12" s="3">
        <f>0</f>
        <v/>
      </c>
      <c r="AK12" s="3">
        <f>0</f>
        <v/>
      </c>
      <c r="AL12" s="3">
        <f>0</f>
        <v/>
      </c>
      <c r="AM12" s="3">
        <f>0</f>
        <v/>
      </c>
      <c r="AN12" s="3">
        <f>0</f>
        <v/>
      </c>
      <c r="AO12" s="3">
        <f>0</f>
        <v/>
      </c>
      <c r="AP12" s="3">
        <f>0</f>
        <v/>
      </c>
      <c r="AQ12" s="3">
        <f>0</f>
        <v/>
      </c>
      <c r="AR12" s="3">
        <f>0</f>
        <v/>
      </c>
      <c r="AS12" s="3">
        <f>0</f>
        <v/>
      </c>
      <c r="AT12" s="3">
        <f>0</f>
        <v/>
      </c>
      <c r="AU12" s="3">
        <f>0</f>
        <v/>
      </c>
      <c r="AV12" s="3">
        <f>0</f>
        <v/>
      </c>
      <c r="AW12" s="3">
        <f>0</f>
        <v/>
      </c>
      <c r="AX12" s="3">
        <f>0</f>
        <v/>
      </c>
      <c r="AY12" s="3">
        <f>0</f>
        <v/>
      </c>
      <c r="AZ12" s="3">
        <f>0</f>
        <v/>
      </c>
      <c r="BA12" s="3">
        <f>0</f>
        <v/>
      </c>
      <c r="BB12" s="3">
        <f>0</f>
        <v/>
      </c>
      <c r="BC12" s="3">
        <f>0</f>
        <v/>
      </c>
      <c r="BD12" s="3">
        <f>0</f>
        <v/>
      </c>
      <c r="BE12" s="3">
        <f>0</f>
        <v/>
      </c>
      <c r="BF12" s="3">
        <f>0</f>
        <v/>
      </c>
      <c r="BG12" s="3">
        <f>0</f>
        <v/>
      </c>
      <c r="BH12" s="3">
        <f>0</f>
        <v/>
      </c>
      <c r="BI12" s="3">
        <f>0</f>
        <v/>
      </c>
      <c r="BJ12" s="3">
        <f>0</f>
        <v/>
      </c>
      <c r="BK12" s="3">
        <f>0</f>
        <v/>
      </c>
      <c r="BL12" s="3">
        <f>0</f>
        <v/>
      </c>
      <c r="BM12" s="3">
        <f>0</f>
        <v/>
      </c>
      <c r="BN12" s="3">
        <f>0</f>
        <v/>
      </c>
      <c r="BO12" s="3">
        <f>0</f>
        <v/>
      </c>
      <c r="BP12" s="3">
        <f>0</f>
        <v/>
      </c>
      <c r="BQ12" s="3">
        <f>0</f>
        <v/>
      </c>
      <c r="BR12" s="3">
        <f>0</f>
        <v/>
      </c>
      <c r="BS12" s="3">
        <f>0</f>
        <v/>
      </c>
      <c r="BT12" s="3">
        <f>0</f>
        <v/>
      </c>
      <c r="BU12" s="3">
        <f>0</f>
        <v/>
      </c>
      <c r="BV12" s="3">
        <f>0</f>
        <v/>
      </c>
    </row>
    <row r="13">
      <c r="A13" t="inlineStr">
        <is>
          <t>active</t>
        </is>
      </c>
      <c r="B13" t="inlineStr">
        <is>
          <t>US_CA|NITRO_A</t>
        </is>
      </c>
      <c r="C13" s="3">
        <f>React!$C$12*Curves!$BV$17</f>
        <v/>
      </c>
      <c r="D13" s="3">
        <f>SUMPRODUCT(React!$C$12:$D$12,Curves!$BU$17:$BV$17)</f>
        <v/>
      </c>
      <c r="E13" s="3">
        <f>SUMPRODUCT(React!$C$12:$E$12,Curves!$BT$17:$BV$17)</f>
        <v/>
      </c>
      <c r="F13" s="3">
        <f>SUMPRODUCT(React!$C$12:$F$12,Curves!$BS$17:$BV$17)</f>
        <v/>
      </c>
      <c r="G13" s="3">
        <f>SUMPRODUCT(React!$C$12:$G$12,Curves!$BR$17:$BV$17)</f>
        <v/>
      </c>
      <c r="H13" s="3">
        <f>SUMPRODUCT(React!$C$12:$H$12,Curves!$BQ$17:$BV$17)</f>
        <v/>
      </c>
      <c r="I13" s="3">
        <f>SUMPRODUCT(React!$C$12:$I$12,Curves!$BP$17:$BV$17)</f>
        <v/>
      </c>
      <c r="J13" s="3">
        <f>SUMPRODUCT(React!$C$12:$J$12,Curves!$BO$17:$BV$17)</f>
        <v/>
      </c>
      <c r="K13" s="3">
        <f>SUMPRODUCT(React!$C$12:$K$12,Curves!$BN$17:$BV$17)</f>
        <v/>
      </c>
      <c r="L13" s="3">
        <f>SUMPRODUCT(React!$C$12:$L$12,Curves!$BM$17:$BV$17)</f>
        <v/>
      </c>
      <c r="M13" s="3">
        <f>SUMPRODUCT(React!$C$12:$M$12,Curves!$BL$17:$BV$17)</f>
        <v/>
      </c>
      <c r="N13" s="3">
        <f>SUMPRODUCT(React!$C$12:$N$12,Curves!$BK$17:$BV$17)</f>
        <v/>
      </c>
      <c r="O13" s="3">
        <f>SUMPRODUCT(React!$C$12:$O$12,Curves!$BJ$17:$BV$17)</f>
        <v/>
      </c>
      <c r="P13" s="3">
        <f>SUMPRODUCT(React!$C$12:$P$12,Curves!$BI$17:$BV$17)</f>
        <v/>
      </c>
      <c r="Q13" s="3">
        <f>SUMPRODUCT(React!$C$12:$Q$12,Curves!$BH$17:$BV$17)</f>
        <v/>
      </c>
      <c r="R13" s="3">
        <f>SUMPRODUCT(React!$C$12:$R$12,Curves!$BG$17:$BV$17)</f>
        <v/>
      </c>
      <c r="S13" s="3">
        <f>SUMPRODUCT(React!$C$12:$S$12,Curves!$BF$17:$BV$17)</f>
        <v/>
      </c>
      <c r="T13" s="3">
        <f>SUMPRODUCT(React!$C$12:$T$12,Curves!$BE$17:$BV$17)</f>
        <v/>
      </c>
      <c r="U13" s="3">
        <f>SUMPRODUCT(React!$C$12:$U$12,Curves!$BD$17:$BV$17)</f>
        <v/>
      </c>
      <c r="V13" s="3">
        <f>SUMPRODUCT(React!$C$12:$V$12,Curves!$BC$17:$BV$17)</f>
        <v/>
      </c>
      <c r="W13" s="3">
        <f>SUMPRODUCT(React!$C$12:$W$12,Curves!$BB$17:$BV$17)</f>
        <v/>
      </c>
      <c r="X13" s="3">
        <f>SUMPRODUCT(React!$C$12:$X$12,Curves!$BA$17:$BV$17)</f>
        <v/>
      </c>
      <c r="Y13" s="3">
        <f>SUMPRODUCT(React!$C$12:$Y$12,Curves!$AZ$17:$BV$17)</f>
        <v/>
      </c>
      <c r="Z13" s="3">
        <f>SUMPRODUCT(React!$C$12:$Z$12,Curves!$AY$17:$BV$17)</f>
        <v/>
      </c>
      <c r="AA13" s="3">
        <f>SUMPRODUCT(React!$C$12:$AA$12,Curves!$AX$17:$BV$17)</f>
        <v/>
      </c>
      <c r="AB13" s="3">
        <f>SUMPRODUCT(React!$C$12:$AB$12,Curves!$AW$17:$BV$17)</f>
        <v/>
      </c>
      <c r="AC13" s="3">
        <f>SUMPRODUCT(React!$C$12:$AC$12,Curves!$AV$17:$BV$17)</f>
        <v/>
      </c>
      <c r="AD13" s="3">
        <f>SUMPRODUCT(React!$C$12:$AD$12,Curves!$AU$17:$BV$17)</f>
        <v/>
      </c>
      <c r="AE13" s="3">
        <f>SUMPRODUCT(React!$C$12:$AE$12,Curves!$AT$17:$BV$17)</f>
        <v/>
      </c>
      <c r="AF13" s="3">
        <f>SUMPRODUCT(React!$C$12:$AF$12,Curves!$AS$17:$BV$17)</f>
        <v/>
      </c>
      <c r="AG13" s="3">
        <f>SUMPRODUCT(React!$C$12:$AG$12,Curves!$AR$17:$BV$17)</f>
        <v/>
      </c>
      <c r="AH13" s="3">
        <f>SUMPRODUCT(React!$C$12:$AH$12,Curves!$AQ$17:$BV$17)</f>
        <v/>
      </c>
      <c r="AI13" s="3">
        <f>SUMPRODUCT(React!$C$12:$AI$12,Curves!$AP$17:$BV$17)</f>
        <v/>
      </c>
      <c r="AJ13" s="3">
        <f>SUMPRODUCT(React!$C$12:$AJ$12,Curves!$AO$17:$BV$17)</f>
        <v/>
      </c>
      <c r="AK13" s="3">
        <f>SUMPRODUCT(React!$C$12:$AK$12,Curves!$AN$17:$BV$17)</f>
        <v/>
      </c>
      <c r="AL13" s="3">
        <f>SUMPRODUCT(React!$C$12:$AL$12,Curves!$AM$17:$BV$17)</f>
        <v/>
      </c>
      <c r="AM13" s="3">
        <f>SUMPRODUCT(React!$C$12:$AM$12,Curves!$AL$17:$BV$17)</f>
        <v/>
      </c>
      <c r="AN13" s="3">
        <f>SUMPRODUCT(React!$C$12:$AN$12,Curves!$AK$17:$BV$17)</f>
        <v/>
      </c>
      <c r="AO13" s="3">
        <f>SUMPRODUCT(React!$C$12:$AO$12,Curves!$AJ$17:$BV$17)</f>
        <v/>
      </c>
      <c r="AP13" s="3">
        <f>SUMPRODUCT(React!$C$12:$AP$12,Curves!$AI$17:$BV$17)</f>
        <v/>
      </c>
      <c r="AQ13" s="3">
        <f>SUMPRODUCT(React!$C$12:$AQ$12,Curves!$AH$17:$BV$17)</f>
        <v/>
      </c>
      <c r="AR13" s="3">
        <f>SUMPRODUCT(React!$C$12:$AR$12,Curves!$AG$17:$BV$17)</f>
        <v/>
      </c>
      <c r="AS13" s="3">
        <f>SUMPRODUCT(React!$C$12:$AS$12,Curves!$AF$17:$BV$17)</f>
        <v/>
      </c>
      <c r="AT13" s="3">
        <f>SUMPRODUCT(React!$C$12:$AT$12,Curves!$AE$17:$BV$17)</f>
        <v/>
      </c>
      <c r="AU13" s="3">
        <f>SUMPRODUCT(React!$C$12:$AU$12,Curves!$AD$17:$BV$17)</f>
        <v/>
      </c>
      <c r="AV13" s="3">
        <f>SUMPRODUCT(React!$C$12:$AV$12,Curves!$AC$17:$BV$17)</f>
        <v/>
      </c>
      <c r="AW13" s="3">
        <f>SUMPRODUCT(React!$C$12:$AW$12,Curves!$AB$17:$BV$17)</f>
        <v/>
      </c>
      <c r="AX13" s="3">
        <f>SUMPRODUCT(React!$C$12:$AX$12,Curves!$AA$17:$BV$17)</f>
        <v/>
      </c>
      <c r="AY13" s="3">
        <f>SUMPRODUCT(React!$C$12:$AY$12,Curves!$Z$17:$BV$17)</f>
        <v/>
      </c>
      <c r="AZ13" s="3">
        <f>SUMPRODUCT(React!$C$12:$AZ$12,Curves!$Y$17:$BV$17)</f>
        <v/>
      </c>
      <c r="BA13" s="3">
        <f>SUMPRODUCT(React!$C$12:$BA$12,Curves!$X$17:$BV$17)</f>
        <v/>
      </c>
      <c r="BB13" s="3">
        <f>SUMPRODUCT(React!$C$12:$BB$12,Curves!$W$17:$BV$17)</f>
        <v/>
      </c>
      <c r="BC13" s="3">
        <f>SUMPRODUCT(React!$C$12:$BC$12,Curves!$V$17:$BV$17)</f>
        <v/>
      </c>
      <c r="BD13" s="3">
        <f>SUMPRODUCT(React!$C$12:$BD$12,Curves!$U$17:$BV$17)</f>
        <v/>
      </c>
      <c r="BE13" s="3">
        <f>SUMPRODUCT(React!$C$12:$BE$12,Curves!$T$17:$BV$17)</f>
        <v/>
      </c>
      <c r="BF13" s="3">
        <f>SUMPRODUCT(React!$C$12:$BF$12,Curves!$S$17:$BV$17)</f>
        <v/>
      </c>
      <c r="BG13" s="3">
        <f>SUMPRODUCT(React!$C$12:$BG$12,Curves!$R$17:$BV$17)</f>
        <v/>
      </c>
      <c r="BH13" s="3">
        <f>SUMPRODUCT(React!$C$12:$BH$12,Curves!$Q$17:$BV$17)</f>
        <v/>
      </c>
      <c r="BI13" s="3">
        <f>SUMPRODUCT(React!$C$12:$BI$12,Curves!$P$17:$BV$17)</f>
        <v/>
      </c>
      <c r="BJ13" s="3">
        <f>SUMPRODUCT(React!$C$12:$BJ$12,Curves!$O$17:$BV$17)</f>
        <v/>
      </c>
      <c r="BK13" s="3">
        <f>SUMPRODUCT(React!$C$12:$BK$12,Curves!$N$17:$BV$17)</f>
        <v/>
      </c>
      <c r="BL13" s="3">
        <f>SUMPRODUCT(React!$C$12:$BL$12,Curves!$M$17:$BV$17)</f>
        <v/>
      </c>
      <c r="BM13" s="3">
        <f>SUMPRODUCT(React!$C$12:$BM$12,Curves!$L$17:$BV$17)</f>
        <v/>
      </c>
      <c r="BN13" s="3">
        <f>SUMPRODUCT(React!$C$12:$BN$12,Curves!$K$17:$BV$17)</f>
        <v/>
      </c>
      <c r="BO13" s="3">
        <f>SUMPRODUCT(React!$C$12:$BO$12,Curves!$J$17:$BV$17)</f>
        <v/>
      </c>
      <c r="BP13" s="3">
        <f>SUMPRODUCT(React!$C$12:$BP$12,Curves!$I$17:$BV$17)</f>
        <v/>
      </c>
      <c r="BQ13" s="3">
        <f>SUMPRODUCT(React!$C$12:$BQ$12,Curves!$H$17:$BV$17)</f>
        <v/>
      </c>
      <c r="BR13" s="3">
        <f>SUMPRODUCT(React!$C$12:$BR$12,Curves!$G$17:$BV$17)</f>
        <v/>
      </c>
      <c r="BS13" s="3">
        <f>SUMPRODUCT(React!$C$12:$BS$12,Curves!$F$17:$BV$17)</f>
        <v/>
      </c>
      <c r="BT13" s="3">
        <f>SUMPRODUCT(React!$C$12:$BT$12,Curves!$E$17:$BV$17)</f>
        <v/>
      </c>
      <c r="BU13" s="3">
        <f>SUMPRODUCT(React!$C$12:$BU$12,Curves!$D$17:$BV$17)</f>
        <v/>
      </c>
      <c r="BV13" s="3">
        <f>SUMPRODUCT(React!$C$12:$BV$12,Curves!$C$17:$BV$17)</f>
        <v/>
      </c>
    </row>
    <row r="14">
      <c r="A14" t="inlineStr">
        <is>
          <t>active yr 1</t>
        </is>
      </c>
      <c r="B14" t="inlineStr">
        <is>
          <t>US_CA|NITRO_A</t>
        </is>
      </c>
      <c r="C14" s="3">
        <f>React!$C$12*Curves!$BV$22</f>
        <v/>
      </c>
      <c r="D14" s="3">
        <f>SUMPRODUCT(React!$C$12:$D$12,Curves!$BU$22:$BV$22)</f>
        <v/>
      </c>
      <c r="E14" s="3">
        <f>SUMPRODUCT(React!$C$12:$E$12,Curves!$BT$22:$BV$22)</f>
        <v/>
      </c>
      <c r="F14" s="3">
        <f>SUMPRODUCT(React!$C$12:$F$12,Curves!$BS$22:$BV$22)</f>
        <v/>
      </c>
      <c r="G14" s="3">
        <f>SUMPRODUCT(React!$C$12:$G$12,Curves!$BR$22:$BV$22)</f>
        <v/>
      </c>
      <c r="H14" s="3">
        <f>SUMPRODUCT(React!$C$12:$H$12,Curves!$BQ$22:$BV$22)</f>
        <v/>
      </c>
      <c r="I14" s="3">
        <f>SUMPRODUCT(React!$C$12:$I$12,Curves!$BP$22:$BV$22)</f>
        <v/>
      </c>
      <c r="J14" s="3">
        <f>SUMPRODUCT(React!$C$12:$J$12,Curves!$BO$22:$BV$22)</f>
        <v/>
      </c>
      <c r="K14" s="3">
        <f>SUMPRODUCT(React!$C$12:$K$12,Curves!$BN$22:$BV$22)</f>
        <v/>
      </c>
      <c r="L14" s="3">
        <f>SUMPRODUCT(React!$C$12:$L$12,Curves!$BM$22:$BV$22)</f>
        <v/>
      </c>
      <c r="M14" s="3">
        <f>SUMPRODUCT(React!$C$12:$M$12,Curves!$BL$22:$BV$22)</f>
        <v/>
      </c>
      <c r="N14" s="3">
        <f>SUMPRODUCT(React!$C$12:$N$12,Curves!$BK$22:$BV$22)</f>
        <v/>
      </c>
      <c r="O14" s="3">
        <f>SUMPRODUCT(React!$C$12:$O$12,Curves!$BJ$22:$BV$22)</f>
        <v/>
      </c>
      <c r="P14" s="3">
        <f>SUMPRODUCT(React!$C$12:$P$12,Curves!$BI$22:$BV$22)</f>
        <v/>
      </c>
      <c r="Q14" s="3">
        <f>SUMPRODUCT(React!$C$12:$Q$12,Curves!$BH$22:$BV$22)</f>
        <v/>
      </c>
      <c r="R14" s="3">
        <f>SUMPRODUCT(React!$C$12:$R$12,Curves!$BG$22:$BV$22)</f>
        <v/>
      </c>
      <c r="S14" s="3">
        <f>SUMPRODUCT(React!$C$12:$S$12,Curves!$BF$22:$BV$22)</f>
        <v/>
      </c>
      <c r="T14" s="3">
        <f>SUMPRODUCT(React!$C$12:$T$12,Curves!$BE$22:$BV$22)</f>
        <v/>
      </c>
      <c r="U14" s="3">
        <f>SUMPRODUCT(React!$C$12:$U$12,Curves!$BD$22:$BV$22)</f>
        <v/>
      </c>
      <c r="V14" s="3">
        <f>SUMPRODUCT(React!$C$12:$V$12,Curves!$BC$22:$BV$22)</f>
        <v/>
      </c>
      <c r="W14" s="3">
        <f>SUMPRODUCT(React!$C$12:$W$12,Curves!$BB$22:$BV$22)</f>
        <v/>
      </c>
      <c r="X14" s="3">
        <f>SUMPRODUCT(React!$C$12:$X$12,Curves!$BA$22:$BV$22)</f>
        <v/>
      </c>
      <c r="Y14" s="3">
        <f>SUMPRODUCT(React!$C$12:$Y$12,Curves!$AZ$22:$BV$22)</f>
        <v/>
      </c>
      <c r="Z14" s="3">
        <f>SUMPRODUCT(React!$C$12:$Z$12,Curves!$AY$22:$BV$22)</f>
        <v/>
      </c>
      <c r="AA14" s="3">
        <f>SUMPRODUCT(React!$C$12:$AA$12,Curves!$AX$22:$BV$22)</f>
        <v/>
      </c>
      <c r="AB14" s="3">
        <f>SUMPRODUCT(React!$C$12:$AB$12,Curves!$AW$22:$BV$22)</f>
        <v/>
      </c>
      <c r="AC14" s="3">
        <f>SUMPRODUCT(React!$C$12:$AC$12,Curves!$AV$22:$BV$22)</f>
        <v/>
      </c>
      <c r="AD14" s="3">
        <f>SUMPRODUCT(React!$C$12:$AD$12,Curves!$AU$22:$BV$22)</f>
        <v/>
      </c>
      <c r="AE14" s="3">
        <f>SUMPRODUCT(React!$C$12:$AE$12,Curves!$AT$22:$BV$22)</f>
        <v/>
      </c>
      <c r="AF14" s="3">
        <f>SUMPRODUCT(React!$C$12:$AF$12,Curves!$AS$22:$BV$22)</f>
        <v/>
      </c>
      <c r="AG14" s="3">
        <f>SUMPRODUCT(React!$C$12:$AG$12,Curves!$AR$22:$BV$22)</f>
        <v/>
      </c>
      <c r="AH14" s="3">
        <f>SUMPRODUCT(React!$C$12:$AH$12,Curves!$AQ$22:$BV$22)</f>
        <v/>
      </c>
      <c r="AI14" s="3">
        <f>SUMPRODUCT(React!$C$12:$AI$12,Curves!$AP$22:$BV$22)</f>
        <v/>
      </c>
      <c r="AJ14" s="3">
        <f>SUMPRODUCT(React!$C$12:$AJ$12,Curves!$AO$22:$BV$22)</f>
        <v/>
      </c>
      <c r="AK14" s="3">
        <f>SUMPRODUCT(React!$C$12:$AK$12,Curves!$AN$22:$BV$22)</f>
        <v/>
      </c>
      <c r="AL14" s="3">
        <f>SUMPRODUCT(React!$C$12:$AL$12,Curves!$AM$22:$BV$22)</f>
        <v/>
      </c>
      <c r="AM14" s="3">
        <f>SUMPRODUCT(React!$C$12:$AM$12,Curves!$AL$22:$BV$22)</f>
        <v/>
      </c>
      <c r="AN14" s="3">
        <f>SUMPRODUCT(React!$C$12:$AN$12,Curves!$AK$22:$BV$22)</f>
        <v/>
      </c>
      <c r="AO14" s="3">
        <f>SUMPRODUCT(React!$C$12:$AO$12,Curves!$AJ$22:$BV$22)</f>
        <v/>
      </c>
      <c r="AP14" s="3">
        <f>SUMPRODUCT(React!$C$12:$AP$12,Curves!$AI$22:$BV$22)</f>
        <v/>
      </c>
      <c r="AQ14" s="3">
        <f>SUMPRODUCT(React!$C$12:$AQ$12,Curves!$AH$22:$BV$22)</f>
        <v/>
      </c>
      <c r="AR14" s="3">
        <f>SUMPRODUCT(React!$C$12:$AR$12,Curves!$AG$22:$BV$22)</f>
        <v/>
      </c>
      <c r="AS14" s="3">
        <f>SUMPRODUCT(React!$C$12:$AS$12,Curves!$AF$22:$BV$22)</f>
        <v/>
      </c>
      <c r="AT14" s="3">
        <f>SUMPRODUCT(React!$C$12:$AT$12,Curves!$AE$22:$BV$22)</f>
        <v/>
      </c>
      <c r="AU14" s="3">
        <f>SUMPRODUCT(React!$C$12:$AU$12,Curves!$AD$22:$BV$22)</f>
        <v/>
      </c>
      <c r="AV14" s="3">
        <f>SUMPRODUCT(React!$C$12:$AV$12,Curves!$AC$22:$BV$22)</f>
        <v/>
      </c>
      <c r="AW14" s="3">
        <f>SUMPRODUCT(React!$C$12:$AW$12,Curves!$AB$22:$BV$22)</f>
        <v/>
      </c>
      <c r="AX14" s="3">
        <f>SUMPRODUCT(React!$C$12:$AX$12,Curves!$AA$22:$BV$22)</f>
        <v/>
      </c>
      <c r="AY14" s="3">
        <f>SUMPRODUCT(React!$C$12:$AY$12,Curves!$Z$22:$BV$22)</f>
        <v/>
      </c>
      <c r="AZ14" s="3">
        <f>SUMPRODUCT(React!$C$12:$AZ$12,Curves!$Y$22:$BV$22)</f>
        <v/>
      </c>
      <c r="BA14" s="3">
        <f>SUMPRODUCT(React!$C$12:$BA$12,Curves!$X$22:$BV$22)</f>
        <v/>
      </c>
      <c r="BB14" s="3">
        <f>SUMPRODUCT(React!$C$12:$BB$12,Curves!$W$22:$BV$22)</f>
        <v/>
      </c>
      <c r="BC14" s="3">
        <f>SUMPRODUCT(React!$C$12:$BC$12,Curves!$V$22:$BV$22)</f>
        <v/>
      </c>
      <c r="BD14" s="3">
        <f>SUMPRODUCT(React!$C$12:$BD$12,Curves!$U$22:$BV$22)</f>
        <v/>
      </c>
      <c r="BE14" s="3">
        <f>SUMPRODUCT(React!$C$12:$BE$12,Curves!$T$22:$BV$22)</f>
        <v/>
      </c>
      <c r="BF14" s="3">
        <f>SUMPRODUCT(React!$C$12:$BF$12,Curves!$S$22:$BV$22)</f>
        <v/>
      </c>
      <c r="BG14" s="3">
        <f>SUMPRODUCT(React!$C$12:$BG$12,Curves!$R$22:$BV$22)</f>
        <v/>
      </c>
      <c r="BH14" s="3">
        <f>SUMPRODUCT(React!$C$12:$BH$12,Curves!$Q$22:$BV$22)</f>
        <v/>
      </c>
      <c r="BI14" s="3">
        <f>SUMPRODUCT(React!$C$12:$BI$12,Curves!$P$22:$BV$22)</f>
        <v/>
      </c>
      <c r="BJ14" s="3">
        <f>SUMPRODUCT(React!$C$12:$BJ$12,Curves!$O$22:$BV$22)</f>
        <v/>
      </c>
      <c r="BK14" s="3">
        <f>SUMPRODUCT(React!$C$12:$BK$12,Curves!$N$22:$BV$22)</f>
        <v/>
      </c>
      <c r="BL14" s="3">
        <f>SUMPRODUCT(React!$C$12:$BL$12,Curves!$M$22:$BV$22)</f>
        <v/>
      </c>
      <c r="BM14" s="3">
        <f>SUMPRODUCT(React!$C$12:$BM$12,Curves!$L$22:$BV$22)</f>
        <v/>
      </c>
      <c r="BN14" s="3">
        <f>SUMPRODUCT(React!$C$12:$BN$12,Curves!$K$22:$BV$22)</f>
        <v/>
      </c>
      <c r="BO14" s="3">
        <f>SUMPRODUCT(React!$C$12:$BO$12,Curves!$J$22:$BV$22)</f>
        <v/>
      </c>
      <c r="BP14" s="3">
        <f>SUMPRODUCT(React!$C$12:$BP$12,Curves!$I$22:$BV$22)</f>
        <v/>
      </c>
      <c r="BQ14" s="3">
        <f>SUMPRODUCT(React!$C$12:$BQ$12,Curves!$H$22:$BV$22)</f>
        <v/>
      </c>
      <c r="BR14" s="3">
        <f>SUMPRODUCT(React!$C$12:$BR$12,Curves!$G$22:$BV$22)</f>
        <v/>
      </c>
      <c r="BS14" s="3">
        <f>SUMPRODUCT(React!$C$12:$BS$12,Curves!$F$22:$BV$22)</f>
        <v/>
      </c>
      <c r="BT14" s="3">
        <f>SUMPRODUCT(React!$C$12:$BT$12,Curves!$E$22:$BV$22)</f>
        <v/>
      </c>
      <c r="BU14" s="3">
        <f>SUMPRODUCT(React!$C$12:$BU$12,Curves!$D$22:$BV$22)</f>
        <v/>
      </c>
      <c r="BV14" s="3">
        <f>SUMPRODUCT(React!$C$12:$BV$12,Curves!$C$22:$BV$22)</f>
        <v/>
      </c>
    </row>
    <row r="15">
      <c r="A15" t="inlineStr">
        <is>
          <t>churned</t>
        </is>
      </c>
      <c r="B15" t="inlineStr">
        <is>
          <t>US_CA|NITRO_A</t>
        </is>
      </c>
      <c r="C15" s="3">
        <f>React!$C$12*Curves!$BV$18</f>
        <v/>
      </c>
      <c r="D15" s="3">
        <f>SUMPRODUCT(React!$C$12:$D$12,Curves!$BU$18:$BV$18)</f>
        <v/>
      </c>
      <c r="E15" s="3">
        <f>SUMPRODUCT(React!$C$12:$E$12,Curves!$BT$18:$BV$18)</f>
        <v/>
      </c>
      <c r="F15" s="3">
        <f>SUMPRODUCT(React!$C$12:$F$12,Curves!$BS$18:$BV$18)</f>
        <v/>
      </c>
      <c r="G15" s="3">
        <f>SUMPRODUCT(React!$C$12:$G$12,Curves!$BR$18:$BV$18)</f>
        <v/>
      </c>
      <c r="H15" s="3">
        <f>SUMPRODUCT(React!$C$12:$H$12,Curves!$BQ$18:$BV$18)</f>
        <v/>
      </c>
      <c r="I15" s="3">
        <f>SUMPRODUCT(React!$C$12:$I$12,Curves!$BP$18:$BV$18)</f>
        <v/>
      </c>
      <c r="J15" s="3">
        <f>SUMPRODUCT(React!$C$12:$J$12,Curves!$BO$18:$BV$18)</f>
        <v/>
      </c>
      <c r="K15" s="3">
        <f>SUMPRODUCT(React!$C$12:$K$12,Curves!$BN$18:$BV$18)</f>
        <v/>
      </c>
      <c r="L15" s="3">
        <f>SUMPRODUCT(React!$C$12:$L$12,Curves!$BM$18:$BV$18)</f>
        <v/>
      </c>
      <c r="M15" s="3">
        <f>SUMPRODUCT(React!$C$12:$M$12,Curves!$BL$18:$BV$18)</f>
        <v/>
      </c>
      <c r="N15" s="3">
        <f>SUMPRODUCT(React!$C$12:$N$12,Curves!$BK$18:$BV$18)</f>
        <v/>
      </c>
      <c r="O15" s="3">
        <f>SUMPRODUCT(React!$C$12:$O$12,Curves!$BJ$18:$BV$18)</f>
        <v/>
      </c>
      <c r="P15" s="3">
        <f>SUMPRODUCT(React!$C$12:$P$12,Curves!$BI$18:$BV$18)</f>
        <v/>
      </c>
      <c r="Q15" s="3">
        <f>SUMPRODUCT(React!$C$12:$Q$12,Curves!$BH$18:$BV$18)</f>
        <v/>
      </c>
      <c r="R15" s="3">
        <f>SUMPRODUCT(React!$C$12:$R$12,Curves!$BG$18:$BV$18)</f>
        <v/>
      </c>
      <c r="S15" s="3">
        <f>SUMPRODUCT(React!$C$12:$S$12,Curves!$BF$18:$BV$18)</f>
        <v/>
      </c>
      <c r="T15" s="3">
        <f>SUMPRODUCT(React!$C$12:$T$12,Curves!$BE$18:$BV$18)</f>
        <v/>
      </c>
      <c r="U15" s="3">
        <f>SUMPRODUCT(React!$C$12:$U$12,Curves!$BD$18:$BV$18)</f>
        <v/>
      </c>
      <c r="V15" s="3">
        <f>SUMPRODUCT(React!$C$12:$V$12,Curves!$BC$18:$BV$18)</f>
        <v/>
      </c>
      <c r="W15" s="3">
        <f>SUMPRODUCT(React!$C$12:$W$12,Curves!$BB$18:$BV$18)</f>
        <v/>
      </c>
      <c r="X15" s="3">
        <f>SUMPRODUCT(React!$C$12:$X$12,Curves!$BA$18:$BV$18)</f>
        <v/>
      </c>
      <c r="Y15" s="3">
        <f>SUMPRODUCT(React!$C$12:$Y$12,Curves!$AZ$18:$BV$18)</f>
        <v/>
      </c>
      <c r="Z15" s="3">
        <f>SUMPRODUCT(React!$C$12:$Z$12,Curves!$AY$18:$BV$18)</f>
        <v/>
      </c>
      <c r="AA15" s="3">
        <f>SUMPRODUCT(React!$C$12:$AA$12,Curves!$AX$18:$BV$18)</f>
        <v/>
      </c>
      <c r="AB15" s="3">
        <f>SUMPRODUCT(React!$C$12:$AB$12,Curves!$AW$18:$BV$18)</f>
        <v/>
      </c>
      <c r="AC15" s="3">
        <f>SUMPRODUCT(React!$C$12:$AC$12,Curves!$AV$18:$BV$18)</f>
        <v/>
      </c>
      <c r="AD15" s="3">
        <f>SUMPRODUCT(React!$C$12:$AD$12,Curves!$AU$18:$BV$18)</f>
        <v/>
      </c>
      <c r="AE15" s="3">
        <f>SUMPRODUCT(React!$C$12:$AE$12,Curves!$AT$18:$BV$18)</f>
        <v/>
      </c>
      <c r="AF15" s="3">
        <f>SUMPRODUCT(React!$C$12:$AF$12,Curves!$AS$18:$BV$18)</f>
        <v/>
      </c>
      <c r="AG15" s="3">
        <f>SUMPRODUCT(React!$C$12:$AG$12,Curves!$AR$18:$BV$18)</f>
        <v/>
      </c>
      <c r="AH15" s="3">
        <f>SUMPRODUCT(React!$C$12:$AH$12,Curves!$AQ$18:$BV$18)</f>
        <v/>
      </c>
      <c r="AI15" s="3">
        <f>SUMPRODUCT(React!$C$12:$AI$12,Curves!$AP$18:$BV$18)</f>
        <v/>
      </c>
      <c r="AJ15" s="3">
        <f>SUMPRODUCT(React!$C$12:$AJ$12,Curves!$AO$18:$BV$18)</f>
        <v/>
      </c>
      <c r="AK15" s="3">
        <f>SUMPRODUCT(React!$C$12:$AK$12,Curves!$AN$18:$BV$18)</f>
        <v/>
      </c>
      <c r="AL15" s="3">
        <f>SUMPRODUCT(React!$C$12:$AL$12,Curves!$AM$18:$BV$18)</f>
        <v/>
      </c>
      <c r="AM15" s="3">
        <f>SUMPRODUCT(React!$C$12:$AM$12,Curves!$AL$18:$BV$18)</f>
        <v/>
      </c>
      <c r="AN15" s="3">
        <f>SUMPRODUCT(React!$C$12:$AN$12,Curves!$AK$18:$BV$18)</f>
        <v/>
      </c>
      <c r="AO15" s="3">
        <f>SUMPRODUCT(React!$C$12:$AO$12,Curves!$AJ$18:$BV$18)</f>
        <v/>
      </c>
      <c r="AP15" s="3">
        <f>SUMPRODUCT(React!$C$12:$AP$12,Curves!$AI$18:$BV$18)</f>
        <v/>
      </c>
      <c r="AQ15" s="3">
        <f>SUMPRODUCT(React!$C$12:$AQ$12,Curves!$AH$18:$BV$18)</f>
        <v/>
      </c>
      <c r="AR15" s="3">
        <f>SUMPRODUCT(React!$C$12:$AR$12,Curves!$AG$18:$BV$18)</f>
        <v/>
      </c>
      <c r="AS15" s="3">
        <f>SUMPRODUCT(React!$C$12:$AS$12,Curves!$AF$18:$BV$18)</f>
        <v/>
      </c>
      <c r="AT15" s="3">
        <f>SUMPRODUCT(React!$C$12:$AT$12,Curves!$AE$18:$BV$18)</f>
        <v/>
      </c>
      <c r="AU15" s="3">
        <f>SUMPRODUCT(React!$C$12:$AU$12,Curves!$AD$18:$BV$18)</f>
        <v/>
      </c>
      <c r="AV15" s="3">
        <f>SUMPRODUCT(React!$C$12:$AV$12,Curves!$AC$18:$BV$18)</f>
        <v/>
      </c>
      <c r="AW15" s="3">
        <f>SUMPRODUCT(React!$C$12:$AW$12,Curves!$AB$18:$BV$18)</f>
        <v/>
      </c>
      <c r="AX15" s="3">
        <f>SUMPRODUCT(React!$C$12:$AX$12,Curves!$AA$18:$BV$18)</f>
        <v/>
      </c>
      <c r="AY15" s="3">
        <f>SUMPRODUCT(React!$C$12:$AY$12,Curves!$Z$18:$BV$18)</f>
        <v/>
      </c>
      <c r="AZ15" s="3">
        <f>SUMPRODUCT(React!$C$12:$AZ$12,Curves!$Y$18:$BV$18)</f>
        <v/>
      </c>
      <c r="BA15" s="3">
        <f>SUMPRODUCT(React!$C$12:$BA$12,Curves!$X$18:$BV$18)</f>
        <v/>
      </c>
      <c r="BB15" s="3">
        <f>SUMPRODUCT(React!$C$12:$BB$12,Curves!$W$18:$BV$18)</f>
        <v/>
      </c>
      <c r="BC15" s="3">
        <f>SUMPRODUCT(React!$C$12:$BC$12,Curves!$V$18:$BV$18)</f>
        <v/>
      </c>
      <c r="BD15" s="3">
        <f>SUMPRODUCT(React!$C$12:$BD$12,Curves!$U$18:$BV$18)</f>
        <v/>
      </c>
      <c r="BE15" s="3">
        <f>SUMPRODUCT(React!$C$12:$BE$12,Curves!$T$18:$BV$18)</f>
        <v/>
      </c>
      <c r="BF15" s="3">
        <f>SUMPRODUCT(React!$C$12:$BF$12,Curves!$S$18:$BV$18)</f>
        <v/>
      </c>
      <c r="BG15" s="3">
        <f>SUMPRODUCT(React!$C$12:$BG$12,Curves!$R$18:$BV$18)</f>
        <v/>
      </c>
      <c r="BH15" s="3">
        <f>SUMPRODUCT(React!$C$12:$BH$12,Curves!$Q$18:$BV$18)</f>
        <v/>
      </c>
      <c r="BI15" s="3">
        <f>SUMPRODUCT(React!$C$12:$BI$12,Curves!$P$18:$BV$18)</f>
        <v/>
      </c>
      <c r="BJ15" s="3">
        <f>SUMPRODUCT(React!$C$12:$BJ$12,Curves!$O$18:$BV$18)</f>
        <v/>
      </c>
      <c r="BK15" s="3">
        <f>SUMPRODUCT(React!$C$12:$BK$12,Curves!$N$18:$BV$18)</f>
        <v/>
      </c>
      <c r="BL15" s="3">
        <f>SUMPRODUCT(React!$C$12:$BL$12,Curves!$M$18:$BV$18)</f>
        <v/>
      </c>
      <c r="BM15" s="3">
        <f>SUMPRODUCT(React!$C$12:$BM$12,Curves!$L$18:$BV$18)</f>
        <v/>
      </c>
      <c r="BN15" s="3">
        <f>SUMPRODUCT(React!$C$12:$BN$12,Curves!$K$18:$BV$18)</f>
        <v/>
      </c>
      <c r="BO15" s="3">
        <f>SUMPRODUCT(React!$C$12:$BO$12,Curves!$J$18:$BV$18)</f>
        <v/>
      </c>
      <c r="BP15" s="3">
        <f>SUMPRODUCT(React!$C$12:$BP$12,Curves!$I$18:$BV$18)</f>
        <v/>
      </c>
      <c r="BQ15" s="3">
        <f>SUMPRODUCT(React!$C$12:$BQ$12,Curves!$H$18:$BV$18)</f>
        <v/>
      </c>
      <c r="BR15" s="3">
        <f>SUMPRODUCT(React!$C$12:$BR$12,Curves!$G$18:$BV$18)</f>
        <v/>
      </c>
      <c r="BS15" s="3">
        <f>SUMPRODUCT(React!$C$12:$BS$12,Curves!$F$18:$BV$18)</f>
        <v/>
      </c>
      <c r="BT15" s="3">
        <f>SUMPRODUCT(React!$C$12:$BT$12,Curves!$E$18:$BV$18)</f>
        <v/>
      </c>
      <c r="BU15" s="3">
        <f>SUMPRODUCT(React!$C$12:$BU$12,Curves!$D$18:$BV$18)</f>
        <v/>
      </c>
      <c r="BV15" s="3">
        <f>SUMPRODUCT(React!$C$12:$BV$12,Curves!$C$18:$BV$18)</f>
        <v/>
      </c>
    </row>
    <row r="17">
      <c r="A17" t="inlineStr">
        <is>
          <t>churn pool inflow</t>
        </is>
      </c>
      <c r="B17" t="inlineStr">
        <is>
          <t>US_CA|BASIC_M</t>
        </is>
      </c>
      <c r="C17" s="3">
        <f>Paid!C13+Legacy!C15</f>
        <v/>
      </c>
      <c r="D17" s="3">
        <f>Paid!D13+Legacy!D15</f>
        <v/>
      </c>
      <c r="E17" s="3">
        <f>Paid!E13+Legacy!E15</f>
        <v/>
      </c>
      <c r="F17" s="3">
        <f>Paid!F13+Legacy!F15</f>
        <v/>
      </c>
      <c r="G17" s="3">
        <f>Paid!G13+Legacy!G15</f>
        <v/>
      </c>
      <c r="H17" s="3">
        <f>Paid!H13+Legacy!H15</f>
        <v/>
      </c>
      <c r="I17" s="3">
        <f>Paid!I13+Legacy!I15</f>
        <v/>
      </c>
      <c r="J17" s="3">
        <f>Paid!J13+Legacy!J15</f>
        <v/>
      </c>
      <c r="K17" s="3">
        <f>Paid!K13+Legacy!K15</f>
        <v/>
      </c>
      <c r="L17" s="3">
        <f>Paid!L13+Legacy!L15</f>
        <v/>
      </c>
      <c r="M17" s="3">
        <f>Paid!M13+Legacy!M15</f>
        <v/>
      </c>
      <c r="N17" s="3">
        <f>Paid!N13+Legacy!N15</f>
        <v/>
      </c>
      <c r="O17" s="3">
        <f>Paid!O13+Legacy!O15</f>
        <v/>
      </c>
      <c r="P17" s="3">
        <f>Paid!P13+Legacy!P15</f>
        <v/>
      </c>
      <c r="Q17" s="3">
        <f>Paid!Q13+Legacy!Q15</f>
        <v/>
      </c>
      <c r="R17" s="3">
        <f>Paid!R13+Legacy!R15</f>
        <v/>
      </c>
      <c r="S17" s="3">
        <f>Paid!S13+Legacy!S15</f>
        <v/>
      </c>
      <c r="T17" s="3">
        <f>Paid!T13+Legacy!T15</f>
        <v/>
      </c>
      <c r="U17" s="3">
        <f>Paid!U13+Legacy!U15</f>
        <v/>
      </c>
      <c r="V17" s="3">
        <f>Paid!V13+Legacy!V15</f>
        <v/>
      </c>
      <c r="W17" s="3">
        <f>Paid!W13+Legacy!W15</f>
        <v/>
      </c>
      <c r="X17" s="3">
        <f>Paid!X13+Legacy!X15</f>
        <v/>
      </c>
      <c r="Y17" s="3">
        <f>Paid!Y13+Legacy!Y15</f>
        <v/>
      </c>
      <c r="Z17" s="3">
        <f>Paid!Z13+Legacy!Z15</f>
        <v/>
      </c>
      <c r="AA17" s="3">
        <f>Paid!AA13+Legacy!AA15</f>
        <v/>
      </c>
      <c r="AB17" s="3">
        <f>Paid!AB13+Legacy!AB15</f>
        <v/>
      </c>
      <c r="AC17" s="3">
        <f>Paid!AC13+Legacy!AC15</f>
        <v/>
      </c>
      <c r="AD17" s="3">
        <f>Paid!AD13+Legacy!AD15</f>
        <v/>
      </c>
      <c r="AE17" s="3">
        <f>Paid!AE13+Legacy!AE15</f>
        <v/>
      </c>
      <c r="AF17" s="3">
        <f>Paid!AF13+Legacy!AF15</f>
        <v/>
      </c>
      <c r="AG17" s="3">
        <f>Paid!AG13+Legacy!AG15</f>
        <v/>
      </c>
      <c r="AH17" s="3">
        <f>Paid!AH13+Legacy!AH15</f>
        <v/>
      </c>
      <c r="AI17" s="3">
        <f>Paid!AI13+Legacy!AI15</f>
        <v/>
      </c>
      <c r="AJ17" s="3">
        <f>Paid!AJ13+Legacy!AJ15</f>
        <v/>
      </c>
      <c r="AK17" s="3">
        <f>Paid!AK13+Legacy!AK15</f>
        <v/>
      </c>
      <c r="AL17" s="3">
        <f>Paid!AL13+Legacy!AL15</f>
        <v/>
      </c>
      <c r="AM17" s="3">
        <f>Paid!AM13+Legacy!AM15</f>
        <v/>
      </c>
      <c r="AN17" s="3">
        <f>Paid!AN13+Legacy!AN15</f>
        <v/>
      </c>
      <c r="AO17" s="3">
        <f>Paid!AO13+Legacy!AO15</f>
        <v/>
      </c>
      <c r="AP17" s="3">
        <f>Paid!AP13+Legacy!AP15</f>
        <v/>
      </c>
      <c r="AQ17" s="3">
        <f>Paid!AQ13+Legacy!AQ15</f>
        <v/>
      </c>
      <c r="AR17" s="3">
        <f>Paid!AR13+Legacy!AR15</f>
        <v/>
      </c>
      <c r="AS17" s="3">
        <f>Paid!AS13+Legacy!AS15</f>
        <v/>
      </c>
      <c r="AT17" s="3">
        <f>Paid!AT13+Legacy!AT15</f>
        <v/>
      </c>
      <c r="AU17" s="3">
        <f>Paid!AU13+Legacy!AU15</f>
        <v/>
      </c>
      <c r="AV17" s="3">
        <f>Paid!AV13+Legacy!AV15</f>
        <v/>
      </c>
      <c r="AW17" s="3">
        <f>Paid!AW13+Legacy!AW15</f>
        <v/>
      </c>
      <c r="AX17" s="3">
        <f>Paid!AX13+Legacy!AX15</f>
        <v/>
      </c>
      <c r="AY17" s="3">
        <f>Paid!AY13+Legacy!AY15</f>
        <v/>
      </c>
      <c r="AZ17" s="3">
        <f>Paid!AZ13+Legacy!AZ15</f>
        <v/>
      </c>
      <c r="BA17" s="3">
        <f>Paid!BA13+Legacy!BA15</f>
        <v/>
      </c>
      <c r="BB17" s="3">
        <f>Paid!BB13+Legacy!BB15</f>
        <v/>
      </c>
      <c r="BC17" s="3">
        <f>Paid!BC13+Legacy!BC15</f>
        <v/>
      </c>
      <c r="BD17" s="3">
        <f>Paid!BD13+Legacy!BD15</f>
        <v/>
      </c>
      <c r="BE17" s="3">
        <f>Paid!BE13+Legacy!BE15</f>
        <v/>
      </c>
      <c r="BF17" s="3">
        <f>Paid!BF13+Legacy!BF15</f>
        <v/>
      </c>
      <c r="BG17" s="3">
        <f>Paid!BG13+Legacy!BG15</f>
        <v/>
      </c>
      <c r="BH17" s="3">
        <f>Paid!BH13+Legacy!BH15</f>
        <v/>
      </c>
      <c r="BI17" s="3">
        <f>Paid!BI13+Legacy!BI15</f>
        <v/>
      </c>
      <c r="BJ17" s="3">
        <f>Paid!BJ13+Legacy!BJ15</f>
        <v/>
      </c>
      <c r="BK17" s="3">
        <f>Paid!BK13+Legacy!BK15</f>
        <v/>
      </c>
      <c r="BL17" s="3">
        <f>Paid!BL13+Legacy!BL15</f>
        <v/>
      </c>
      <c r="BM17" s="3">
        <f>Paid!BM13+Legacy!BM15</f>
        <v/>
      </c>
      <c r="BN17" s="3">
        <f>Paid!BN13+Legacy!BN15</f>
        <v/>
      </c>
      <c r="BO17" s="3">
        <f>Paid!BO13+Legacy!BO15</f>
        <v/>
      </c>
      <c r="BP17" s="3">
        <f>Paid!BP13+Legacy!BP15</f>
        <v/>
      </c>
      <c r="BQ17" s="3">
        <f>Paid!BQ13+Legacy!BQ15</f>
        <v/>
      </c>
      <c r="BR17" s="3">
        <f>Paid!BR13+Legacy!BR15</f>
        <v/>
      </c>
      <c r="BS17" s="3">
        <f>Paid!BS13+Legacy!BS15</f>
        <v/>
      </c>
      <c r="BT17" s="3">
        <f>Paid!BT13+Legacy!BT15</f>
        <v/>
      </c>
      <c r="BU17" s="3">
        <f>Paid!BU13+Legacy!BU15</f>
        <v/>
      </c>
      <c r="BV17" s="3">
        <f>Paid!BV13+Legacy!BV15</f>
        <v/>
      </c>
    </row>
    <row r="18">
      <c r="A18" t="inlineStr">
        <is>
          <t>reactivations out</t>
        </is>
      </c>
      <c r="B18" t="inlineStr">
        <is>
          <t>US_CA|BASIC_M</t>
        </is>
      </c>
      <c r="C18" s="3">
        <f>React!$C$17*Curves!$BV$19</f>
        <v/>
      </c>
      <c r="D18" s="3">
        <f>SUMPRODUCT(React!$C$17:$D$17,Curves!$BU$19:$BV$19)</f>
        <v/>
      </c>
      <c r="E18" s="3">
        <f>SUMPRODUCT(React!$C$17:$E$17,Curves!$BT$19:$BV$19)</f>
        <v/>
      </c>
      <c r="F18" s="3">
        <f>SUMPRODUCT(React!$C$17:$F$17,Curves!$BS$19:$BV$19)</f>
        <v/>
      </c>
      <c r="G18" s="3">
        <f>SUMPRODUCT(React!$C$17:$G$17,Curves!$BR$19:$BV$19)</f>
        <v/>
      </c>
      <c r="H18" s="3">
        <f>SUMPRODUCT(React!$C$17:$H$17,Curves!$BQ$19:$BV$19)</f>
        <v/>
      </c>
      <c r="I18" s="3">
        <f>SUMPRODUCT(React!$C$17:$I$17,Curves!$BP$19:$BV$19)</f>
        <v/>
      </c>
      <c r="J18" s="3">
        <f>SUMPRODUCT(React!$C$17:$J$17,Curves!$BO$19:$BV$19)</f>
        <v/>
      </c>
      <c r="K18" s="3">
        <f>SUMPRODUCT(React!$C$17:$K$17,Curves!$BN$19:$BV$19)</f>
        <v/>
      </c>
      <c r="L18" s="3">
        <f>SUMPRODUCT(React!$C$17:$L$17,Curves!$BM$19:$BV$19)</f>
        <v/>
      </c>
      <c r="M18" s="3">
        <f>SUMPRODUCT(React!$C$17:$M$17,Curves!$BL$19:$BV$19)</f>
        <v/>
      </c>
      <c r="N18" s="3">
        <f>SUMPRODUCT(React!$C$17:$N$17,Curves!$BK$19:$BV$19)</f>
        <v/>
      </c>
      <c r="O18" s="3">
        <f>SUMPRODUCT(React!$C$17:$O$17,Curves!$BJ$19:$BV$19)</f>
        <v/>
      </c>
      <c r="P18" s="3">
        <f>SUMPRODUCT(React!$C$17:$P$17,Curves!$BI$19:$BV$19)</f>
        <v/>
      </c>
      <c r="Q18" s="3">
        <f>SUMPRODUCT(React!$C$17:$Q$17,Curves!$BH$19:$BV$19)</f>
        <v/>
      </c>
      <c r="R18" s="3">
        <f>SUMPRODUCT(React!$C$17:$R$17,Curves!$BG$19:$BV$19)</f>
        <v/>
      </c>
      <c r="S18" s="3">
        <f>SUMPRODUCT(React!$C$17:$S$17,Curves!$BF$19:$BV$19)</f>
        <v/>
      </c>
      <c r="T18" s="3">
        <f>SUMPRODUCT(React!$C$17:$T$17,Curves!$BE$19:$BV$19)</f>
        <v/>
      </c>
      <c r="U18" s="3">
        <f>SUMPRODUCT(React!$C$17:$U$17,Curves!$BD$19:$BV$19)</f>
        <v/>
      </c>
      <c r="V18" s="3">
        <f>SUMPRODUCT(React!$C$17:$V$17,Curves!$BC$19:$BV$19)</f>
        <v/>
      </c>
      <c r="W18" s="3">
        <f>SUMPRODUCT(React!$C$17:$W$17,Curves!$BB$19:$BV$19)</f>
        <v/>
      </c>
      <c r="X18" s="3">
        <f>SUMPRODUCT(React!$C$17:$X$17,Curves!$BA$19:$BV$19)</f>
        <v/>
      </c>
      <c r="Y18" s="3">
        <f>SUMPRODUCT(React!$C$17:$Y$17,Curves!$AZ$19:$BV$19)</f>
        <v/>
      </c>
      <c r="Z18" s="3">
        <f>SUMPRODUCT(React!$C$17:$Z$17,Curves!$AY$19:$BV$19)</f>
        <v/>
      </c>
      <c r="AA18" s="3">
        <f>SUMPRODUCT(React!$C$17:$AA$17,Curves!$AX$19:$BV$19)</f>
        <v/>
      </c>
      <c r="AB18" s="3">
        <f>SUMPRODUCT(React!$C$17:$AB$17,Curves!$AW$19:$BV$19)</f>
        <v/>
      </c>
      <c r="AC18" s="3">
        <f>SUMPRODUCT(React!$C$17:$AC$17,Curves!$AV$19:$BV$19)</f>
        <v/>
      </c>
      <c r="AD18" s="3">
        <f>SUMPRODUCT(React!$C$17:$AD$17,Curves!$AU$19:$BV$19)</f>
        <v/>
      </c>
      <c r="AE18" s="3">
        <f>SUMPRODUCT(React!$C$17:$AE$17,Curves!$AT$19:$BV$19)</f>
        <v/>
      </c>
      <c r="AF18" s="3">
        <f>SUMPRODUCT(React!$C$17:$AF$17,Curves!$AS$19:$BV$19)</f>
        <v/>
      </c>
      <c r="AG18" s="3">
        <f>SUMPRODUCT(React!$C$17:$AG$17,Curves!$AR$19:$BV$19)</f>
        <v/>
      </c>
      <c r="AH18" s="3">
        <f>SUMPRODUCT(React!$C$17:$AH$17,Curves!$AQ$19:$BV$19)</f>
        <v/>
      </c>
      <c r="AI18" s="3">
        <f>SUMPRODUCT(React!$C$17:$AI$17,Curves!$AP$19:$BV$19)</f>
        <v/>
      </c>
      <c r="AJ18" s="3">
        <f>SUMPRODUCT(React!$C$17:$AJ$17,Curves!$AO$19:$BV$19)</f>
        <v/>
      </c>
      <c r="AK18" s="3">
        <f>SUMPRODUCT(React!$C$17:$AK$17,Curves!$AN$19:$BV$19)</f>
        <v/>
      </c>
      <c r="AL18" s="3">
        <f>SUMPRODUCT(React!$C$17:$AL$17,Curves!$AM$19:$BV$19)</f>
        <v/>
      </c>
      <c r="AM18" s="3">
        <f>SUMPRODUCT(React!$C$17:$AM$17,Curves!$AL$19:$BV$19)</f>
        <v/>
      </c>
      <c r="AN18" s="3">
        <f>SUMPRODUCT(React!$C$17:$AN$17,Curves!$AK$19:$BV$19)</f>
        <v/>
      </c>
      <c r="AO18" s="3">
        <f>SUMPRODUCT(React!$C$17:$AO$17,Curves!$AJ$19:$BV$19)</f>
        <v/>
      </c>
      <c r="AP18" s="3">
        <f>SUMPRODUCT(React!$C$17:$AP$17,Curves!$AI$19:$BV$19)</f>
        <v/>
      </c>
      <c r="AQ18" s="3">
        <f>SUMPRODUCT(React!$C$17:$AQ$17,Curves!$AH$19:$BV$19)</f>
        <v/>
      </c>
      <c r="AR18" s="3">
        <f>SUMPRODUCT(React!$C$17:$AR$17,Curves!$AG$19:$BV$19)</f>
        <v/>
      </c>
      <c r="AS18" s="3">
        <f>SUMPRODUCT(React!$C$17:$AS$17,Curves!$AF$19:$BV$19)</f>
        <v/>
      </c>
      <c r="AT18" s="3">
        <f>SUMPRODUCT(React!$C$17:$AT$17,Curves!$AE$19:$BV$19)</f>
        <v/>
      </c>
      <c r="AU18" s="3">
        <f>SUMPRODUCT(React!$C$17:$AU$17,Curves!$AD$19:$BV$19)</f>
        <v/>
      </c>
      <c r="AV18" s="3">
        <f>SUMPRODUCT(React!$C$17:$AV$17,Curves!$AC$19:$BV$19)</f>
        <v/>
      </c>
      <c r="AW18" s="3">
        <f>SUMPRODUCT(React!$C$17:$AW$17,Curves!$AB$19:$BV$19)</f>
        <v/>
      </c>
      <c r="AX18" s="3">
        <f>SUMPRODUCT(React!$C$17:$AX$17,Curves!$AA$19:$BV$19)</f>
        <v/>
      </c>
      <c r="AY18" s="3">
        <f>SUMPRODUCT(React!$C$17:$AY$17,Curves!$Z$19:$BV$19)</f>
        <v/>
      </c>
      <c r="AZ18" s="3">
        <f>SUMPRODUCT(React!$C$17:$AZ$17,Curves!$Y$19:$BV$19)</f>
        <v/>
      </c>
      <c r="BA18" s="3">
        <f>SUMPRODUCT(React!$C$17:$BA$17,Curves!$X$19:$BV$19)</f>
        <v/>
      </c>
      <c r="BB18" s="3">
        <f>SUMPRODUCT(React!$C$17:$BB$17,Curves!$W$19:$BV$19)</f>
        <v/>
      </c>
      <c r="BC18" s="3">
        <f>SUMPRODUCT(React!$C$17:$BC$17,Curves!$V$19:$BV$19)</f>
        <v/>
      </c>
      <c r="BD18" s="3">
        <f>SUMPRODUCT(React!$C$17:$BD$17,Curves!$U$19:$BV$19)</f>
        <v/>
      </c>
      <c r="BE18" s="3">
        <f>SUMPRODUCT(React!$C$17:$BE$17,Curves!$T$19:$BV$19)</f>
        <v/>
      </c>
      <c r="BF18" s="3">
        <f>SUMPRODUCT(React!$C$17:$BF$17,Curves!$S$19:$BV$19)</f>
        <v/>
      </c>
      <c r="BG18" s="3">
        <f>SUMPRODUCT(React!$C$17:$BG$17,Curves!$R$19:$BV$19)</f>
        <v/>
      </c>
      <c r="BH18" s="3">
        <f>SUMPRODUCT(React!$C$17:$BH$17,Curves!$Q$19:$BV$19)</f>
        <v/>
      </c>
      <c r="BI18" s="3">
        <f>SUMPRODUCT(React!$C$17:$BI$17,Curves!$P$19:$BV$19)</f>
        <v/>
      </c>
      <c r="BJ18" s="3">
        <f>SUMPRODUCT(React!$C$17:$BJ$17,Curves!$O$19:$BV$19)</f>
        <v/>
      </c>
      <c r="BK18" s="3">
        <f>SUMPRODUCT(React!$C$17:$BK$17,Curves!$N$19:$BV$19)</f>
        <v/>
      </c>
      <c r="BL18" s="3">
        <f>SUMPRODUCT(React!$C$17:$BL$17,Curves!$M$19:$BV$19)</f>
        <v/>
      </c>
      <c r="BM18" s="3">
        <f>SUMPRODUCT(React!$C$17:$BM$17,Curves!$L$19:$BV$19)</f>
        <v/>
      </c>
      <c r="BN18" s="3">
        <f>SUMPRODUCT(React!$C$17:$BN$17,Curves!$K$19:$BV$19)</f>
        <v/>
      </c>
      <c r="BO18" s="3">
        <f>SUMPRODUCT(React!$C$17:$BO$17,Curves!$J$19:$BV$19)</f>
        <v/>
      </c>
      <c r="BP18" s="3">
        <f>SUMPRODUCT(React!$C$17:$BP$17,Curves!$I$19:$BV$19)</f>
        <v/>
      </c>
      <c r="BQ18" s="3">
        <f>SUMPRODUCT(React!$C$17:$BQ$17,Curves!$H$19:$BV$19)</f>
        <v/>
      </c>
      <c r="BR18" s="3">
        <f>SUMPRODUCT(React!$C$17:$BR$17,Curves!$G$19:$BV$19)</f>
        <v/>
      </c>
      <c r="BS18" s="3">
        <f>SUMPRODUCT(React!$C$17:$BS$17,Curves!$F$19:$BV$19)</f>
        <v/>
      </c>
      <c r="BT18" s="3">
        <f>SUMPRODUCT(React!$C$17:$BT$17,Curves!$E$19:$BV$19)</f>
        <v/>
      </c>
      <c r="BU18" s="3">
        <f>SUMPRODUCT(React!$C$17:$BU$17,Curves!$D$19:$BV$19)</f>
        <v/>
      </c>
      <c r="BV18" s="3">
        <f>SUMPRODUCT(React!$C$17:$BV$17,Curves!$C$19:$BV$19)</f>
        <v/>
      </c>
    </row>
    <row r="19">
      <c r="A19" t="inlineStr">
        <is>
          <t>reactivated in</t>
        </is>
      </c>
      <c r="B19" t="inlineStr">
        <is>
          <t>US_CA|BASIC_M</t>
        </is>
      </c>
      <c r="C19" s="3">
        <f>C18+C25</f>
        <v/>
      </c>
      <c r="D19" s="3">
        <f>D18+D25</f>
        <v/>
      </c>
      <c r="E19" s="3">
        <f>E18+E25</f>
        <v/>
      </c>
      <c r="F19" s="3">
        <f>F18+F25</f>
        <v/>
      </c>
      <c r="G19" s="3">
        <f>G18+G25</f>
        <v/>
      </c>
      <c r="H19" s="3">
        <f>H18+H25</f>
        <v/>
      </c>
      <c r="I19" s="3">
        <f>I18+I25</f>
        <v/>
      </c>
      <c r="J19" s="3">
        <f>J18+J25</f>
        <v/>
      </c>
      <c r="K19" s="3">
        <f>K18+K25</f>
        <v/>
      </c>
      <c r="L19" s="3">
        <f>L18+L25</f>
        <v/>
      </c>
      <c r="M19" s="3">
        <f>M18+M25</f>
        <v/>
      </c>
      <c r="N19" s="3">
        <f>N18+N25</f>
        <v/>
      </c>
      <c r="O19" s="3">
        <f>O18+O25</f>
        <v/>
      </c>
      <c r="P19" s="3">
        <f>P18+P25</f>
        <v/>
      </c>
      <c r="Q19" s="3">
        <f>Q18+Q25</f>
        <v/>
      </c>
      <c r="R19" s="3">
        <f>R18+R25</f>
        <v/>
      </c>
      <c r="S19" s="3">
        <f>S18+S25</f>
        <v/>
      </c>
      <c r="T19" s="3">
        <f>T18+T25</f>
        <v/>
      </c>
      <c r="U19" s="3">
        <f>U18+U25</f>
        <v/>
      </c>
      <c r="V19" s="3">
        <f>V18+V25</f>
        <v/>
      </c>
      <c r="W19" s="3">
        <f>W18+W25</f>
        <v/>
      </c>
      <c r="X19" s="3">
        <f>X18+X25</f>
        <v/>
      </c>
      <c r="Y19" s="3">
        <f>Y18+Y25</f>
        <v/>
      </c>
      <c r="Z19" s="3">
        <f>Z18+Z25</f>
        <v/>
      </c>
      <c r="AA19" s="3">
        <f>AA18+AA25</f>
        <v/>
      </c>
      <c r="AB19" s="3">
        <f>AB18+AB25</f>
        <v/>
      </c>
      <c r="AC19" s="3">
        <f>AC18+AC25</f>
        <v/>
      </c>
      <c r="AD19" s="3">
        <f>AD18+AD25</f>
        <v/>
      </c>
      <c r="AE19" s="3">
        <f>AE18+AE25</f>
        <v/>
      </c>
      <c r="AF19" s="3">
        <f>AF18+AF25</f>
        <v/>
      </c>
      <c r="AG19" s="3">
        <f>AG18+AG25</f>
        <v/>
      </c>
      <c r="AH19" s="3">
        <f>AH18+AH25</f>
        <v/>
      </c>
      <c r="AI19" s="3">
        <f>AI18+AI25</f>
        <v/>
      </c>
      <c r="AJ19" s="3">
        <f>AJ18+AJ25</f>
        <v/>
      </c>
      <c r="AK19" s="3">
        <f>AK18+AK25</f>
        <v/>
      </c>
      <c r="AL19" s="3">
        <f>AL18+AL25</f>
        <v/>
      </c>
      <c r="AM19" s="3">
        <f>AM18+AM25</f>
        <v/>
      </c>
      <c r="AN19" s="3">
        <f>AN18+AN25</f>
        <v/>
      </c>
      <c r="AO19" s="3">
        <f>AO18+AO25</f>
        <v/>
      </c>
      <c r="AP19" s="3">
        <f>AP18+AP25</f>
        <v/>
      </c>
      <c r="AQ19" s="3">
        <f>AQ18+AQ25</f>
        <v/>
      </c>
      <c r="AR19" s="3">
        <f>AR18+AR25</f>
        <v/>
      </c>
      <c r="AS19" s="3">
        <f>AS18+AS25</f>
        <v/>
      </c>
      <c r="AT19" s="3">
        <f>AT18+AT25</f>
        <v/>
      </c>
      <c r="AU19" s="3">
        <f>AU18+AU25</f>
        <v/>
      </c>
      <c r="AV19" s="3">
        <f>AV18+AV25</f>
        <v/>
      </c>
      <c r="AW19" s="3">
        <f>AW18+AW25</f>
        <v/>
      </c>
      <c r="AX19" s="3">
        <f>AX18+AX25</f>
        <v/>
      </c>
      <c r="AY19" s="3">
        <f>AY18+AY25</f>
        <v/>
      </c>
      <c r="AZ19" s="3">
        <f>AZ18+AZ25</f>
        <v/>
      </c>
      <c r="BA19" s="3">
        <f>BA18+BA25</f>
        <v/>
      </c>
      <c r="BB19" s="3">
        <f>BB18+BB25</f>
        <v/>
      </c>
      <c r="BC19" s="3">
        <f>BC18+BC25</f>
        <v/>
      </c>
      <c r="BD19" s="3">
        <f>BD18+BD25</f>
        <v/>
      </c>
      <c r="BE19" s="3">
        <f>BE18+BE25</f>
        <v/>
      </c>
      <c r="BF19" s="3">
        <f>BF18+BF25</f>
        <v/>
      </c>
      <c r="BG19" s="3">
        <f>BG18+BG25</f>
        <v/>
      </c>
      <c r="BH19" s="3">
        <f>BH18+BH25</f>
        <v/>
      </c>
      <c r="BI19" s="3">
        <f>BI18+BI25</f>
        <v/>
      </c>
      <c r="BJ19" s="3">
        <f>BJ18+BJ25</f>
        <v/>
      </c>
      <c r="BK19" s="3">
        <f>BK18+BK25</f>
        <v/>
      </c>
      <c r="BL19" s="3">
        <f>BL18+BL25</f>
        <v/>
      </c>
      <c r="BM19" s="3">
        <f>BM18+BM25</f>
        <v/>
      </c>
      <c r="BN19" s="3">
        <f>BN18+BN25</f>
        <v/>
      </c>
      <c r="BO19" s="3">
        <f>BO18+BO25</f>
        <v/>
      </c>
      <c r="BP19" s="3">
        <f>BP18+BP25</f>
        <v/>
      </c>
      <c r="BQ19" s="3">
        <f>BQ18+BQ25</f>
        <v/>
      </c>
      <c r="BR19" s="3">
        <f>BR18+BR25</f>
        <v/>
      </c>
      <c r="BS19" s="3">
        <f>BS18+BS25</f>
        <v/>
      </c>
      <c r="BT19" s="3">
        <f>BT18+BT25</f>
        <v/>
      </c>
      <c r="BU19" s="3">
        <f>BU18+BU25</f>
        <v/>
      </c>
      <c r="BV19" s="3">
        <f>BV18+BV25</f>
        <v/>
      </c>
    </row>
    <row r="20">
      <c r="A20" t="inlineStr">
        <is>
          <t>active</t>
        </is>
      </c>
      <c r="B20" t="inlineStr">
        <is>
          <t>US_CA|BASIC_M</t>
        </is>
      </c>
      <c r="C20" s="3">
        <f>React!$C$19*Curves!$BV$17</f>
        <v/>
      </c>
      <c r="D20" s="3">
        <f>SUMPRODUCT(React!$C$19:$D$19,Curves!$BU$17:$BV$17)</f>
        <v/>
      </c>
      <c r="E20" s="3">
        <f>SUMPRODUCT(React!$C$19:$E$19,Curves!$BT$17:$BV$17)</f>
        <v/>
      </c>
      <c r="F20" s="3">
        <f>SUMPRODUCT(React!$C$19:$F$19,Curves!$BS$17:$BV$17)</f>
        <v/>
      </c>
      <c r="G20" s="3">
        <f>SUMPRODUCT(React!$C$19:$G$19,Curves!$BR$17:$BV$17)</f>
        <v/>
      </c>
      <c r="H20" s="3">
        <f>SUMPRODUCT(React!$C$19:$H$19,Curves!$BQ$17:$BV$17)</f>
        <v/>
      </c>
      <c r="I20" s="3">
        <f>SUMPRODUCT(React!$C$19:$I$19,Curves!$BP$17:$BV$17)</f>
        <v/>
      </c>
      <c r="J20" s="3">
        <f>SUMPRODUCT(React!$C$19:$J$19,Curves!$BO$17:$BV$17)</f>
        <v/>
      </c>
      <c r="K20" s="3">
        <f>SUMPRODUCT(React!$C$19:$K$19,Curves!$BN$17:$BV$17)</f>
        <v/>
      </c>
      <c r="L20" s="3">
        <f>SUMPRODUCT(React!$C$19:$L$19,Curves!$BM$17:$BV$17)</f>
        <v/>
      </c>
      <c r="M20" s="3">
        <f>SUMPRODUCT(React!$C$19:$M$19,Curves!$BL$17:$BV$17)</f>
        <v/>
      </c>
      <c r="N20" s="3">
        <f>SUMPRODUCT(React!$C$19:$N$19,Curves!$BK$17:$BV$17)</f>
        <v/>
      </c>
      <c r="O20" s="3">
        <f>SUMPRODUCT(React!$C$19:$O$19,Curves!$BJ$17:$BV$17)</f>
        <v/>
      </c>
      <c r="P20" s="3">
        <f>SUMPRODUCT(React!$C$19:$P$19,Curves!$BI$17:$BV$17)</f>
        <v/>
      </c>
      <c r="Q20" s="3">
        <f>SUMPRODUCT(React!$C$19:$Q$19,Curves!$BH$17:$BV$17)</f>
        <v/>
      </c>
      <c r="R20" s="3">
        <f>SUMPRODUCT(React!$C$19:$R$19,Curves!$BG$17:$BV$17)</f>
        <v/>
      </c>
      <c r="S20" s="3">
        <f>SUMPRODUCT(React!$C$19:$S$19,Curves!$BF$17:$BV$17)</f>
        <v/>
      </c>
      <c r="T20" s="3">
        <f>SUMPRODUCT(React!$C$19:$T$19,Curves!$BE$17:$BV$17)</f>
        <v/>
      </c>
      <c r="U20" s="3">
        <f>SUMPRODUCT(React!$C$19:$U$19,Curves!$BD$17:$BV$17)</f>
        <v/>
      </c>
      <c r="V20" s="3">
        <f>SUMPRODUCT(React!$C$19:$V$19,Curves!$BC$17:$BV$17)</f>
        <v/>
      </c>
      <c r="W20" s="3">
        <f>SUMPRODUCT(React!$C$19:$W$19,Curves!$BB$17:$BV$17)</f>
        <v/>
      </c>
      <c r="X20" s="3">
        <f>SUMPRODUCT(React!$C$19:$X$19,Curves!$BA$17:$BV$17)</f>
        <v/>
      </c>
      <c r="Y20" s="3">
        <f>SUMPRODUCT(React!$C$19:$Y$19,Curves!$AZ$17:$BV$17)</f>
        <v/>
      </c>
      <c r="Z20" s="3">
        <f>SUMPRODUCT(React!$C$19:$Z$19,Curves!$AY$17:$BV$17)</f>
        <v/>
      </c>
      <c r="AA20" s="3">
        <f>SUMPRODUCT(React!$C$19:$AA$19,Curves!$AX$17:$BV$17)</f>
        <v/>
      </c>
      <c r="AB20" s="3">
        <f>SUMPRODUCT(React!$C$19:$AB$19,Curves!$AW$17:$BV$17)</f>
        <v/>
      </c>
      <c r="AC20" s="3">
        <f>SUMPRODUCT(React!$C$19:$AC$19,Curves!$AV$17:$BV$17)</f>
        <v/>
      </c>
      <c r="AD20" s="3">
        <f>SUMPRODUCT(React!$C$19:$AD$19,Curves!$AU$17:$BV$17)</f>
        <v/>
      </c>
      <c r="AE20" s="3">
        <f>SUMPRODUCT(React!$C$19:$AE$19,Curves!$AT$17:$BV$17)</f>
        <v/>
      </c>
      <c r="AF20" s="3">
        <f>SUMPRODUCT(React!$C$19:$AF$19,Curves!$AS$17:$BV$17)</f>
        <v/>
      </c>
      <c r="AG20" s="3">
        <f>SUMPRODUCT(React!$C$19:$AG$19,Curves!$AR$17:$BV$17)</f>
        <v/>
      </c>
      <c r="AH20" s="3">
        <f>SUMPRODUCT(React!$C$19:$AH$19,Curves!$AQ$17:$BV$17)</f>
        <v/>
      </c>
      <c r="AI20" s="3">
        <f>SUMPRODUCT(React!$C$19:$AI$19,Curves!$AP$17:$BV$17)</f>
        <v/>
      </c>
      <c r="AJ20" s="3">
        <f>SUMPRODUCT(React!$C$19:$AJ$19,Curves!$AO$17:$BV$17)</f>
        <v/>
      </c>
      <c r="AK20" s="3">
        <f>SUMPRODUCT(React!$C$19:$AK$19,Curves!$AN$17:$BV$17)</f>
        <v/>
      </c>
      <c r="AL20" s="3">
        <f>SUMPRODUCT(React!$C$19:$AL$19,Curves!$AM$17:$BV$17)</f>
        <v/>
      </c>
      <c r="AM20" s="3">
        <f>SUMPRODUCT(React!$C$19:$AM$19,Curves!$AL$17:$BV$17)</f>
        <v/>
      </c>
      <c r="AN20" s="3">
        <f>SUMPRODUCT(React!$C$19:$AN$19,Curves!$AK$17:$BV$17)</f>
        <v/>
      </c>
      <c r="AO20" s="3">
        <f>SUMPRODUCT(React!$C$19:$AO$19,Curves!$AJ$17:$BV$17)</f>
        <v/>
      </c>
      <c r="AP20" s="3">
        <f>SUMPRODUCT(React!$C$19:$AP$19,Curves!$AI$17:$BV$17)</f>
        <v/>
      </c>
      <c r="AQ20" s="3">
        <f>SUMPRODUCT(React!$C$19:$AQ$19,Curves!$AH$17:$BV$17)</f>
        <v/>
      </c>
      <c r="AR20" s="3">
        <f>SUMPRODUCT(React!$C$19:$AR$19,Curves!$AG$17:$BV$17)</f>
        <v/>
      </c>
      <c r="AS20" s="3">
        <f>SUMPRODUCT(React!$C$19:$AS$19,Curves!$AF$17:$BV$17)</f>
        <v/>
      </c>
      <c r="AT20" s="3">
        <f>SUMPRODUCT(React!$C$19:$AT$19,Curves!$AE$17:$BV$17)</f>
        <v/>
      </c>
      <c r="AU20" s="3">
        <f>SUMPRODUCT(React!$C$19:$AU$19,Curves!$AD$17:$BV$17)</f>
        <v/>
      </c>
      <c r="AV20" s="3">
        <f>SUMPRODUCT(React!$C$19:$AV$19,Curves!$AC$17:$BV$17)</f>
        <v/>
      </c>
      <c r="AW20" s="3">
        <f>SUMPRODUCT(React!$C$19:$AW$19,Curves!$AB$17:$BV$17)</f>
        <v/>
      </c>
      <c r="AX20" s="3">
        <f>SUMPRODUCT(React!$C$19:$AX$19,Curves!$AA$17:$BV$17)</f>
        <v/>
      </c>
      <c r="AY20" s="3">
        <f>SUMPRODUCT(React!$C$19:$AY$19,Curves!$Z$17:$BV$17)</f>
        <v/>
      </c>
      <c r="AZ20" s="3">
        <f>SUMPRODUCT(React!$C$19:$AZ$19,Curves!$Y$17:$BV$17)</f>
        <v/>
      </c>
      <c r="BA20" s="3">
        <f>SUMPRODUCT(React!$C$19:$BA$19,Curves!$X$17:$BV$17)</f>
        <v/>
      </c>
      <c r="BB20" s="3">
        <f>SUMPRODUCT(React!$C$19:$BB$19,Curves!$W$17:$BV$17)</f>
        <v/>
      </c>
      <c r="BC20" s="3">
        <f>SUMPRODUCT(React!$C$19:$BC$19,Curves!$V$17:$BV$17)</f>
        <v/>
      </c>
      <c r="BD20" s="3">
        <f>SUMPRODUCT(React!$C$19:$BD$19,Curves!$U$17:$BV$17)</f>
        <v/>
      </c>
      <c r="BE20" s="3">
        <f>SUMPRODUCT(React!$C$19:$BE$19,Curves!$T$17:$BV$17)</f>
        <v/>
      </c>
      <c r="BF20" s="3">
        <f>SUMPRODUCT(React!$C$19:$BF$19,Curves!$S$17:$BV$17)</f>
        <v/>
      </c>
      <c r="BG20" s="3">
        <f>SUMPRODUCT(React!$C$19:$BG$19,Curves!$R$17:$BV$17)</f>
        <v/>
      </c>
      <c r="BH20" s="3">
        <f>SUMPRODUCT(React!$C$19:$BH$19,Curves!$Q$17:$BV$17)</f>
        <v/>
      </c>
      <c r="BI20" s="3">
        <f>SUMPRODUCT(React!$C$19:$BI$19,Curves!$P$17:$BV$17)</f>
        <v/>
      </c>
      <c r="BJ20" s="3">
        <f>SUMPRODUCT(React!$C$19:$BJ$19,Curves!$O$17:$BV$17)</f>
        <v/>
      </c>
      <c r="BK20" s="3">
        <f>SUMPRODUCT(React!$C$19:$BK$19,Curves!$N$17:$BV$17)</f>
        <v/>
      </c>
      <c r="BL20" s="3">
        <f>SUMPRODUCT(React!$C$19:$BL$19,Curves!$M$17:$BV$17)</f>
        <v/>
      </c>
      <c r="BM20" s="3">
        <f>SUMPRODUCT(React!$C$19:$BM$19,Curves!$L$17:$BV$17)</f>
        <v/>
      </c>
      <c r="BN20" s="3">
        <f>SUMPRODUCT(React!$C$19:$BN$19,Curves!$K$17:$BV$17)</f>
        <v/>
      </c>
      <c r="BO20" s="3">
        <f>SUMPRODUCT(React!$C$19:$BO$19,Curves!$J$17:$BV$17)</f>
        <v/>
      </c>
      <c r="BP20" s="3">
        <f>SUMPRODUCT(React!$C$19:$BP$19,Curves!$I$17:$BV$17)</f>
        <v/>
      </c>
      <c r="BQ20" s="3">
        <f>SUMPRODUCT(React!$C$19:$BQ$19,Curves!$H$17:$BV$17)</f>
        <v/>
      </c>
      <c r="BR20" s="3">
        <f>SUMPRODUCT(React!$C$19:$BR$19,Curves!$G$17:$BV$17)</f>
        <v/>
      </c>
      <c r="BS20" s="3">
        <f>SUMPRODUCT(React!$C$19:$BS$19,Curves!$F$17:$BV$17)</f>
        <v/>
      </c>
      <c r="BT20" s="3">
        <f>SUMPRODUCT(React!$C$19:$BT$19,Curves!$E$17:$BV$17)</f>
        <v/>
      </c>
      <c r="BU20" s="3">
        <f>SUMPRODUCT(React!$C$19:$BU$19,Curves!$D$17:$BV$17)</f>
        <v/>
      </c>
      <c r="BV20" s="3">
        <f>SUMPRODUCT(React!$C$19:$BV$19,Curves!$C$17:$BV$17)</f>
        <v/>
      </c>
    </row>
    <row r="21">
      <c r="A21" t="inlineStr">
        <is>
          <t>active yr 1</t>
        </is>
      </c>
      <c r="B21" t="inlineStr">
        <is>
          <t>US_CA|BASIC_M</t>
        </is>
      </c>
      <c r="C21" s="3">
        <f>React!$C$19*Curves!$BV$22</f>
        <v/>
      </c>
      <c r="D21" s="3">
        <f>SUMPRODUCT(React!$C$19:$D$19,Curves!$BU$22:$BV$22)</f>
        <v/>
      </c>
      <c r="E21" s="3">
        <f>SUMPRODUCT(React!$C$19:$E$19,Curves!$BT$22:$BV$22)</f>
        <v/>
      </c>
      <c r="F21" s="3">
        <f>SUMPRODUCT(React!$C$19:$F$19,Curves!$BS$22:$BV$22)</f>
        <v/>
      </c>
      <c r="G21" s="3">
        <f>SUMPRODUCT(React!$C$19:$G$19,Curves!$BR$22:$BV$22)</f>
        <v/>
      </c>
      <c r="H21" s="3">
        <f>SUMPRODUCT(React!$C$19:$H$19,Curves!$BQ$22:$BV$22)</f>
        <v/>
      </c>
      <c r="I21" s="3">
        <f>SUMPRODUCT(React!$C$19:$I$19,Curves!$BP$22:$BV$22)</f>
        <v/>
      </c>
      <c r="J21" s="3">
        <f>SUMPRODUCT(React!$C$19:$J$19,Curves!$BO$22:$BV$22)</f>
        <v/>
      </c>
      <c r="K21" s="3">
        <f>SUMPRODUCT(React!$C$19:$K$19,Curves!$BN$22:$BV$22)</f>
        <v/>
      </c>
      <c r="L21" s="3">
        <f>SUMPRODUCT(React!$C$19:$L$19,Curves!$BM$22:$BV$22)</f>
        <v/>
      </c>
      <c r="M21" s="3">
        <f>SUMPRODUCT(React!$C$19:$M$19,Curves!$BL$22:$BV$22)</f>
        <v/>
      </c>
      <c r="N21" s="3">
        <f>SUMPRODUCT(React!$C$19:$N$19,Curves!$BK$22:$BV$22)</f>
        <v/>
      </c>
      <c r="O21" s="3">
        <f>SUMPRODUCT(React!$C$19:$O$19,Curves!$BJ$22:$BV$22)</f>
        <v/>
      </c>
      <c r="P21" s="3">
        <f>SUMPRODUCT(React!$C$19:$P$19,Curves!$BI$22:$BV$22)</f>
        <v/>
      </c>
      <c r="Q21" s="3">
        <f>SUMPRODUCT(React!$C$19:$Q$19,Curves!$BH$22:$BV$22)</f>
        <v/>
      </c>
      <c r="R21" s="3">
        <f>SUMPRODUCT(React!$C$19:$R$19,Curves!$BG$22:$BV$22)</f>
        <v/>
      </c>
      <c r="S21" s="3">
        <f>SUMPRODUCT(React!$C$19:$S$19,Curves!$BF$22:$BV$22)</f>
        <v/>
      </c>
      <c r="T21" s="3">
        <f>SUMPRODUCT(React!$C$19:$T$19,Curves!$BE$22:$BV$22)</f>
        <v/>
      </c>
      <c r="U21" s="3">
        <f>SUMPRODUCT(React!$C$19:$U$19,Curves!$BD$22:$BV$22)</f>
        <v/>
      </c>
      <c r="V21" s="3">
        <f>SUMPRODUCT(React!$C$19:$V$19,Curves!$BC$22:$BV$22)</f>
        <v/>
      </c>
      <c r="W21" s="3">
        <f>SUMPRODUCT(React!$C$19:$W$19,Curves!$BB$22:$BV$22)</f>
        <v/>
      </c>
      <c r="X21" s="3">
        <f>SUMPRODUCT(React!$C$19:$X$19,Curves!$BA$22:$BV$22)</f>
        <v/>
      </c>
      <c r="Y21" s="3">
        <f>SUMPRODUCT(React!$C$19:$Y$19,Curves!$AZ$22:$BV$22)</f>
        <v/>
      </c>
      <c r="Z21" s="3">
        <f>SUMPRODUCT(React!$C$19:$Z$19,Curves!$AY$22:$BV$22)</f>
        <v/>
      </c>
      <c r="AA21" s="3">
        <f>SUMPRODUCT(React!$C$19:$AA$19,Curves!$AX$22:$BV$22)</f>
        <v/>
      </c>
      <c r="AB21" s="3">
        <f>SUMPRODUCT(React!$C$19:$AB$19,Curves!$AW$22:$BV$22)</f>
        <v/>
      </c>
      <c r="AC21" s="3">
        <f>SUMPRODUCT(React!$C$19:$AC$19,Curves!$AV$22:$BV$22)</f>
        <v/>
      </c>
      <c r="AD21" s="3">
        <f>SUMPRODUCT(React!$C$19:$AD$19,Curves!$AU$22:$BV$22)</f>
        <v/>
      </c>
      <c r="AE21" s="3">
        <f>SUMPRODUCT(React!$C$19:$AE$19,Curves!$AT$22:$BV$22)</f>
        <v/>
      </c>
      <c r="AF21" s="3">
        <f>SUMPRODUCT(React!$C$19:$AF$19,Curves!$AS$22:$BV$22)</f>
        <v/>
      </c>
      <c r="AG21" s="3">
        <f>SUMPRODUCT(React!$C$19:$AG$19,Curves!$AR$22:$BV$22)</f>
        <v/>
      </c>
      <c r="AH21" s="3">
        <f>SUMPRODUCT(React!$C$19:$AH$19,Curves!$AQ$22:$BV$22)</f>
        <v/>
      </c>
      <c r="AI21" s="3">
        <f>SUMPRODUCT(React!$C$19:$AI$19,Curves!$AP$22:$BV$22)</f>
        <v/>
      </c>
      <c r="AJ21" s="3">
        <f>SUMPRODUCT(React!$C$19:$AJ$19,Curves!$AO$22:$BV$22)</f>
        <v/>
      </c>
      <c r="AK21" s="3">
        <f>SUMPRODUCT(React!$C$19:$AK$19,Curves!$AN$22:$BV$22)</f>
        <v/>
      </c>
      <c r="AL21" s="3">
        <f>SUMPRODUCT(React!$C$19:$AL$19,Curves!$AM$22:$BV$22)</f>
        <v/>
      </c>
      <c r="AM21" s="3">
        <f>SUMPRODUCT(React!$C$19:$AM$19,Curves!$AL$22:$BV$22)</f>
        <v/>
      </c>
      <c r="AN21" s="3">
        <f>SUMPRODUCT(React!$C$19:$AN$19,Curves!$AK$22:$BV$22)</f>
        <v/>
      </c>
      <c r="AO21" s="3">
        <f>SUMPRODUCT(React!$C$19:$AO$19,Curves!$AJ$22:$BV$22)</f>
        <v/>
      </c>
      <c r="AP21" s="3">
        <f>SUMPRODUCT(React!$C$19:$AP$19,Curves!$AI$22:$BV$22)</f>
        <v/>
      </c>
      <c r="AQ21" s="3">
        <f>SUMPRODUCT(React!$C$19:$AQ$19,Curves!$AH$22:$BV$22)</f>
        <v/>
      </c>
      <c r="AR21" s="3">
        <f>SUMPRODUCT(React!$C$19:$AR$19,Curves!$AG$22:$BV$22)</f>
        <v/>
      </c>
      <c r="AS21" s="3">
        <f>SUMPRODUCT(React!$C$19:$AS$19,Curves!$AF$22:$BV$22)</f>
        <v/>
      </c>
      <c r="AT21" s="3">
        <f>SUMPRODUCT(React!$C$19:$AT$19,Curves!$AE$22:$BV$22)</f>
        <v/>
      </c>
      <c r="AU21" s="3">
        <f>SUMPRODUCT(React!$C$19:$AU$19,Curves!$AD$22:$BV$22)</f>
        <v/>
      </c>
      <c r="AV21" s="3">
        <f>SUMPRODUCT(React!$C$19:$AV$19,Curves!$AC$22:$BV$22)</f>
        <v/>
      </c>
      <c r="AW21" s="3">
        <f>SUMPRODUCT(React!$C$19:$AW$19,Curves!$AB$22:$BV$22)</f>
        <v/>
      </c>
      <c r="AX21" s="3">
        <f>SUMPRODUCT(React!$C$19:$AX$19,Curves!$AA$22:$BV$22)</f>
        <v/>
      </c>
      <c r="AY21" s="3">
        <f>SUMPRODUCT(React!$C$19:$AY$19,Curves!$Z$22:$BV$22)</f>
        <v/>
      </c>
      <c r="AZ21" s="3">
        <f>SUMPRODUCT(React!$C$19:$AZ$19,Curves!$Y$22:$BV$22)</f>
        <v/>
      </c>
      <c r="BA21" s="3">
        <f>SUMPRODUCT(React!$C$19:$BA$19,Curves!$X$22:$BV$22)</f>
        <v/>
      </c>
      <c r="BB21" s="3">
        <f>SUMPRODUCT(React!$C$19:$BB$19,Curves!$W$22:$BV$22)</f>
        <v/>
      </c>
      <c r="BC21" s="3">
        <f>SUMPRODUCT(React!$C$19:$BC$19,Curves!$V$22:$BV$22)</f>
        <v/>
      </c>
      <c r="BD21" s="3">
        <f>SUMPRODUCT(React!$C$19:$BD$19,Curves!$U$22:$BV$22)</f>
        <v/>
      </c>
      <c r="BE21" s="3">
        <f>SUMPRODUCT(React!$C$19:$BE$19,Curves!$T$22:$BV$22)</f>
        <v/>
      </c>
      <c r="BF21" s="3">
        <f>SUMPRODUCT(React!$C$19:$BF$19,Curves!$S$22:$BV$22)</f>
        <v/>
      </c>
      <c r="BG21" s="3">
        <f>SUMPRODUCT(React!$C$19:$BG$19,Curves!$R$22:$BV$22)</f>
        <v/>
      </c>
      <c r="BH21" s="3">
        <f>SUMPRODUCT(React!$C$19:$BH$19,Curves!$Q$22:$BV$22)</f>
        <v/>
      </c>
      <c r="BI21" s="3">
        <f>SUMPRODUCT(React!$C$19:$BI$19,Curves!$P$22:$BV$22)</f>
        <v/>
      </c>
      <c r="BJ21" s="3">
        <f>SUMPRODUCT(React!$C$19:$BJ$19,Curves!$O$22:$BV$22)</f>
        <v/>
      </c>
      <c r="BK21" s="3">
        <f>SUMPRODUCT(React!$C$19:$BK$19,Curves!$N$22:$BV$22)</f>
        <v/>
      </c>
      <c r="BL21" s="3">
        <f>SUMPRODUCT(React!$C$19:$BL$19,Curves!$M$22:$BV$22)</f>
        <v/>
      </c>
      <c r="BM21" s="3">
        <f>SUMPRODUCT(React!$C$19:$BM$19,Curves!$L$22:$BV$22)</f>
        <v/>
      </c>
      <c r="BN21" s="3">
        <f>SUMPRODUCT(React!$C$19:$BN$19,Curves!$K$22:$BV$22)</f>
        <v/>
      </c>
      <c r="BO21" s="3">
        <f>SUMPRODUCT(React!$C$19:$BO$19,Curves!$J$22:$BV$22)</f>
        <v/>
      </c>
      <c r="BP21" s="3">
        <f>SUMPRODUCT(React!$C$19:$BP$19,Curves!$I$22:$BV$22)</f>
        <v/>
      </c>
      <c r="BQ21" s="3">
        <f>SUMPRODUCT(React!$C$19:$BQ$19,Curves!$H$22:$BV$22)</f>
        <v/>
      </c>
      <c r="BR21" s="3">
        <f>SUMPRODUCT(React!$C$19:$BR$19,Curves!$G$22:$BV$22)</f>
        <v/>
      </c>
      <c r="BS21" s="3">
        <f>SUMPRODUCT(React!$C$19:$BS$19,Curves!$F$22:$BV$22)</f>
        <v/>
      </c>
      <c r="BT21" s="3">
        <f>SUMPRODUCT(React!$C$19:$BT$19,Curves!$E$22:$BV$22)</f>
        <v/>
      </c>
      <c r="BU21" s="3">
        <f>SUMPRODUCT(React!$C$19:$BU$19,Curves!$D$22:$BV$22)</f>
        <v/>
      </c>
      <c r="BV21" s="3">
        <f>SUMPRODUCT(React!$C$19:$BV$19,Curves!$C$22:$BV$22)</f>
        <v/>
      </c>
    </row>
    <row r="22">
      <c r="A22" t="inlineStr">
        <is>
          <t>churned</t>
        </is>
      </c>
      <c r="B22" t="inlineStr">
        <is>
          <t>US_CA|BASIC_M</t>
        </is>
      </c>
      <c r="C22" s="3">
        <f>React!$C$19*Curves!$BV$18</f>
        <v/>
      </c>
      <c r="D22" s="3">
        <f>SUMPRODUCT(React!$C$19:$D$19,Curves!$BU$18:$BV$18)</f>
        <v/>
      </c>
      <c r="E22" s="3">
        <f>SUMPRODUCT(React!$C$19:$E$19,Curves!$BT$18:$BV$18)</f>
        <v/>
      </c>
      <c r="F22" s="3">
        <f>SUMPRODUCT(React!$C$19:$F$19,Curves!$BS$18:$BV$18)</f>
        <v/>
      </c>
      <c r="G22" s="3">
        <f>SUMPRODUCT(React!$C$19:$G$19,Curves!$BR$18:$BV$18)</f>
        <v/>
      </c>
      <c r="H22" s="3">
        <f>SUMPRODUCT(React!$C$19:$H$19,Curves!$BQ$18:$BV$18)</f>
        <v/>
      </c>
      <c r="I22" s="3">
        <f>SUMPRODUCT(React!$C$19:$I$19,Curves!$BP$18:$BV$18)</f>
        <v/>
      </c>
      <c r="J22" s="3">
        <f>SUMPRODUCT(React!$C$19:$J$19,Curves!$BO$18:$BV$18)</f>
        <v/>
      </c>
      <c r="K22" s="3">
        <f>SUMPRODUCT(React!$C$19:$K$19,Curves!$BN$18:$BV$18)</f>
        <v/>
      </c>
      <c r="L22" s="3">
        <f>SUMPRODUCT(React!$C$19:$L$19,Curves!$BM$18:$BV$18)</f>
        <v/>
      </c>
      <c r="M22" s="3">
        <f>SUMPRODUCT(React!$C$19:$M$19,Curves!$BL$18:$BV$18)</f>
        <v/>
      </c>
      <c r="N22" s="3">
        <f>SUMPRODUCT(React!$C$19:$N$19,Curves!$BK$18:$BV$18)</f>
        <v/>
      </c>
      <c r="O22" s="3">
        <f>SUMPRODUCT(React!$C$19:$O$19,Curves!$BJ$18:$BV$18)</f>
        <v/>
      </c>
      <c r="P22" s="3">
        <f>SUMPRODUCT(React!$C$19:$P$19,Curves!$BI$18:$BV$18)</f>
        <v/>
      </c>
      <c r="Q22" s="3">
        <f>SUMPRODUCT(React!$C$19:$Q$19,Curves!$BH$18:$BV$18)</f>
        <v/>
      </c>
      <c r="R22" s="3">
        <f>SUMPRODUCT(React!$C$19:$R$19,Curves!$BG$18:$BV$18)</f>
        <v/>
      </c>
      <c r="S22" s="3">
        <f>SUMPRODUCT(React!$C$19:$S$19,Curves!$BF$18:$BV$18)</f>
        <v/>
      </c>
      <c r="T22" s="3">
        <f>SUMPRODUCT(React!$C$19:$T$19,Curves!$BE$18:$BV$18)</f>
        <v/>
      </c>
      <c r="U22" s="3">
        <f>SUMPRODUCT(React!$C$19:$U$19,Curves!$BD$18:$BV$18)</f>
        <v/>
      </c>
      <c r="V22" s="3">
        <f>SUMPRODUCT(React!$C$19:$V$19,Curves!$BC$18:$BV$18)</f>
        <v/>
      </c>
      <c r="W22" s="3">
        <f>SUMPRODUCT(React!$C$19:$W$19,Curves!$BB$18:$BV$18)</f>
        <v/>
      </c>
      <c r="X22" s="3">
        <f>SUMPRODUCT(React!$C$19:$X$19,Curves!$BA$18:$BV$18)</f>
        <v/>
      </c>
      <c r="Y22" s="3">
        <f>SUMPRODUCT(React!$C$19:$Y$19,Curves!$AZ$18:$BV$18)</f>
        <v/>
      </c>
      <c r="Z22" s="3">
        <f>SUMPRODUCT(React!$C$19:$Z$19,Curves!$AY$18:$BV$18)</f>
        <v/>
      </c>
      <c r="AA22" s="3">
        <f>SUMPRODUCT(React!$C$19:$AA$19,Curves!$AX$18:$BV$18)</f>
        <v/>
      </c>
      <c r="AB22" s="3">
        <f>SUMPRODUCT(React!$C$19:$AB$19,Curves!$AW$18:$BV$18)</f>
        <v/>
      </c>
      <c r="AC22" s="3">
        <f>SUMPRODUCT(React!$C$19:$AC$19,Curves!$AV$18:$BV$18)</f>
        <v/>
      </c>
      <c r="AD22" s="3">
        <f>SUMPRODUCT(React!$C$19:$AD$19,Curves!$AU$18:$BV$18)</f>
        <v/>
      </c>
      <c r="AE22" s="3">
        <f>SUMPRODUCT(React!$C$19:$AE$19,Curves!$AT$18:$BV$18)</f>
        <v/>
      </c>
      <c r="AF22" s="3">
        <f>SUMPRODUCT(React!$C$19:$AF$19,Curves!$AS$18:$BV$18)</f>
        <v/>
      </c>
      <c r="AG22" s="3">
        <f>SUMPRODUCT(React!$C$19:$AG$19,Curves!$AR$18:$BV$18)</f>
        <v/>
      </c>
      <c r="AH22" s="3">
        <f>SUMPRODUCT(React!$C$19:$AH$19,Curves!$AQ$18:$BV$18)</f>
        <v/>
      </c>
      <c r="AI22" s="3">
        <f>SUMPRODUCT(React!$C$19:$AI$19,Curves!$AP$18:$BV$18)</f>
        <v/>
      </c>
      <c r="AJ22" s="3">
        <f>SUMPRODUCT(React!$C$19:$AJ$19,Curves!$AO$18:$BV$18)</f>
        <v/>
      </c>
      <c r="AK22" s="3">
        <f>SUMPRODUCT(React!$C$19:$AK$19,Curves!$AN$18:$BV$18)</f>
        <v/>
      </c>
      <c r="AL22" s="3">
        <f>SUMPRODUCT(React!$C$19:$AL$19,Curves!$AM$18:$BV$18)</f>
        <v/>
      </c>
      <c r="AM22" s="3">
        <f>SUMPRODUCT(React!$C$19:$AM$19,Curves!$AL$18:$BV$18)</f>
        <v/>
      </c>
      <c r="AN22" s="3">
        <f>SUMPRODUCT(React!$C$19:$AN$19,Curves!$AK$18:$BV$18)</f>
        <v/>
      </c>
      <c r="AO22" s="3">
        <f>SUMPRODUCT(React!$C$19:$AO$19,Curves!$AJ$18:$BV$18)</f>
        <v/>
      </c>
      <c r="AP22" s="3">
        <f>SUMPRODUCT(React!$C$19:$AP$19,Curves!$AI$18:$BV$18)</f>
        <v/>
      </c>
      <c r="AQ22" s="3">
        <f>SUMPRODUCT(React!$C$19:$AQ$19,Curves!$AH$18:$BV$18)</f>
        <v/>
      </c>
      <c r="AR22" s="3">
        <f>SUMPRODUCT(React!$C$19:$AR$19,Curves!$AG$18:$BV$18)</f>
        <v/>
      </c>
      <c r="AS22" s="3">
        <f>SUMPRODUCT(React!$C$19:$AS$19,Curves!$AF$18:$BV$18)</f>
        <v/>
      </c>
      <c r="AT22" s="3">
        <f>SUMPRODUCT(React!$C$19:$AT$19,Curves!$AE$18:$BV$18)</f>
        <v/>
      </c>
      <c r="AU22" s="3">
        <f>SUMPRODUCT(React!$C$19:$AU$19,Curves!$AD$18:$BV$18)</f>
        <v/>
      </c>
      <c r="AV22" s="3">
        <f>SUMPRODUCT(React!$C$19:$AV$19,Curves!$AC$18:$BV$18)</f>
        <v/>
      </c>
      <c r="AW22" s="3">
        <f>SUMPRODUCT(React!$C$19:$AW$19,Curves!$AB$18:$BV$18)</f>
        <v/>
      </c>
      <c r="AX22" s="3">
        <f>SUMPRODUCT(React!$C$19:$AX$19,Curves!$AA$18:$BV$18)</f>
        <v/>
      </c>
      <c r="AY22" s="3">
        <f>SUMPRODUCT(React!$C$19:$AY$19,Curves!$Z$18:$BV$18)</f>
        <v/>
      </c>
      <c r="AZ22" s="3">
        <f>SUMPRODUCT(React!$C$19:$AZ$19,Curves!$Y$18:$BV$18)</f>
        <v/>
      </c>
      <c r="BA22" s="3">
        <f>SUMPRODUCT(React!$C$19:$BA$19,Curves!$X$18:$BV$18)</f>
        <v/>
      </c>
      <c r="BB22" s="3">
        <f>SUMPRODUCT(React!$C$19:$BB$19,Curves!$W$18:$BV$18)</f>
        <v/>
      </c>
      <c r="BC22" s="3">
        <f>SUMPRODUCT(React!$C$19:$BC$19,Curves!$V$18:$BV$18)</f>
        <v/>
      </c>
      <c r="BD22" s="3">
        <f>SUMPRODUCT(React!$C$19:$BD$19,Curves!$U$18:$BV$18)</f>
        <v/>
      </c>
      <c r="BE22" s="3">
        <f>SUMPRODUCT(React!$C$19:$BE$19,Curves!$T$18:$BV$18)</f>
        <v/>
      </c>
      <c r="BF22" s="3">
        <f>SUMPRODUCT(React!$C$19:$BF$19,Curves!$S$18:$BV$18)</f>
        <v/>
      </c>
      <c r="BG22" s="3">
        <f>SUMPRODUCT(React!$C$19:$BG$19,Curves!$R$18:$BV$18)</f>
        <v/>
      </c>
      <c r="BH22" s="3">
        <f>SUMPRODUCT(React!$C$19:$BH$19,Curves!$Q$18:$BV$18)</f>
        <v/>
      </c>
      <c r="BI22" s="3">
        <f>SUMPRODUCT(React!$C$19:$BI$19,Curves!$P$18:$BV$18)</f>
        <v/>
      </c>
      <c r="BJ22" s="3">
        <f>SUMPRODUCT(React!$C$19:$BJ$19,Curves!$O$18:$BV$18)</f>
        <v/>
      </c>
      <c r="BK22" s="3">
        <f>SUMPRODUCT(React!$C$19:$BK$19,Curves!$N$18:$BV$18)</f>
        <v/>
      </c>
      <c r="BL22" s="3">
        <f>SUMPRODUCT(React!$C$19:$BL$19,Curves!$M$18:$BV$18)</f>
        <v/>
      </c>
      <c r="BM22" s="3">
        <f>SUMPRODUCT(React!$C$19:$BM$19,Curves!$L$18:$BV$18)</f>
        <v/>
      </c>
      <c r="BN22" s="3">
        <f>SUMPRODUCT(React!$C$19:$BN$19,Curves!$K$18:$BV$18)</f>
        <v/>
      </c>
      <c r="BO22" s="3">
        <f>SUMPRODUCT(React!$C$19:$BO$19,Curves!$J$18:$BV$18)</f>
        <v/>
      </c>
      <c r="BP22" s="3">
        <f>SUMPRODUCT(React!$C$19:$BP$19,Curves!$I$18:$BV$18)</f>
        <v/>
      </c>
      <c r="BQ22" s="3">
        <f>SUMPRODUCT(React!$C$19:$BQ$19,Curves!$H$18:$BV$18)</f>
        <v/>
      </c>
      <c r="BR22" s="3">
        <f>SUMPRODUCT(React!$C$19:$BR$19,Curves!$G$18:$BV$18)</f>
        <v/>
      </c>
      <c r="BS22" s="3">
        <f>SUMPRODUCT(React!$C$19:$BS$19,Curves!$F$18:$BV$18)</f>
        <v/>
      </c>
      <c r="BT22" s="3">
        <f>SUMPRODUCT(React!$C$19:$BT$19,Curves!$E$18:$BV$18)</f>
        <v/>
      </c>
      <c r="BU22" s="3">
        <f>SUMPRODUCT(React!$C$19:$BU$19,Curves!$D$18:$BV$18)</f>
        <v/>
      </c>
      <c r="BV22" s="3">
        <f>SUMPRODUCT(React!$C$19:$BV$19,Curves!$C$18:$BV$18)</f>
        <v/>
      </c>
    </row>
    <row r="24">
      <c r="A24" t="inlineStr">
        <is>
          <t>churn pool inflow</t>
        </is>
      </c>
      <c r="B24" t="inlineStr">
        <is>
          <t>US_CA|BASIC_A</t>
        </is>
      </c>
      <c r="C24" s="3">
        <f>Paid!C17+Legacy!C19</f>
        <v/>
      </c>
      <c r="D24" s="3">
        <f>Paid!D17+Legacy!D19</f>
        <v/>
      </c>
      <c r="E24" s="3">
        <f>Paid!E17+Legacy!E19</f>
        <v/>
      </c>
      <c r="F24" s="3">
        <f>Paid!F17+Legacy!F19</f>
        <v/>
      </c>
      <c r="G24" s="3">
        <f>Paid!G17+Legacy!G19</f>
        <v/>
      </c>
      <c r="H24" s="3">
        <f>Paid!H17+Legacy!H19</f>
        <v/>
      </c>
      <c r="I24" s="3">
        <f>Paid!I17+Legacy!I19</f>
        <v/>
      </c>
      <c r="J24" s="3">
        <f>Paid!J17+Legacy!J19</f>
        <v/>
      </c>
      <c r="K24" s="3">
        <f>Paid!K17+Legacy!K19</f>
        <v/>
      </c>
      <c r="L24" s="3">
        <f>Paid!L17+Legacy!L19</f>
        <v/>
      </c>
      <c r="M24" s="3">
        <f>Paid!M17+Legacy!M19</f>
        <v/>
      </c>
      <c r="N24" s="3">
        <f>Paid!N17+Legacy!N19</f>
        <v/>
      </c>
      <c r="O24" s="3">
        <f>Paid!O17+Legacy!O19</f>
        <v/>
      </c>
      <c r="P24" s="3">
        <f>Paid!P17+Legacy!P19</f>
        <v/>
      </c>
      <c r="Q24" s="3">
        <f>Paid!Q17+Legacy!Q19</f>
        <v/>
      </c>
      <c r="R24" s="3">
        <f>Paid!R17+Legacy!R19</f>
        <v/>
      </c>
      <c r="S24" s="3">
        <f>Paid!S17+Legacy!S19</f>
        <v/>
      </c>
      <c r="T24" s="3">
        <f>Paid!T17+Legacy!T19</f>
        <v/>
      </c>
      <c r="U24" s="3">
        <f>Paid!U17+Legacy!U19</f>
        <v/>
      </c>
      <c r="V24" s="3">
        <f>Paid!V17+Legacy!V19</f>
        <v/>
      </c>
      <c r="W24" s="3">
        <f>Paid!W17+Legacy!W19</f>
        <v/>
      </c>
      <c r="X24" s="3">
        <f>Paid!X17+Legacy!X19</f>
        <v/>
      </c>
      <c r="Y24" s="3">
        <f>Paid!Y17+Legacy!Y19</f>
        <v/>
      </c>
      <c r="Z24" s="3">
        <f>Paid!Z17+Legacy!Z19</f>
        <v/>
      </c>
      <c r="AA24" s="3">
        <f>Paid!AA17+Legacy!AA19</f>
        <v/>
      </c>
      <c r="AB24" s="3">
        <f>Paid!AB17+Legacy!AB19</f>
        <v/>
      </c>
      <c r="AC24" s="3">
        <f>Paid!AC17+Legacy!AC19</f>
        <v/>
      </c>
      <c r="AD24" s="3">
        <f>Paid!AD17+Legacy!AD19</f>
        <v/>
      </c>
      <c r="AE24" s="3">
        <f>Paid!AE17+Legacy!AE19</f>
        <v/>
      </c>
      <c r="AF24" s="3">
        <f>Paid!AF17+Legacy!AF19</f>
        <v/>
      </c>
      <c r="AG24" s="3">
        <f>Paid!AG17+Legacy!AG19</f>
        <v/>
      </c>
      <c r="AH24" s="3">
        <f>Paid!AH17+Legacy!AH19</f>
        <v/>
      </c>
      <c r="AI24" s="3">
        <f>Paid!AI17+Legacy!AI19</f>
        <v/>
      </c>
      <c r="AJ24" s="3">
        <f>Paid!AJ17+Legacy!AJ19</f>
        <v/>
      </c>
      <c r="AK24" s="3">
        <f>Paid!AK17+Legacy!AK19</f>
        <v/>
      </c>
      <c r="AL24" s="3">
        <f>Paid!AL17+Legacy!AL19</f>
        <v/>
      </c>
      <c r="AM24" s="3">
        <f>Paid!AM17+Legacy!AM19</f>
        <v/>
      </c>
      <c r="AN24" s="3">
        <f>Paid!AN17+Legacy!AN19</f>
        <v/>
      </c>
      <c r="AO24" s="3">
        <f>Paid!AO17+Legacy!AO19</f>
        <v/>
      </c>
      <c r="AP24" s="3">
        <f>Paid!AP17+Legacy!AP19</f>
        <v/>
      </c>
      <c r="AQ24" s="3">
        <f>Paid!AQ17+Legacy!AQ19</f>
        <v/>
      </c>
      <c r="AR24" s="3">
        <f>Paid!AR17+Legacy!AR19</f>
        <v/>
      </c>
      <c r="AS24" s="3">
        <f>Paid!AS17+Legacy!AS19</f>
        <v/>
      </c>
      <c r="AT24" s="3">
        <f>Paid!AT17+Legacy!AT19</f>
        <v/>
      </c>
      <c r="AU24" s="3">
        <f>Paid!AU17+Legacy!AU19</f>
        <v/>
      </c>
      <c r="AV24" s="3">
        <f>Paid!AV17+Legacy!AV19</f>
        <v/>
      </c>
      <c r="AW24" s="3">
        <f>Paid!AW17+Legacy!AW19</f>
        <v/>
      </c>
      <c r="AX24" s="3">
        <f>Paid!AX17+Legacy!AX19</f>
        <v/>
      </c>
      <c r="AY24" s="3">
        <f>Paid!AY17+Legacy!AY19</f>
        <v/>
      </c>
      <c r="AZ24" s="3">
        <f>Paid!AZ17+Legacy!AZ19</f>
        <v/>
      </c>
      <c r="BA24" s="3">
        <f>Paid!BA17+Legacy!BA19</f>
        <v/>
      </c>
      <c r="BB24" s="3">
        <f>Paid!BB17+Legacy!BB19</f>
        <v/>
      </c>
      <c r="BC24" s="3">
        <f>Paid!BC17+Legacy!BC19</f>
        <v/>
      </c>
      <c r="BD24" s="3">
        <f>Paid!BD17+Legacy!BD19</f>
        <v/>
      </c>
      <c r="BE24" s="3">
        <f>Paid!BE17+Legacy!BE19</f>
        <v/>
      </c>
      <c r="BF24" s="3">
        <f>Paid!BF17+Legacy!BF19</f>
        <v/>
      </c>
      <c r="BG24" s="3">
        <f>Paid!BG17+Legacy!BG19</f>
        <v/>
      </c>
      <c r="BH24" s="3">
        <f>Paid!BH17+Legacy!BH19</f>
        <v/>
      </c>
      <c r="BI24" s="3">
        <f>Paid!BI17+Legacy!BI19</f>
        <v/>
      </c>
      <c r="BJ24" s="3">
        <f>Paid!BJ17+Legacy!BJ19</f>
        <v/>
      </c>
      <c r="BK24" s="3">
        <f>Paid!BK17+Legacy!BK19</f>
        <v/>
      </c>
      <c r="BL24" s="3">
        <f>Paid!BL17+Legacy!BL19</f>
        <v/>
      </c>
      <c r="BM24" s="3">
        <f>Paid!BM17+Legacy!BM19</f>
        <v/>
      </c>
      <c r="BN24" s="3">
        <f>Paid!BN17+Legacy!BN19</f>
        <v/>
      </c>
      <c r="BO24" s="3">
        <f>Paid!BO17+Legacy!BO19</f>
        <v/>
      </c>
      <c r="BP24" s="3">
        <f>Paid!BP17+Legacy!BP19</f>
        <v/>
      </c>
      <c r="BQ24" s="3">
        <f>Paid!BQ17+Legacy!BQ19</f>
        <v/>
      </c>
      <c r="BR24" s="3">
        <f>Paid!BR17+Legacy!BR19</f>
        <v/>
      </c>
      <c r="BS24" s="3">
        <f>Paid!BS17+Legacy!BS19</f>
        <v/>
      </c>
      <c r="BT24" s="3">
        <f>Paid!BT17+Legacy!BT19</f>
        <v/>
      </c>
      <c r="BU24" s="3">
        <f>Paid!BU17+Legacy!BU19</f>
        <v/>
      </c>
      <c r="BV24" s="3">
        <f>Paid!BV17+Legacy!BV19</f>
        <v/>
      </c>
    </row>
    <row r="25">
      <c r="A25" t="inlineStr">
        <is>
          <t>reactivations out</t>
        </is>
      </c>
      <c r="B25" t="inlineStr">
        <is>
          <t>US_CA|BASIC_A</t>
        </is>
      </c>
      <c r="C25" s="3">
        <f>React!$C$24*Curves!$BV$19</f>
        <v/>
      </c>
      <c r="D25" s="3">
        <f>SUMPRODUCT(React!$C$24:$D$24,Curves!$BU$19:$BV$19)</f>
        <v/>
      </c>
      <c r="E25" s="3">
        <f>SUMPRODUCT(React!$C$24:$E$24,Curves!$BT$19:$BV$19)</f>
        <v/>
      </c>
      <c r="F25" s="3">
        <f>SUMPRODUCT(React!$C$24:$F$24,Curves!$BS$19:$BV$19)</f>
        <v/>
      </c>
      <c r="G25" s="3">
        <f>SUMPRODUCT(React!$C$24:$G$24,Curves!$BR$19:$BV$19)</f>
        <v/>
      </c>
      <c r="H25" s="3">
        <f>SUMPRODUCT(React!$C$24:$H$24,Curves!$BQ$19:$BV$19)</f>
        <v/>
      </c>
      <c r="I25" s="3">
        <f>SUMPRODUCT(React!$C$24:$I$24,Curves!$BP$19:$BV$19)</f>
        <v/>
      </c>
      <c r="J25" s="3">
        <f>SUMPRODUCT(React!$C$24:$J$24,Curves!$BO$19:$BV$19)</f>
        <v/>
      </c>
      <c r="K25" s="3">
        <f>SUMPRODUCT(React!$C$24:$K$24,Curves!$BN$19:$BV$19)</f>
        <v/>
      </c>
      <c r="L25" s="3">
        <f>SUMPRODUCT(React!$C$24:$L$24,Curves!$BM$19:$BV$19)</f>
        <v/>
      </c>
      <c r="M25" s="3">
        <f>SUMPRODUCT(React!$C$24:$M$24,Curves!$BL$19:$BV$19)</f>
        <v/>
      </c>
      <c r="N25" s="3">
        <f>SUMPRODUCT(React!$C$24:$N$24,Curves!$BK$19:$BV$19)</f>
        <v/>
      </c>
      <c r="O25" s="3">
        <f>SUMPRODUCT(React!$C$24:$O$24,Curves!$BJ$19:$BV$19)</f>
        <v/>
      </c>
      <c r="P25" s="3">
        <f>SUMPRODUCT(React!$C$24:$P$24,Curves!$BI$19:$BV$19)</f>
        <v/>
      </c>
      <c r="Q25" s="3">
        <f>SUMPRODUCT(React!$C$24:$Q$24,Curves!$BH$19:$BV$19)</f>
        <v/>
      </c>
      <c r="R25" s="3">
        <f>SUMPRODUCT(React!$C$24:$R$24,Curves!$BG$19:$BV$19)</f>
        <v/>
      </c>
      <c r="S25" s="3">
        <f>SUMPRODUCT(React!$C$24:$S$24,Curves!$BF$19:$BV$19)</f>
        <v/>
      </c>
      <c r="T25" s="3">
        <f>SUMPRODUCT(React!$C$24:$T$24,Curves!$BE$19:$BV$19)</f>
        <v/>
      </c>
      <c r="U25" s="3">
        <f>SUMPRODUCT(React!$C$24:$U$24,Curves!$BD$19:$BV$19)</f>
        <v/>
      </c>
      <c r="V25" s="3">
        <f>SUMPRODUCT(React!$C$24:$V$24,Curves!$BC$19:$BV$19)</f>
        <v/>
      </c>
      <c r="W25" s="3">
        <f>SUMPRODUCT(React!$C$24:$W$24,Curves!$BB$19:$BV$19)</f>
        <v/>
      </c>
      <c r="X25" s="3">
        <f>SUMPRODUCT(React!$C$24:$X$24,Curves!$BA$19:$BV$19)</f>
        <v/>
      </c>
      <c r="Y25" s="3">
        <f>SUMPRODUCT(React!$C$24:$Y$24,Curves!$AZ$19:$BV$19)</f>
        <v/>
      </c>
      <c r="Z25" s="3">
        <f>SUMPRODUCT(React!$C$24:$Z$24,Curves!$AY$19:$BV$19)</f>
        <v/>
      </c>
      <c r="AA25" s="3">
        <f>SUMPRODUCT(React!$C$24:$AA$24,Curves!$AX$19:$BV$19)</f>
        <v/>
      </c>
      <c r="AB25" s="3">
        <f>SUMPRODUCT(React!$C$24:$AB$24,Curves!$AW$19:$BV$19)</f>
        <v/>
      </c>
      <c r="AC25" s="3">
        <f>SUMPRODUCT(React!$C$24:$AC$24,Curves!$AV$19:$BV$19)</f>
        <v/>
      </c>
      <c r="AD25" s="3">
        <f>SUMPRODUCT(React!$C$24:$AD$24,Curves!$AU$19:$BV$19)</f>
        <v/>
      </c>
      <c r="AE25" s="3">
        <f>SUMPRODUCT(React!$C$24:$AE$24,Curves!$AT$19:$BV$19)</f>
        <v/>
      </c>
      <c r="AF25" s="3">
        <f>SUMPRODUCT(React!$C$24:$AF$24,Curves!$AS$19:$BV$19)</f>
        <v/>
      </c>
      <c r="AG25" s="3">
        <f>SUMPRODUCT(React!$C$24:$AG$24,Curves!$AR$19:$BV$19)</f>
        <v/>
      </c>
      <c r="AH25" s="3">
        <f>SUMPRODUCT(React!$C$24:$AH$24,Curves!$AQ$19:$BV$19)</f>
        <v/>
      </c>
      <c r="AI25" s="3">
        <f>SUMPRODUCT(React!$C$24:$AI$24,Curves!$AP$19:$BV$19)</f>
        <v/>
      </c>
      <c r="AJ25" s="3">
        <f>SUMPRODUCT(React!$C$24:$AJ$24,Curves!$AO$19:$BV$19)</f>
        <v/>
      </c>
      <c r="AK25" s="3">
        <f>SUMPRODUCT(React!$C$24:$AK$24,Curves!$AN$19:$BV$19)</f>
        <v/>
      </c>
      <c r="AL25" s="3">
        <f>SUMPRODUCT(React!$C$24:$AL$24,Curves!$AM$19:$BV$19)</f>
        <v/>
      </c>
      <c r="AM25" s="3">
        <f>SUMPRODUCT(React!$C$24:$AM$24,Curves!$AL$19:$BV$19)</f>
        <v/>
      </c>
      <c r="AN25" s="3">
        <f>SUMPRODUCT(React!$C$24:$AN$24,Curves!$AK$19:$BV$19)</f>
        <v/>
      </c>
      <c r="AO25" s="3">
        <f>SUMPRODUCT(React!$C$24:$AO$24,Curves!$AJ$19:$BV$19)</f>
        <v/>
      </c>
      <c r="AP25" s="3">
        <f>SUMPRODUCT(React!$C$24:$AP$24,Curves!$AI$19:$BV$19)</f>
        <v/>
      </c>
      <c r="AQ25" s="3">
        <f>SUMPRODUCT(React!$C$24:$AQ$24,Curves!$AH$19:$BV$19)</f>
        <v/>
      </c>
      <c r="AR25" s="3">
        <f>SUMPRODUCT(React!$C$24:$AR$24,Curves!$AG$19:$BV$19)</f>
        <v/>
      </c>
      <c r="AS25" s="3">
        <f>SUMPRODUCT(React!$C$24:$AS$24,Curves!$AF$19:$BV$19)</f>
        <v/>
      </c>
      <c r="AT25" s="3">
        <f>SUMPRODUCT(React!$C$24:$AT$24,Curves!$AE$19:$BV$19)</f>
        <v/>
      </c>
      <c r="AU25" s="3">
        <f>SUMPRODUCT(React!$C$24:$AU$24,Curves!$AD$19:$BV$19)</f>
        <v/>
      </c>
      <c r="AV25" s="3">
        <f>SUMPRODUCT(React!$C$24:$AV$24,Curves!$AC$19:$BV$19)</f>
        <v/>
      </c>
      <c r="AW25" s="3">
        <f>SUMPRODUCT(React!$C$24:$AW$24,Curves!$AB$19:$BV$19)</f>
        <v/>
      </c>
      <c r="AX25" s="3">
        <f>SUMPRODUCT(React!$C$24:$AX$24,Curves!$AA$19:$BV$19)</f>
        <v/>
      </c>
      <c r="AY25" s="3">
        <f>SUMPRODUCT(React!$C$24:$AY$24,Curves!$Z$19:$BV$19)</f>
        <v/>
      </c>
      <c r="AZ25" s="3">
        <f>SUMPRODUCT(React!$C$24:$AZ$24,Curves!$Y$19:$BV$19)</f>
        <v/>
      </c>
      <c r="BA25" s="3">
        <f>SUMPRODUCT(React!$C$24:$BA$24,Curves!$X$19:$BV$19)</f>
        <v/>
      </c>
      <c r="BB25" s="3">
        <f>SUMPRODUCT(React!$C$24:$BB$24,Curves!$W$19:$BV$19)</f>
        <v/>
      </c>
      <c r="BC25" s="3">
        <f>SUMPRODUCT(React!$C$24:$BC$24,Curves!$V$19:$BV$19)</f>
        <v/>
      </c>
      <c r="BD25" s="3">
        <f>SUMPRODUCT(React!$C$24:$BD$24,Curves!$U$19:$BV$19)</f>
        <v/>
      </c>
      <c r="BE25" s="3">
        <f>SUMPRODUCT(React!$C$24:$BE$24,Curves!$T$19:$BV$19)</f>
        <v/>
      </c>
      <c r="BF25" s="3">
        <f>SUMPRODUCT(React!$C$24:$BF$24,Curves!$S$19:$BV$19)</f>
        <v/>
      </c>
      <c r="BG25" s="3">
        <f>SUMPRODUCT(React!$C$24:$BG$24,Curves!$R$19:$BV$19)</f>
        <v/>
      </c>
      <c r="BH25" s="3">
        <f>SUMPRODUCT(React!$C$24:$BH$24,Curves!$Q$19:$BV$19)</f>
        <v/>
      </c>
      <c r="BI25" s="3">
        <f>SUMPRODUCT(React!$C$24:$BI$24,Curves!$P$19:$BV$19)</f>
        <v/>
      </c>
      <c r="BJ25" s="3">
        <f>SUMPRODUCT(React!$C$24:$BJ$24,Curves!$O$19:$BV$19)</f>
        <v/>
      </c>
      <c r="BK25" s="3">
        <f>SUMPRODUCT(React!$C$24:$BK$24,Curves!$N$19:$BV$19)</f>
        <v/>
      </c>
      <c r="BL25" s="3">
        <f>SUMPRODUCT(React!$C$24:$BL$24,Curves!$M$19:$BV$19)</f>
        <v/>
      </c>
      <c r="BM25" s="3">
        <f>SUMPRODUCT(React!$C$24:$BM$24,Curves!$L$19:$BV$19)</f>
        <v/>
      </c>
      <c r="BN25" s="3">
        <f>SUMPRODUCT(React!$C$24:$BN$24,Curves!$K$19:$BV$19)</f>
        <v/>
      </c>
      <c r="BO25" s="3">
        <f>SUMPRODUCT(React!$C$24:$BO$24,Curves!$J$19:$BV$19)</f>
        <v/>
      </c>
      <c r="BP25" s="3">
        <f>SUMPRODUCT(React!$C$24:$BP$24,Curves!$I$19:$BV$19)</f>
        <v/>
      </c>
      <c r="BQ25" s="3">
        <f>SUMPRODUCT(React!$C$24:$BQ$24,Curves!$H$19:$BV$19)</f>
        <v/>
      </c>
      <c r="BR25" s="3">
        <f>SUMPRODUCT(React!$C$24:$BR$24,Curves!$G$19:$BV$19)</f>
        <v/>
      </c>
      <c r="BS25" s="3">
        <f>SUMPRODUCT(React!$C$24:$BS$24,Curves!$F$19:$BV$19)</f>
        <v/>
      </c>
      <c r="BT25" s="3">
        <f>SUMPRODUCT(React!$C$24:$BT$24,Curves!$E$19:$BV$19)</f>
        <v/>
      </c>
      <c r="BU25" s="3">
        <f>SUMPRODUCT(React!$C$24:$BU$24,Curves!$D$19:$BV$19)</f>
        <v/>
      </c>
      <c r="BV25" s="3">
        <f>SUMPRODUCT(React!$C$24:$BV$24,Curves!$C$19:$BV$19)</f>
        <v/>
      </c>
    </row>
    <row r="26">
      <c r="A26" t="inlineStr">
        <is>
          <t>reactivated in</t>
        </is>
      </c>
      <c r="B26" t="inlineStr">
        <is>
          <t>US_CA|BASIC_A</t>
        </is>
      </c>
      <c r="C26" s="3">
        <f>0</f>
        <v/>
      </c>
      <c r="D26" s="3">
        <f>0</f>
        <v/>
      </c>
      <c r="E26" s="3">
        <f>0</f>
        <v/>
      </c>
      <c r="F26" s="3">
        <f>0</f>
        <v/>
      </c>
      <c r="G26" s="3">
        <f>0</f>
        <v/>
      </c>
      <c r="H26" s="3">
        <f>0</f>
        <v/>
      </c>
      <c r="I26" s="3">
        <f>0</f>
        <v/>
      </c>
      <c r="J26" s="3">
        <f>0</f>
        <v/>
      </c>
      <c r="K26" s="3">
        <f>0</f>
        <v/>
      </c>
      <c r="L26" s="3">
        <f>0</f>
        <v/>
      </c>
      <c r="M26" s="3">
        <f>0</f>
        <v/>
      </c>
      <c r="N26" s="3">
        <f>0</f>
        <v/>
      </c>
      <c r="O26" s="3">
        <f>0</f>
        <v/>
      </c>
      <c r="P26" s="3">
        <f>0</f>
        <v/>
      </c>
      <c r="Q26" s="3">
        <f>0</f>
        <v/>
      </c>
      <c r="R26" s="3">
        <f>0</f>
        <v/>
      </c>
      <c r="S26" s="3">
        <f>0</f>
        <v/>
      </c>
      <c r="T26" s="3">
        <f>0</f>
        <v/>
      </c>
      <c r="U26" s="3">
        <f>0</f>
        <v/>
      </c>
      <c r="V26" s="3">
        <f>0</f>
        <v/>
      </c>
      <c r="W26" s="3">
        <f>0</f>
        <v/>
      </c>
      <c r="X26" s="3">
        <f>0</f>
        <v/>
      </c>
      <c r="Y26" s="3">
        <f>0</f>
        <v/>
      </c>
      <c r="Z26" s="3">
        <f>0</f>
        <v/>
      </c>
      <c r="AA26" s="3">
        <f>0</f>
        <v/>
      </c>
      <c r="AB26" s="3">
        <f>0</f>
        <v/>
      </c>
      <c r="AC26" s="3">
        <f>0</f>
        <v/>
      </c>
      <c r="AD26" s="3">
        <f>0</f>
        <v/>
      </c>
      <c r="AE26" s="3">
        <f>0</f>
        <v/>
      </c>
      <c r="AF26" s="3">
        <f>0</f>
        <v/>
      </c>
      <c r="AG26" s="3">
        <f>0</f>
        <v/>
      </c>
      <c r="AH26" s="3">
        <f>0</f>
        <v/>
      </c>
      <c r="AI26" s="3">
        <f>0</f>
        <v/>
      </c>
      <c r="AJ26" s="3">
        <f>0</f>
        <v/>
      </c>
      <c r="AK26" s="3">
        <f>0</f>
        <v/>
      </c>
      <c r="AL26" s="3">
        <f>0</f>
        <v/>
      </c>
      <c r="AM26" s="3">
        <f>0</f>
        <v/>
      </c>
      <c r="AN26" s="3">
        <f>0</f>
        <v/>
      </c>
      <c r="AO26" s="3">
        <f>0</f>
        <v/>
      </c>
      <c r="AP26" s="3">
        <f>0</f>
        <v/>
      </c>
      <c r="AQ26" s="3">
        <f>0</f>
        <v/>
      </c>
      <c r="AR26" s="3">
        <f>0</f>
        <v/>
      </c>
      <c r="AS26" s="3">
        <f>0</f>
        <v/>
      </c>
      <c r="AT26" s="3">
        <f>0</f>
        <v/>
      </c>
      <c r="AU26" s="3">
        <f>0</f>
        <v/>
      </c>
      <c r="AV26" s="3">
        <f>0</f>
        <v/>
      </c>
      <c r="AW26" s="3">
        <f>0</f>
        <v/>
      </c>
      <c r="AX26" s="3">
        <f>0</f>
        <v/>
      </c>
      <c r="AY26" s="3">
        <f>0</f>
        <v/>
      </c>
      <c r="AZ26" s="3">
        <f>0</f>
        <v/>
      </c>
      <c r="BA26" s="3">
        <f>0</f>
        <v/>
      </c>
      <c r="BB26" s="3">
        <f>0</f>
        <v/>
      </c>
      <c r="BC26" s="3">
        <f>0</f>
        <v/>
      </c>
      <c r="BD26" s="3">
        <f>0</f>
        <v/>
      </c>
      <c r="BE26" s="3">
        <f>0</f>
        <v/>
      </c>
      <c r="BF26" s="3">
        <f>0</f>
        <v/>
      </c>
      <c r="BG26" s="3">
        <f>0</f>
        <v/>
      </c>
      <c r="BH26" s="3">
        <f>0</f>
        <v/>
      </c>
      <c r="BI26" s="3">
        <f>0</f>
        <v/>
      </c>
      <c r="BJ26" s="3">
        <f>0</f>
        <v/>
      </c>
      <c r="BK26" s="3">
        <f>0</f>
        <v/>
      </c>
      <c r="BL26" s="3">
        <f>0</f>
        <v/>
      </c>
      <c r="BM26" s="3">
        <f>0</f>
        <v/>
      </c>
      <c r="BN26" s="3">
        <f>0</f>
        <v/>
      </c>
      <c r="BO26" s="3">
        <f>0</f>
        <v/>
      </c>
      <c r="BP26" s="3">
        <f>0</f>
        <v/>
      </c>
      <c r="BQ26" s="3">
        <f>0</f>
        <v/>
      </c>
      <c r="BR26" s="3">
        <f>0</f>
        <v/>
      </c>
      <c r="BS26" s="3">
        <f>0</f>
        <v/>
      </c>
      <c r="BT26" s="3">
        <f>0</f>
        <v/>
      </c>
      <c r="BU26" s="3">
        <f>0</f>
        <v/>
      </c>
      <c r="BV26" s="3">
        <f>0</f>
        <v/>
      </c>
    </row>
    <row r="27">
      <c r="A27" t="inlineStr">
        <is>
          <t>active</t>
        </is>
      </c>
      <c r="B27" t="inlineStr">
        <is>
          <t>US_CA|BASIC_A</t>
        </is>
      </c>
      <c r="C27" s="3">
        <f>React!$C$26*Curves!$BV$17</f>
        <v/>
      </c>
      <c r="D27" s="3">
        <f>SUMPRODUCT(React!$C$26:$D$26,Curves!$BU$17:$BV$17)</f>
        <v/>
      </c>
      <c r="E27" s="3">
        <f>SUMPRODUCT(React!$C$26:$E$26,Curves!$BT$17:$BV$17)</f>
        <v/>
      </c>
      <c r="F27" s="3">
        <f>SUMPRODUCT(React!$C$26:$F$26,Curves!$BS$17:$BV$17)</f>
        <v/>
      </c>
      <c r="G27" s="3">
        <f>SUMPRODUCT(React!$C$26:$G$26,Curves!$BR$17:$BV$17)</f>
        <v/>
      </c>
      <c r="H27" s="3">
        <f>SUMPRODUCT(React!$C$26:$H$26,Curves!$BQ$17:$BV$17)</f>
        <v/>
      </c>
      <c r="I27" s="3">
        <f>SUMPRODUCT(React!$C$26:$I$26,Curves!$BP$17:$BV$17)</f>
        <v/>
      </c>
      <c r="J27" s="3">
        <f>SUMPRODUCT(React!$C$26:$J$26,Curves!$BO$17:$BV$17)</f>
        <v/>
      </c>
      <c r="K27" s="3">
        <f>SUMPRODUCT(React!$C$26:$K$26,Curves!$BN$17:$BV$17)</f>
        <v/>
      </c>
      <c r="L27" s="3">
        <f>SUMPRODUCT(React!$C$26:$L$26,Curves!$BM$17:$BV$17)</f>
        <v/>
      </c>
      <c r="M27" s="3">
        <f>SUMPRODUCT(React!$C$26:$M$26,Curves!$BL$17:$BV$17)</f>
        <v/>
      </c>
      <c r="N27" s="3">
        <f>SUMPRODUCT(React!$C$26:$N$26,Curves!$BK$17:$BV$17)</f>
        <v/>
      </c>
      <c r="O27" s="3">
        <f>SUMPRODUCT(React!$C$26:$O$26,Curves!$BJ$17:$BV$17)</f>
        <v/>
      </c>
      <c r="P27" s="3">
        <f>SUMPRODUCT(React!$C$26:$P$26,Curves!$BI$17:$BV$17)</f>
        <v/>
      </c>
      <c r="Q27" s="3">
        <f>SUMPRODUCT(React!$C$26:$Q$26,Curves!$BH$17:$BV$17)</f>
        <v/>
      </c>
      <c r="R27" s="3">
        <f>SUMPRODUCT(React!$C$26:$R$26,Curves!$BG$17:$BV$17)</f>
        <v/>
      </c>
      <c r="S27" s="3">
        <f>SUMPRODUCT(React!$C$26:$S$26,Curves!$BF$17:$BV$17)</f>
        <v/>
      </c>
      <c r="T27" s="3">
        <f>SUMPRODUCT(React!$C$26:$T$26,Curves!$BE$17:$BV$17)</f>
        <v/>
      </c>
      <c r="U27" s="3">
        <f>SUMPRODUCT(React!$C$26:$U$26,Curves!$BD$17:$BV$17)</f>
        <v/>
      </c>
      <c r="V27" s="3">
        <f>SUMPRODUCT(React!$C$26:$V$26,Curves!$BC$17:$BV$17)</f>
        <v/>
      </c>
      <c r="W27" s="3">
        <f>SUMPRODUCT(React!$C$26:$W$26,Curves!$BB$17:$BV$17)</f>
        <v/>
      </c>
      <c r="X27" s="3">
        <f>SUMPRODUCT(React!$C$26:$X$26,Curves!$BA$17:$BV$17)</f>
        <v/>
      </c>
      <c r="Y27" s="3">
        <f>SUMPRODUCT(React!$C$26:$Y$26,Curves!$AZ$17:$BV$17)</f>
        <v/>
      </c>
      <c r="Z27" s="3">
        <f>SUMPRODUCT(React!$C$26:$Z$26,Curves!$AY$17:$BV$17)</f>
        <v/>
      </c>
      <c r="AA27" s="3">
        <f>SUMPRODUCT(React!$C$26:$AA$26,Curves!$AX$17:$BV$17)</f>
        <v/>
      </c>
      <c r="AB27" s="3">
        <f>SUMPRODUCT(React!$C$26:$AB$26,Curves!$AW$17:$BV$17)</f>
        <v/>
      </c>
      <c r="AC27" s="3">
        <f>SUMPRODUCT(React!$C$26:$AC$26,Curves!$AV$17:$BV$17)</f>
        <v/>
      </c>
      <c r="AD27" s="3">
        <f>SUMPRODUCT(React!$C$26:$AD$26,Curves!$AU$17:$BV$17)</f>
        <v/>
      </c>
      <c r="AE27" s="3">
        <f>SUMPRODUCT(React!$C$26:$AE$26,Curves!$AT$17:$BV$17)</f>
        <v/>
      </c>
      <c r="AF27" s="3">
        <f>SUMPRODUCT(React!$C$26:$AF$26,Curves!$AS$17:$BV$17)</f>
        <v/>
      </c>
      <c r="AG27" s="3">
        <f>SUMPRODUCT(React!$C$26:$AG$26,Curves!$AR$17:$BV$17)</f>
        <v/>
      </c>
      <c r="AH27" s="3">
        <f>SUMPRODUCT(React!$C$26:$AH$26,Curves!$AQ$17:$BV$17)</f>
        <v/>
      </c>
      <c r="AI27" s="3">
        <f>SUMPRODUCT(React!$C$26:$AI$26,Curves!$AP$17:$BV$17)</f>
        <v/>
      </c>
      <c r="AJ27" s="3">
        <f>SUMPRODUCT(React!$C$26:$AJ$26,Curves!$AO$17:$BV$17)</f>
        <v/>
      </c>
      <c r="AK27" s="3">
        <f>SUMPRODUCT(React!$C$26:$AK$26,Curves!$AN$17:$BV$17)</f>
        <v/>
      </c>
      <c r="AL27" s="3">
        <f>SUMPRODUCT(React!$C$26:$AL$26,Curves!$AM$17:$BV$17)</f>
        <v/>
      </c>
      <c r="AM27" s="3">
        <f>SUMPRODUCT(React!$C$26:$AM$26,Curves!$AL$17:$BV$17)</f>
        <v/>
      </c>
      <c r="AN27" s="3">
        <f>SUMPRODUCT(React!$C$26:$AN$26,Curves!$AK$17:$BV$17)</f>
        <v/>
      </c>
      <c r="AO27" s="3">
        <f>SUMPRODUCT(React!$C$26:$AO$26,Curves!$AJ$17:$BV$17)</f>
        <v/>
      </c>
      <c r="AP27" s="3">
        <f>SUMPRODUCT(React!$C$26:$AP$26,Curves!$AI$17:$BV$17)</f>
        <v/>
      </c>
      <c r="AQ27" s="3">
        <f>SUMPRODUCT(React!$C$26:$AQ$26,Curves!$AH$17:$BV$17)</f>
        <v/>
      </c>
      <c r="AR27" s="3">
        <f>SUMPRODUCT(React!$C$26:$AR$26,Curves!$AG$17:$BV$17)</f>
        <v/>
      </c>
      <c r="AS27" s="3">
        <f>SUMPRODUCT(React!$C$26:$AS$26,Curves!$AF$17:$BV$17)</f>
        <v/>
      </c>
      <c r="AT27" s="3">
        <f>SUMPRODUCT(React!$C$26:$AT$26,Curves!$AE$17:$BV$17)</f>
        <v/>
      </c>
      <c r="AU27" s="3">
        <f>SUMPRODUCT(React!$C$26:$AU$26,Curves!$AD$17:$BV$17)</f>
        <v/>
      </c>
      <c r="AV27" s="3">
        <f>SUMPRODUCT(React!$C$26:$AV$26,Curves!$AC$17:$BV$17)</f>
        <v/>
      </c>
      <c r="AW27" s="3">
        <f>SUMPRODUCT(React!$C$26:$AW$26,Curves!$AB$17:$BV$17)</f>
        <v/>
      </c>
      <c r="AX27" s="3">
        <f>SUMPRODUCT(React!$C$26:$AX$26,Curves!$AA$17:$BV$17)</f>
        <v/>
      </c>
      <c r="AY27" s="3">
        <f>SUMPRODUCT(React!$C$26:$AY$26,Curves!$Z$17:$BV$17)</f>
        <v/>
      </c>
      <c r="AZ27" s="3">
        <f>SUMPRODUCT(React!$C$26:$AZ$26,Curves!$Y$17:$BV$17)</f>
        <v/>
      </c>
      <c r="BA27" s="3">
        <f>SUMPRODUCT(React!$C$26:$BA$26,Curves!$X$17:$BV$17)</f>
        <v/>
      </c>
      <c r="BB27" s="3">
        <f>SUMPRODUCT(React!$C$26:$BB$26,Curves!$W$17:$BV$17)</f>
        <v/>
      </c>
      <c r="BC27" s="3">
        <f>SUMPRODUCT(React!$C$26:$BC$26,Curves!$V$17:$BV$17)</f>
        <v/>
      </c>
      <c r="BD27" s="3">
        <f>SUMPRODUCT(React!$C$26:$BD$26,Curves!$U$17:$BV$17)</f>
        <v/>
      </c>
      <c r="BE27" s="3">
        <f>SUMPRODUCT(React!$C$26:$BE$26,Curves!$T$17:$BV$17)</f>
        <v/>
      </c>
      <c r="BF27" s="3">
        <f>SUMPRODUCT(React!$C$26:$BF$26,Curves!$S$17:$BV$17)</f>
        <v/>
      </c>
      <c r="BG27" s="3">
        <f>SUMPRODUCT(React!$C$26:$BG$26,Curves!$R$17:$BV$17)</f>
        <v/>
      </c>
      <c r="BH27" s="3">
        <f>SUMPRODUCT(React!$C$26:$BH$26,Curves!$Q$17:$BV$17)</f>
        <v/>
      </c>
      <c r="BI27" s="3">
        <f>SUMPRODUCT(React!$C$26:$BI$26,Curves!$P$17:$BV$17)</f>
        <v/>
      </c>
      <c r="BJ27" s="3">
        <f>SUMPRODUCT(React!$C$26:$BJ$26,Curves!$O$17:$BV$17)</f>
        <v/>
      </c>
      <c r="BK27" s="3">
        <f>SUMPRODUCT(React!$C$26:$BK$26,Curves!$N$17:$BV$17)</f>
        <v/>
      </c>
      <c r="BL27" s="3">
        <f>SUMPRODUCT(React!$C$26:$BL$26,Curves!$M$17:$BV$17)</f>
        <v/>
      </c>
      <c r="BM27" s="3">
        <f>SUMPRODUCT(React!$C$26:$BM$26,Curves!$L$17:$BV$17)</f>
        <v/>
      </c>
      <c r="BN27" s="3">
        <f>SUMPRODUCT(React!$C$26:$BN$26,Curves!$K$17:$BV$17)</f>
        <v/>
      </c>
      <c r="BO27" s="3">
        <f>SUMPRODUCT(React!$C$26:$BO$26,Curves!$J$17:$BV$17)</f>
        <v/>
      </c>
      <c r="BP27" s="3">
        <f>SUMPRODUCT(React!$C$26:$BP$26,Curves!$I$17:$BV$17)</f>
        <v/>
      </c>
      <c r="BQ27" s="3">
        <f>SUMPRODUCT(React!$C$26:$BQ$26,Curves!$H$17:$BV$17)</f>
        <v/>
      </c>
      <c r="BR27" s="3">
        <f>SUMPRODUCT(React!$C$26:$BR$26,Curves!$G$17:$BV$17)</f>
        <v/>
      </c>
      <c r="BS27" s="3">
        <f>SUMPRODUCT(React!$C$26:$BS$26,Curves!$F$17:$BV$17)</f>
        <v/>
      </c>
      <c r="BT27" s="3">
        <f>SUMPRODUCT(React!$C$26:$BT$26,Curves!$E$17:$BV$17)</f>
        <v/>
      </c>
      <c r="BU27" s="3">
        <f>SUMPRODUCT(React!$C$26:$BU$26,Curves!$D$17:$BV$17)</f>
        <v/>
      </c>
      <c r="BV27" s="3">
        <f>SUMPRODUCT(React!$C$26:$BV$26,Curves!$C$17:$BV$17)</f>
        <v/>
      </c>
    </row>
    <row r="28">
      <c r="A28" t="inlineStr">
        <is>
          <t>active yr 1</t>
        </is>
      </c>
      <c r="B28" t="inlineStr">
        <is>
          <t>US_CA|BASIC_A</t>
        </is>
      </c>
      <c r="C28" s="3">
        <f>React!$C$26*Curves!$BV$22</f>
        <v/>
      </c>
      <c r="D28" s="3">
        <f>SUMPRODUCT(React!$C$26:$D$26,Curves!$BU$22:$BV$22)</f>
        <v/>
      </c>
      <c r="E28" s="3">
        <f>SUMPRODUCT(React!$C$26:$E$26,Curves!$BT$22:$BV$22)</f>
        <v/>
      </c>
      <c r="F28" s="3">
        <f>SUMPRODUCT(React!$C$26:$F$26,Curves!$BS$22:$BV$22)</f>
        <v/>
      </c>
      <c r="G28" s="3">
        <f>SUMPRODUCT(React!$C$26:$G$26,Curves!$BR$22:$BV$22)</f>
        <v/>
      </c>
      <c r="H28" s="3">
        <f>SUMPRODUCT(React!$C$26:$H$26,Curves!$BQ$22:$BV$22)</f>
        <v/>
      </c>
      <c r="I28" s="3">
        <f>SUMPRODUCT(React!$C$26:$I$26,Curves!$BP$22:$BV$22)</f>
        <v/>
      </c>
      <c r="J28" s="3">
        <f>SUMPRODUCT(React!$C$26:$J$26,Curves!$BO$22:$BV$22)</f>
        <v/>
      </c>
      <c r="K28" s="3">
        <f>SUMPRODUCT(React!$C$26:$K$26,Curves!$BN$22:$BV$22)</f>
        <v/>
      </c>
      <c r="L28" s="3">
        <f>SUMPRODUCT(React!$C$26:$L$26,Curves!$BM$22:$BV$22)</f>
        <v/>
      </c>
      <c r="M28" s="3">
        <f>SUMPRODUCT(React!$C$26:$M$26,Curves!$BL$22:$BV$22)</f>
        <v/>
      </c>
      <c r="N28" s="3">
        <f>SUMPRODUCT(React!$C$26:$N$26,Curves!$BK$22:$BV$22)</f>
        <v/>
      </c>
      <c r="O28" s="3">
        <f>SUMPRODUCT(React!$C$26:$O$26,Curves!$BJ$22:$BV$22)</f>
        <v/>
      </c>
      <c r="P28" s="3">
        <f>SUMPRODUCT(React!$C$26:$P$26,Curves!$BI$22:$BV$22)</f>
        <v/>
      </c>
      <c r="Q28" s="3">
        <f>SUMPRODUCT(React!$C$26:$Q$26,Curves!$BH$22:$BV$22)</f>
        <v/>
      </c>
      <c r="R28" s="3">
        <f>SUMPRODUCT(React!$C$26:$R$26,Curves!$BG$22:$BV$22)</f>
        <v/>
      </c>
      <c r="S28" s="3">
        <f>SUMPRODUCT(React!$C$26:$S$26,Curves!$BF$22:$BV$22)</f>
        <v/>
      </c>
      <c r="T28" s="3">
        <f>SUMPRODUCT(React!$C$26:$T$26,Curves!$BE$22:$BV$22)</f>
        <v/>
      </c>
      <c r="U28" s="3">
        <f>SUMPRODUCT(React!$C$26:$U$26,Curves!$BD$22:$BV$22)</f>
        <v/>
      </c>
      <c r="V28" s="3">
        <f>SUMPRODUCT(React!$C$26:$V$26,Curves!$BC$22:$BV$22)</f>
        <v/>
      </c>
      <c r="W28" s="3">
        <f>SUMPRODUCT(React!$C$26:$W$26,Curves!$BB$22:$BV$22)</f>
        <v/>
      </c>
      <c r="X28" s="3">
        <f>SUMPRODUCT(React!$C$26:$X$26,Curves!$BA$22:$BV$22)</f>
        <v/>
      </c>
      <c r="Y28" s="3">
        <f>SUMPRODUCT(React!$C$26:$Y$26,Curves!$AZ$22:$BV$22)</f>
        <v/>
      </c>
      <c r="Z28" s="3">
        <f>SUMPRODUCT(React!$C$26:$Z$26,Curves!$AY$22:$BV$22)</f>
        <v/>
      </c>
      <c r="AA28" s="3">
        <f>SUMPRODUCT(React!$C$26:$AA$26,Curves!$AX$22:$BV$22)</f>
        <v/>
      </c>
      <c r="AB28" s="3">
        <f>SUMPRODUCT(React!$C$26:$AB$26,Curves!$AW$22:$BV$22)</f>
        <v/>
      </c>
      <c r="AC28" s="3">
        <f>SUMPRODUCT(React!$C$26:$AC$26,Curves!$AV$22:$BV$22)</f>
        <v/>
      </c>
      <c r="AD28" s="3">
        <f>SUMPRODUCT(React!$C$26:$AD$26,Curves!$AU$22:$BV$22)</f>
        <v/>
      </c>
      <c r="AE28" s="3">
        <f>SUMPRODUCT(React!$C$26:$AE$26,Curves!$AT$22:$BV$22)</f>
        <v/>
      </c>
      <c r="AF28" s="3">
        <f>SUMPRODUCT(React!$C$26:$AF$26,Curves!$AS$22:$BV$22)</f>
        <v/>
      </c>
      <c r="AG28" s="3">
        <f>SUMPRODUCT(React!$C$26:$AG$26,Curves!$AR$22:$BV$22)</f>
        <v/>
      </c>
      <c r="AH28" s="3">
        <f>SUMPRODUCT(React!$C$26:$AH$26,Curves!$AQ$22:$BV$22)</f>
        <v/>
      </c>
      <c r="AI28" s="3">
        <f>SUMPRODUCT(React!$C$26:$AI$26,Curves!$AP$22:$BV$22)</f>
        <v/>
      </c>
      <c r="AJ28" s="3">
        <f>SUMPRODUCT(React!$C$26:$AJ$26,Curves!$AO$22:$BV$22)</f>
        <v/>
      </c>
      <c r="AK28" s="3">
        <f>SUMPRODUCT(React!$C$26:$AK$26,Curves!$AN$22:$BV$22)</f>
        <v/>
      </c>
      <c r="AL28" s="3">
        <f>SUMPRODUCT(React!$C$26:$AL$26,Curves!$AM$22:$BV$22)</f>
        <v/>
      </c>
      <c r="AM28" s="3">
        <f>SUMPRODUCT(React!$C$26:$AM$26,Curves!$AL$22:$BV$22)</f>
        <v/>
      </c>
      <c r="AN28" s="3">
        <f>SUMPRODUCT(React!$C$26:$AN$26,Curves!$AK$22:$BV$22)</f>
        <v/>
      </c>
      <c r="AO28" s="3">
        <f>SUMPRODUCT(React!$C$26:$AO$26,Curves!$AJ$22:$BV$22)</f>
        <v/>
      </c>
      <c r="AP28" s="3">
        <f>SUMPRODUCT(React!$C$26:$AP$26,Curves!$AI$22:$BV$22)</f>
        <v/>
      </c>
      <c r="AQ28" s="3">
        <f>SUMPRODUCT(React!$C$26:$AQ$26,Curves!$AH$22:$BV$22)</f>
        <v/>
      </c>
      <c r="AR28" s="3">
        <f>SUMPRODUCT(React!$C$26:$AR$26,Curves!$AG$22:$BV$22)</f>
        <v/>
      </c>
      <c r="AS28" s="3">
        <f>SUMPRODUCT(React!$C$26:$AS$26,Curves!$AF$22:$BV$22)</f>
        <v/>
      </c>
      <c r="AT28" s="3">
        <f>SUMPRODUCT(React!$C$26:$AT$26,Curves!$AE$22:$BV$22)</f>
        <v/>
      </c>
      <c r="AU28" s="3">
        <f>SUMPRODUCT(React!$C$26:$AU$26,Curves!$AD$22:$BV$22)</f>
        <v/>
      </c>
      <c r="AV28" s="3">
        <f>SUMPRODUCT(React!$C$26:$AV$26,Curves!$AC$22:$BV$22)</f>
        <v/>
      </c>
      <c r="AW28" s="3">
        <f>SUMPRODUCT(React!$C$26:$AW$26,Curves!$AB$22:$BV$22)</f>
        <v/>
      </c>
      <c r="AX28" s="3">
        <f>SUMPRODUCT(React!$C$26:$AX$26,Curves!$AA$22:$BV$22)</f>
        <v/>
      </c>
      <c r="AY28" s="3">
        <f>SUMPRODUCT(React!$C$26:$AY$26,Curves!$Z$22:$BV$22)</f>
        <v/>
      </c>
      <c r="AZ28" s="3">
        <f>SUMPRODUCT(React!$C$26:$AZ$26,Curves!$Y$22:$BV$22)</f>
        <v/>
      </c>
      <c r="BA28" s="3">
        <f>SUMPRODUCT(React!$C$26:$BA$26,Curves!$X$22:$BV$22)</f>
        <v/>
      </c>
      <c r="BB28" s="3">
        <f>SUMPRODUCT(React!$C$26:$BB$26,Curves!$W$22:$BV$22)</f>
        <v/>
      </c>
      <c r="BC28" s="3">
        <f>SUMPRODUCT(React!$C$26:$BC$26,Curves!$V$22:$BV$22)</f>
        <v/>
      </c>
      <c r="BD28" s="3">
        <f>SUMPRODUCT(React!$C$26:$BD$26,Curves!$U$22:$BV$22)</f>
        <v/>
      </c>
      <c r="BE28" s="3">
        <f>SUMPRODUCT(React!$C$26:$BE$26,Curves!$T$22:$BV$22)</f>
        <v/>
      </c>
      <c r="BF28" s="3">
        <f>SUMPRODUCT(React!$C$26:$BF$26,Curves!$S$22:$BV$22)</f>
        <v/>
      </c>
      <c r="BG28" s="3">
        <f>SUMPRODUCT(React!$C$26:$BG$26,Curves!$R$22:$BV$22)</f>
        <v/>
      </c>
      <c r="BH28" s="3">
        <f>SUMPRODUCT(React!$C$26:$BH$26,Curves!$Q$22:$BV$22)</f>
        <v/>
      </c>
      <c r="BI28" s="3">
        <f>SUMPRODUCT(React!$C$26:$BI$26,Curves!$P$22:$BV$22)</f>
        <v/>
      </c>
      <c r="BJ28" s="3">
        <f>SUMPRODUCT(React!$C$26:$BJ$26,Curves!$O$22:$BV$22)</f>
        <v/>
      </c>
      <c r="BK28" s="3">
        <f>SUMPRODUCT(React!$C$26:$BK$26,Curves!$N$22:$BV$22)</f>
        <v/>
      </c>
      <c r="BL28" s="3">
        <f>SUMPRODUCT(React!$C$26:$BL$26,Curves!$M$22:$BV$22)</f>
        <v/>
      </c>
      <c r="BM28" s="3">
        <f>SUMPRODUCT(React!$C$26:$BM$26,Curves!$L$22:$BV$22)</f>
        <v/>
      </c>
      <c r="BN28" s="3">
        <f>SUMPRODUCT(React!$C$26:$BN$26,Curves!$K$22:$BV$22)</f>
        <v/>
      </c>
      <c r="BO28" s="3">
        <f>SUMPRODUCT(React!$C$26:$BO$26,Curves!$J$22:$BV$22)</f>
        <v/>
      </c>
      <c r="BP28" s="3">
        <f>SUMPRODUCT(React!$C$26:$BP$26,Curves!$I$22:$BV$22)</f>
        <v/>
      </c>
      <c r="BQ28" s="3">
        <f>SUMPRODUCT(React!$C$26:$BQ$26,Curves!$H$22:$BV$22)</f>
        <v/>
      </c>
      <c r="BR28" s="3">
        <f>SUMPRODUCT(React!$C$26:$BR$26,Curves!$G$22:$BV$22)</f>
        <v/>
      </c>
      <c r="BS28" s="3">
        <f>SUMPRODUCT(React!$C$26:$BS$26,Curves!$F$22:$BV$22)</f>
        <v/>
      </c>
      <c r="BT28" s="3">
        <f>SUMPRODUCT(React!$C$26:$BT$26,Curves!$E$22:$BV$22)</f>
        <v/>
      </c>
      <c r="BU28" s="3">
        <f>SUMPRODUCT(React!$C$26:$BU$26,Curves!$D$22:$BV$22)</f>
        <v/>
      </c>
      <c r="BV28" s="3">
        <f>SUMPRODUCT(React!$C$26:$BV$26,Curves!$C$22:$BV$22)</f>
        <v/>
      </c>
    </row>
    <row r="29">
      <c r="A29" t="inlineStr">
        <is>
          <t>churned</t>
        </is>
      </c>
      <c r="B29" t="inlineStr">
        <is>
          <t>US_CA|BASIC_A</t>
        </is>
      </c>
      <c r="C29" s="3">
        <f>React!$C$26*Curves!$BV$18</f>
        <v/>
      </c>
      <c r="D29" s="3">
        <f>SUMPRODUCT(React!$C$26:$D$26,Curves!$BU$18:$BV$18)</f>
        <v/>
      </c>
      <c r="E29" s="3">
        <f>SUMPRODUCT(React!$C$26:$E$26,Curves!$BT$18:$BV$18)</f>
        <v/>
      </c>
      <c r="F29" s="3">
        <f>SUMPRODUCT(React!$C$26:$F$26,Curves!$BS$18:$BV$18)</f>
        <v/>
      </c>
      <c r="G29" s="3">
        <f>SUMPRODUCT(React!$C$26:$G$26,Curves!$BR$18:$BV$18)</f>
        <v/>
      </c>
      <c r="H29" s="3">
        <f>SUMPRODUCT(React!$C$26:$H$26,Curves!$BQ$18:$BV$18)</f>
        <v/>
      </c>
      <c r="I29" s="3">
        <f>SUMPRODUCT(React!$C$26:$I$26,Curves!$BP$18:$BV$18)</f>
        <v/>
      </c>
      <c r="J29" s="3">
        <f>SUMPRODUCT(React!$C$26:$J$26,Curves!$BO$18:$BV$18)</f>
        <v/>
      </c>
      <c r="K29" s="3">
        <f>SUMPRODUCT(React!$C$26:$K$26,Curves!$BN$18:$BV$18)</f>
        <v/>
      </c>
      <c r="L29" s="3">
        <f>SUMPRODUCT(React!$C$26:$L$26,Curves!$BM$18:$BV$18)</f>
        <v/>
      </c>
      <c r="M29" s="3">
        <f>SUMPRODUCT(React!$C$26:$M$26,Curves!$BL$18:$BV$18)</f>
        <v/>
      </c>
      <c r="N29" s="3">
        <f>SUMPRODUCT(React!$C$26:$N$26,Curves!$BK$18:$BV$18)</f>
        <v/>
      </c>
      <c r="O29" s="3">
        <f>SUMPRODUCT(React!$C$26:$O$26,Curves!$BJ$18:$BV$18)</f>
        <v/>
      </c>
      <c r="P29" s="3">
        <f>SUMPRODUCT(React!$C$26:$P$26,Curves!$BI$18:$BV$18)</f>
        <v/>
      </c>
      <c r="Q29" s="3">
        <f>SUMPRODUCT(React!$C$26:$Q$26,Curves!$BH$18:$BV$18)</f>
        <v/>
      </c>
      <c r="R29" s="3">
        <f>SUMPRODUCT(React!$C$26:$R$26,Curves!$BG$18:$BV$18)</f>
        <v/>
      </c>
      <c r="S29" s="3">
        <f>SUMPRODUCT(React!$C$26:$S$26,Curves!$BF$18:$BV$18)</f>
        <v/>
      </c>
      <c r="T29" s="3">
        <f>SUMPRODUCT(React!$C$26:$T$26,Curves!$BE$18:$BV$18)</f>
        <v/>
      </c>
      <c r="U29" s="3">
        <f>SUMPRODUCT(React!$C$26:$U$26,Curves!$BD$18:$BV$18)</f>
        <v/>
      </c>
      <c r="V29" s="3">
        <f>SUMPRODUCT(React!$C$26:$V$26,Curves!$BC$18:$BV$18)</f>
        <v/>
      </c>
      <c r="W29" s="3">
        <f>SUMPRODUCT(React!$C$26:$W$26,Curves!$BB$18:$BV$18)</f>
        <v/>
      </c>
      <c r="X29" s="3">
        <f>SUMPRODUCT(React!$C$26:$X$26,Curves!$BA$18:$BV$18)</f>
        <v/>
      </c>
      <c r="Y29" s="3">
        <f>SUMPRODUCT(React!$C$26:$Y$26,Curves!$AZ$18:$BV$18)</f>
        <v/>
      </c>
      <c r="Z29" s="3">
        <f>SUMPRODUCT(React!$C$26:$Z$26,Curves!$AY$18:$BV$18)</f>
        <v/>
      </c>
      <c r="AA29" s="3">
        <f>SUMPRODUCT(React!$C$26:$AA$26,Curves!$AX$18:$BV$18)</f>
        <v/>
      </c>
      <c r="AB29" s="3">
        <f>SUMPRODUCT(React!$C$26:$AB$26,Curves!$AW$18:$BV$18)</f>
        <v/>
      </c>
      <c r="AC29" s="3">
        <f>SUMPRODUCT(React!$C$26:$AC$26,Curves!$AV$18:$BV$18)</f>
        <v/>
      </c>
      <c r="AD29" s="3">
        <f>SUMPRODUCT(React!$C$26:$AD$26,Curves!$AU$18:$BV$18)</f>
        <v/>
      </c>
      <c r="AE29" s="3">
        <f>SUMPRODUCT(React!$C$26:$AE$26,Curves!$AT$18:$BV$18)</f>
        <v/>
      </c>
      <c r="AF29" s="3">
        <f>SUMPRODUCT(React!$C$26:$AF$26,Curves!$AS$18:$BV$18)</f>
        <v/>
      </c>
      <c r="AG29" s="3">
        <f>SUMPRODUCT(React!$C$26:$AG$26,Curves!$AR$18:$BV$18)</f>
        <v/>
      </c>
      <c r="AH29" s="3">
        <f>SUMPRODUCT(React!$C$26:$AH$26,Curves!$AQ$18:$BV$18)</f>
        <v/>
      </c>
      <c r="AI29" s="3">
        <f>SUMPRODUCT(React!$C$26:$AI$26,Curves!$AP$18:$BV$18)</f>
        <v/>
      </c>
      <c r="AJ29" s="3">
        <f>SUMPRODUCT(React!$C$26:$AJ$26,Curves!$AO$18:$BV$18)</f>
        <v/>
      </c>
      <c r="AK29" s="3">
        <f>SUMPRODUCT(React!$C$26:$AK$26,Curves!$AN$18:$BV$18)</f>
        <v/>
      </c>
      <c r="AL29" s="3">
        <f>SUMPRODUCT(React!$C$26:$AL$26,Curves!$AM$18:$BV$18)</f>
        <v/>
      </c>
      <c r="AM29" s="3">
        <f>SUMPRODUCT(React!$C$26:$AM$26,Curves!$AL$18:$BV$18)</f>
        <v/>
      </c>
      <c r="AN29" s="3">
        <f>SUMPRODUCT(React!$C$26:$AN$26,Curves!$AK$18:$BV$18)</f>
        <v/>
      </c>
      <c r="AO29" s="3">
        <f>SUMPRODUCT(React!$C$26:$AO$26,Curves!$AJ$18:$BV$18)</f>
        <v/>
      </c>
      <c r="AP29" s="3">
        <f>SUMPRODUCT(React!$C$26:$AP$26,Curves!$AI$18:$BV$18)</f>
        <v/>
      </c>
      <c r="AQ29" s="3">
        <f>SUMPRODUCT(React!$C$26:$AQ$26,Curves!$AH$18:$BV$18)</f>
        <v/>
      </c>
      <c r="AR29" s="3">
        <f>SUMPRODUCT(React!$C$26:$AR$26,Curves!$AG$18:$BV$18)</f>
        <v/>
      </c>
      <c r="AS29" s="3">
        <f>SUMPRODUCT(React!$C$26:$AS$26,Curves!$AF$18:$BV$18)</f>
        <v/>
      </c>
      <c r="AT29" s="3">
        <f>SUMPRODUCT(React!$C$26:$AT$26,Curves!$AE$18:$BV$18)</f>
        <v/>
      </c>
      <c r="AU29" s="3">
        <f>SUMPRODUCT(React!$C$26:$AU$26,Curves!$AD$18:$BV$18)</f>
        <v/>
      </c>
      <c r="AV29" s="3">
        <f>SUMPRODUCT(React!$C$26:$AV$26,Curves!$AC$18:$BV$18)</f>
        <v/>
      </c>
      <c r="AW29" s="3">
        <f>SUMPRODUCT(React!$C$26:$AW$26,Curves!$AB$18:$BV$18)</f>
        <v/>
      </c>
      <c r="AX29" s="3">
        <f>SUMPRODUCT(React!$C$26:$AX$26,Curves!$AA$18:$BV$18)</f>
        <v/>
      </c>
      <c r="AY29" s="3">
        <f>SUMPRODUCT(React!$C$26:$AY$26,Curves!$Z$18:$BV$18)</f>
        <v/>
      </c>
      <c r="AZ29" s="3">
        <f>SUMPRODUCT(React!$C$26:$AZ$26,Curves!$Y$18:$BV$18)</f>
        <v/>
      </c>
      <c r="BA29" s="3">
        <f>SUMPRODUCT(React!$C$26:$BA$26,Curves!$X$18:$BV$18)</f>
        <v/>
      </c>
      <c r="BB29" s="3">
        <f>SUMPRODUCT(React!$C$26:$BB$26,Curves!$W$18:$BV$18)</f>
        <v/>
      </c>
      <c r="BC29" s="3">
        <f>SUMPRODUCT(React!$C$26:$BC$26,Curves!$V$18:$BV$18)</f>
        <v/>
      </c>
      <c r="BD29" s="3">
        <f>SUMPRODUCT(React!$C$26:$BD$26,Curves!$U$18:$BV$18)</f>
        <v/>
      </c>
      <c r="BE29" s="3">
        <f>SUMPRODUCT(React!$C$26:$BE$26,Curves!$T$18:$BV$18)</f>
        <v/>
      </c>
      <c r="BF29" s="3">
        <f>SUMPRODUCT(React!$C$26:$BF$26,Curves!$S$18:$BV$18)</f>
        <v/>
      </c>
      <c r="BG29" s="3">
        <f>SUMPRODUCT(React!$C$26:$BG$26,Curves!$R$18:$BV$18)</f>
        <v/>
      </c>
      <c r="BH29" s="3">
        <f>SUMPRODUCT(React!$C$26:$BH$26,Curves!$Q$18:$BV$18)</f>
        <v/>
      </c>
      <c r="BI29" s="3">
        <f>SUMPRODUCT(React!$C$26:$BI$26,Curves!$P$18:$BV$18)</f>
        <v/>
      </c>
      <c r="BJ29" s="3">
        <f>SUMPRODUCT(React!$C$26:$BJ$26,Curves!$O$18:$BV$18)</f>
        <v/>
      </c>
      <c r="BK29" s="3">
        <f>SUMPRODUCT(React!$C$26:$BK$26,Curves!$N$18:$BV$18)</f>
        <v/>
      </c>
      <c r="BL29" s="3">
        <f>SUMPRODUCT(React!$C$26:$BL$26,Curves!$M$18:$BV$18)</f>
        <v/>
      </c>
      <c r="BM29" s="3">
        <f>SUMPRODUCT(React!$C$26:$BM$26,Curves!$L$18:$BV$18)</f>
        <v/>
      </c>
      <c r="BN29" s="3">
        <f>SUMPRODUCT(React!$C$26:$BN$26,Curves!$K$18:$BV$18)</f>
        <v/>
      </c>
      <c r="BO29" s="3">
        <f>SUMPRODUCT(React!$C$26:$BO$26,Curves!$J$18:$BV$18)</f>
        <v/>
      </c>
      <c r="BP29" s="3">
        <f>SUMPRODUCT(React!$C$26:$BP$26,Curves!$I$18:$BV$18)</f>
        <v/>
      </c>
      <c r="BQ29" s="3">
        <f>SUMPRODUCT(React!$C$26:$BQ$26,Curves!$H$18:$BV$18)</f>
        <v/>
      </c>
      <c r="BR29" s="3">
        <f>SUMPRODUCT(React!$C$26:$BR$26,Curves!$G$18:$BV$18)</f>
        <v/>
      </c>
      <c r="BS29" s="3">
        <f>SUMPRODUCT(React!$C$26:$BS$26,Curves!$F$18:$BV$18)</f>
        <v/>
      </c>
      <c r="BT29" s="3">
        <f>SUMPRODUCT(React!$C$26:$BT$26,Curves!$E$18:$BV$18)</f>
        <v/>
      </c>
      <c r="BU29" s="3">
        <f>SUMPRODUCT(React!$C$26:$BU$26,Curves!$D$18:$BV$18)</f>
        <v/>
      </c>
      <c r="BV29" s="3">
        <f>SUMPRODUCT(React!$C$26:$BV$26,Curves!$C$18:$BV$18)</f>
        <v/>
      </c>
    </row>
    <row r="31">
      <c r="A31" t="inlineStr">
        <is>
          <t>churn pool inflow</t>
        </is>
      </c>
      <c r="B31" t="inlineStr">
        <is>
          <t>EUROPE|NITRO_M</t>
        </is>
      </c>
      <c r="C31" s="3">
        <f>Paid!C21+Legacy!C23</f>
        <v/>
      </c>
      <c r="D31" s="3">
        <f>Paid!D21+Legacy!D23</f>
        <v/>
      </c>
      <c r="E31" s="3">
        <f>Paid!E21+Legacy!E23</f>
        <v/>
      </c>
      <c r="F31" s="3">
        <f>Paid!F21+Legacy!F23</f>
        <v/>
      </c>
      <c r="G31" s="3">
        <f>Paid!G21+Legacy!G23</f>
        <v/>
      </c>
      <c r="H31" s="3">
        <f>Paid!H21+Legacy!H23</f>
        <v/>
      </c>
      <c r="I31" s="3">
        <f>Paid!I21+Legacy!I23</f>
        <v/>
      </c>
      <c r="J31" s="3">
        <f>Paid!J21+Legacy!J23</f>
        <v/>
      </c>
      <c r="K31" s="3">
        <f>Paid!K21+Legacy!K23</f>
        <v/>
      </c>
      <c r="L31" s="3">
        <f>Paid!L21+Legacy!L23</f>
        <v/>
      </c>
      <c r="M31" s="3">
        <f>Paid!M21+Legacy!M23</f>
        <v/>
      </c>
      <c r="N31" s="3">
        <f>Paid!N21+Legacy!N23</f>
        <v/>
      </c>
      <c r="O31" s="3">
        <f>Paid!O21+Legacy!O23</f>
        <v/>
      </c>
      <c r="P31" s="3">
        <f>Paid!P21+Legacy!P23</f>
        <v/>
      </c>
      <c r="Q31" s="3">
        <f>Paid!Q21+Legacy!Q23</f>
        <v/>
      </c>
      <c r="R31" s="3">
        <f>Paid!R21+Legacy!R23</f>
        <v/>
      </c>
      <c r="S31" s="3">
        <f>Paid!S21+Legacy!S23</f>
        <v/>
      </c>
      <c r="T31" s="3">
        <f>Paid!T21+Legacy!T23</f>
        <v/>
      </c>
      <c r="U31" s="3">
        <f>Paid!U21+Legacy!U23</f>
        <v/>
      </c>
      <c r="V31" s="3">
        <f>Paid!V21+Legacy!V23</f>
        <v/>
      </c>
      <c r="W31" s="3">
        <f>Paid!W21+Legacy!W23</f>
        <v/>
      </c>
      <c r="X31" s="3">
        <f>Paid!X21+Legacy!X23</f>
        <v/>
      </c>
      <c r="Y31" s="3">
        <f>Paid!Y21+Legacy!Y23</f>
        <v/>
      </c>
      <c r="Z31" s="3">
        <f>Paid!Z21+Legacy!Z23</f>
        <v/>
      </c>
      <c r="AA31" s="3">
        <f>Paid!AA21+Legacy!AA23</f>
        <v/>
      </c>
      <c r="AB31" s="3">
        <f>Paid!AB21+Legacy!AB23</f>
        <v/>
      </c>
      <c r="AC31" s="3">
        <f>Paid!AC21+Legacy!AC23</f>
        <v/>
      </c>
      <c r="AD31" s="3">
        <f>Paid!AD21+Legacy!AD23</f>
        <v/>
      </c>
      <c r="AE31" s="3">
        <f>Paid!AE21+Legacy!AE23</f>
        <v/>
      </c>
      <c r="AF31" s="3">
        <f>Paid!AF21+Legacy!AF23</f>
        <v/>
      </c>
      <c r="AG31" s="3">
        <f>Paid!AG21+Legacy!AG23</f>
        <v/>
      </c>
      <c r="AH31" s="3">
        <f>Paid!AH21+Legacy!AH23</f>
        <v/>
      </c>
      <c r="AI31" s="3">
        <f>Paid!AI21+Legacy!AI23</f>
        <v/>
      </c>
      <c r="AJ31" s="3">
        <f>Paid!AJ21+Legacy!AJ23</f>
        <v/>
      </c>
      <c r="AK31" s="3">
        <f>Paid!AK21+Legacy!AK23</f>
        <v/>
      </c>
      <c r="AL31" s="3">
        <f>Paid!AL21+Legacy!AL23</f>
        <v/>
      </c>
      <c r="AM31" s="3">
        <f>Paid!AM21+Legacy!AM23</f>
        <v/>
      </c>
      <c r="AN31" s="3">
        <f>Paid!AN21+Legacy!AN23</f>
        <v/>
      </c>
      <c r="AO31" s="3">
        <f>Paid!AO21+Legacy!AO23</f>
        <v/>
      </c>
      <c r="AP31" s="3">
        <f>Paid!AP21+Legacy!AP23</f>
        <v/>
      </c>
      <c r="AQ31" s="3">
        <f>Paid!AQ21+Legacy!AQ23</f>
        <v/>
      </c>
      <c r="AR31" s="3">
        <f>Paid!AR21+Legacy!AR23</f>
        <v/>
      </c>
      <c r="AS31" s="3">
        <f>Paid!AS21+Legacy!AS23</f>
        <v/>
      </c>
      <c r="AT31" s="3">
        <f>Paid!AT21+Legacy!AT23</f>
        <v/>
      </c>
      <c r="AU31" s="3">
        <f>Paid!AU21+Legacy!AU23</f>
        <v/>
      </c>
      <c r="AV31" s="3">
        <f>Paid!AV21+Legacy!AV23</f>
        <v/>
      </c>
      <c r="AW31" s="3">
        <f>Paid!AW21+Legacy!AW23</f>
        <v/>
      </c>
      <c r="AX31" s="3">
        <f>Paid!AX21+Legacy!AX23</f>
        <v/>
      </c>
      <c r="AY31" s="3">
        <f>Paid!AY21+Legacy!AY23</f>
        <v/>
      </c>
      <c r="AZ31" s="3">
        <f>Paid!AZ21+Legacy!AZ23</f>
        <v/>
      </c>
      <c r="BA31" s="3">
        <f>Paid!BA21+Legacy!BA23</f>
        <v/>
      </c>
      <c r="BB31" s="3">
        <f>Paid!BB21+Legacy!BB23</f>
        <v/>
      </c>
      <c r="BC31" s="3">
        <f>Paid!BC21+Legacy!BC23</f>
        <v/>
      </c>
      <c r="BD31" s="3">
        <f>Paid!BD21+Legacy!BD23</f>
        <v/>
      </c>
      <c r="BE31" s="3">
        <f>Paid!BE21+Legacy!BE23</f>
        <v/>
      </c>
      <c r="BF31" s="3">
        <f>Paid!BF21+Legacy!BF23</f>
        <v/>
      </c>
      <c r="BG31" s="3">
        <f>Paid!BG21+Legacy!BG23</f>
        <v/>
      </c>
      <c r="BH31" s="3">
        <f>Paid!BH21+Legacy!BH23</f>
        <v/>
      </c>
      <c r="BI31" s="3">
        <f>Paid!BI21+Legacy!BI23</f>
        <v/>
      </c>
      <c r="BJ31" s="3">
        <f>Paid!BJ21+Legacy!BJ23</f>
        <v/>
      </c>
      <c r="BK31" s="3">
        <f>Paid!BK21+Legacy!BK23</f>
        <v/>
      </c>
      <c r="BL31" s="3">
        <f>Paid!BL21+Legacy!BL23</f>
        <v/>
      </c>
      <c r="BM31" s="3">
        <f>Paid!BM21+Legacy!BM23</f>
        <v/>
      </c>
      <c r="BN31" s="3">
        <f>Paid!BN21+Legacy!BN23</f>
        <v/>
      </c>
      <c r="BO31" s="3">
        <f>Paid!BO21+Legacy!BO23</f>
        <v/>
      </c>
      <c r="BP31" s="3">
        <f>Paid!BP21+Legacy!BP23</f>
        <v/>
      </c>
      <c r="BQ31" s="3">
        <f>Paid!BQ21+Legacy!BQ23</f>
        <v/>
      </c>
      <c r="BR31" s="3">
        <f>Paid!BR21+Legacy!BR23</f>
        <v/>
      </c>
      <c r="BS31" s="3">
        <f>Paid!BS21+Legacy!BS23</f>
        <v/>
      </c>
      <c r="BT31" s="3">
        <f>Paid!BT21+Legacy!BT23</f>
        <v/>
      </c>
      <c r="BU31" s="3">
        <f>Paid!BU21+Legacy!BU23</f>
        <v/>
      </c>
      <c r="BV31" s="3">
        <f>Paid!BV21+Legacy!BV23</f>
        <v/>
      </c>
    </row>
    <row r="32">
      <c r="A32" t="inlineStr">
        <is>
          <t>reactivations out</t>
        </is>
      </c>
      <c r="B32" t="inlineStr">
        <is>
          <t>EUROPE|NITRO_M</t>
        </is>
      </c>
      <c r="C32" s="3">
        <f>React!$C$31*Curves!$BV$19</f>
        <v/>
      </c>
      <c r="D32" s="3">
        <f>SUMPRODUCT(React!$C$31:$D$31,Curves!$BU$19:$BV$19)</f>
        <v/>
      </c>
      <c r="E32" s="3">
        <f>SUMPRODUCT(React!$C$31:$E$31,Curves!$BT$19:$BV$19)</f>
        <v/>
      </c>
      <c r="F32" s="3">
        <f>SUMPRODUCT(React!$C$31:$F$31,Curves!$BS$19:$BV$19)</f>
        <v/>
      </c>
      <c r="G32" s="3">
        <f>SUMPRODUCT(React!$C$31:$G$31,Curves!$BR$19:$BV$19)</f>
        <v/>
      </c>
      <c r="H32" s="3">
        <f>SUMPRODUCT(React!$C$31:$H$31,Curves!$BQ$19:$BV$19)</f>
        <v/>
      </c>
      <c r="I32" s="3">
        <f>SUMPRODUCT(React!$C$31:$I$31,Curves!$BP$19:$BV$19)</f>
        <v/>
      </c>
      <c r="J32" s="3">
        <f>SUMPRODUCT(React!$C$31:$J$31,Curves!$BO$19:$BV$19)</f>
        <v/>
      </c>
      <c r="K32" s="3">
        <f>SUMPRODUCT(React!$C$31:$K$31,Curves!$BN$19:$BV$19)</f>
        <v/>
      </c>
      <c r="L32" s="3">
        <f>SUMPRODUCT(React!$C$31:$L$31,Curves!$BM$19:$BV$19)</f>
        <v/>
      </c>
      <c r="M32" s="3">
        <f>SUMPRODUCT(React!$C$31:$M$31,Curves!$BL$19:$BV$19)</f>
        <v/>
      </c>
      <c r="N32" s="3">
        <f>SUMPRODUCT(React!$C$31:$N$31,Curves!$BK$19:$BV$19)</f>
        <v/>
      </c>
      <c r="O32" s="3">
        <f>SUMPRODUCT(React!$C$31:$O$31,Curves!$BJ$19:$BV$19)</f>
        <v/>
      </c>
      <c r="P32" s="3">
        <f>SUMPRODUCT(React!$C$31:$P$31,Curves!$BI$19:$BV$19)</f>
        <v/>
      </c>
      <c r="Q32" s="3">
        <f>SUMPRODUCT(React!$C$31:$Q$31,Curves!$BH$19:$BV$19)</f>
        <v/>
      </c>
      <c r="R32" s="3">
        <f>SUMPRODUCT(React!$C$31:$R$31,Curves!$BG$19:$BV$19)</f>
        <v/>
      </c>
      <c r="S32" s="3">
        <f>SUMPRODUCT(React!$C$31:$S$31,Curves!$BF$19:$BV$19)</f>
        <v/>
      </c>
      <c r="T32" s="3">
        <f>SUMPRODUCT(React!$C$31:$T$31,Curves!$BE$19:$BV$19)</f>
        <v/>
      </c>
      <c r="U32" s="3">
        <f>SUMPRODUCT(React!$C$31:$U$31,Curves!$BD$19:$BV$19)</f>
        <v/>
      </c>
      <c r="V32" s="3">
        <f>SUMPRODUCT(React!$C$31:$V$31,Curves!$BC$19:$BV$19)</f>
        <v/>
      </c>
      <c r="W32" s="3">
        <f>SUMPRODUCT(React!$C$31:$W$31,Curves!$BB$19:$BV$19)</f>
        <v/>
      </c>
      <c r="X32" s="3">
        <f>SUMPRODUCT(React!$C$31:$X$31,Curves!$BA$19:$BV$19)</f>
        <v/>
      </c>
      <c r="Y32" s="3">
        <f>SUMPRODUCT(React!$C$31:$Y$31,Curves!$AZ$19:$BV$19)</f>
        <v/>
      </c>
      <c r="Z32" s="3">
        <f>SUMPRODUCT(React!$C$31:$Z$31,Curves!$AY$19:$BV$19)</f>
        <v/>
      </c>
      <c r="AA32" s="3">
        <f>SUMPRODUCT(React!$C$31:$AA$31,Curves!$AX$19:$BV$19)</f>
        <v/>
      </c>
      <c r="AB32" s="3">
        <f>SUMPRODUCT(React!$C$31:$AB$31,Curves!$AW$19:$BV$19)</f>
        <v/>
      </c>
      <c r="AC32" s="3">
        <f>SUMPRODUCT(React!$C$31:$AC$31,Curves!$AV$19:$BV$19)</f>
        <v/>
      </c>
      <c r="AD32" s="3">
        <f>SUMPRODUCT(React!$C$31:$AD$31,Curves!$AU$19:$BV$19)</f>
        <v/>
      </c>
      <c r="AE32" s="3">
        <f>SUMPRODUCT(React!$C$31:$AE$31,Curves!$AT$19:$BV$19)</f>
        <v/>
      </c>
      <c r="AF32" s="3">
        <f>SUMPRODUCT(React!$C$31:$AF$31,Curves!$AS$19:$BV$19)</f>
        <v/>
      </c>
      <c r="AG32" s="3">
        <f>SUMPRODUCT(React!$C$31:$AG$31,Curves!$AR$19:$BV$19)</f>
        <v/>
      </c>
      <c r="AH32" s="3">
        <f>SUMPRODUCT(React!$C$31:$AH$31,Curves!$AQ$19:$BV$19)</f>
        <v/>
      </c>
      <c r="AI32" s="3">
        <f>SUMPRODUCT(React!$C$31:$AI$31,Curves!$AP$19:$BV$19)</f>
        <v/>
      </c>
      <c r="AJ32" s="3">
        <f>SUMPRODUCT(React!$C$31:$AJ$31,Curves!$AO$19:$BV$19)</f>
        <v/>
      </c>
      <c r="AK32" s="3">
        <f>SUMPRODUCT(React!$C$31:$AK$31,Curves!$AN$19:$BV$19)</f>
        <v/>
      </c>
      <c r="AL32" s="3">
        <f>SUMPRODUCT(React!$C$31:$AL$31,Curves!$AM$19:$BV$19)</f>
        <v/>
      </c>
      <c r="AM32" s="3">
        <f>SUMPRODUCT(React!$C$31:$AM$31,Curves!$AL$19:$BV$19)</f>
        <v/>
      </c>
      <c r="AN32" s="3">
        <f>SUMPRODUCT(React!$C$31:$AN$31,Curves!$AK$19:$BV$19)</f>
        <v/>
      </c>
      <c r="AO32" s="3">
        <f>SUMPRODUCT(React!$C$31:$AO$31,Curves!$AJ$19:$BV$19)</f>
        <v/>
      </c>
      <c r="AP32" s="3">
        <f>SUMPRODUCT(React!$C$31:$AP$31,Curves!$AI$19:$BV$19)</f>
        <v/>
      </c>
      <c r="AQ32" s="3">
        <f>SUMPRODUCT(React!$C$31:$AQ$31,Curves!$AH$19:$BV$19)</f>
        <v/>
      </c>
      <c r="AR32" s="3">
        <f>SUMPRODUCT(React!$C$31:$AR$31,Curves!$AG$19:$BV$19)</f>
        <v/>
      </c>
      <c r="AS32" s="3">
        <f>SUMPRODUCT(React!$C$31:$AS$31,Curves!$AF$19:$BV$19)</f>
        <v/>
      </c>
      <c r="AT32" s="3">
        <f>SUMPRODUCT(React!$C$31:$AT$31,Curves!$AE$19:$BV$19)</f>
        <v/>
      </c>
      <c r="AU32" s="3">
        <f>SUMPRODUCT(React!$C$31:$AU$31,Curves!$AD$19:$BV$19)</f>
        <v/>
      </c>
      <c r="AV32" s="3">
        <f>SUMPRODUCT(React!$C$31:$AV$31,Curves!$AC$19:$BV$19)</f>
        <v/>
      </c>
      <c r="AW32" s="3">
        <f>SUMPRODUCT(React!$C$31:$AW$31,Curves!$AB$19:$BV$19)</f>
        <v/>
      </c>
      <c r="AX32" s="3">
        <f>SUMPRODUCT(React!$C$31:$AX$31,Curves!$AA$19:$BV$19)</f>
        <v/>
      </c>
      <c r="AY32" s="3">
        <f>SUMPRODUCT(React!$C$31:$AY$31,Curves!$Z$19:$BV$19)</f>
        <v/>
      </c>
      <c r="AZ32" s="3">
        <f>SUMPRODUCT(React!$C$31:$AZ$31,Curves!$Y$19:$BV$19)</f>
        <v/>
      </c>
      <c r="BA32" s="3">
        <f>SUMPRODUCT(React!$C$31:$BA$31,Curves!$X$19:$BV$19)</f>
        <v/>
      </c>
      <c r="BB32" s="3">
        <f>SUMPRODUCT(React!$C$31:$BB$31,Curves!$W$19:$BV$19)</f>
        <v/>
      </c>
      <c r="BC32" s="3">
        <f>SUMPRODUCT(React!$C$31:$BC$31,Curves!$V$19:$BV$19)</f>
        <v/>
      </c>
      <c r="BD32" s="3">
        <f>SUMPRODUCT(React!$C$31:$BD$31,Curves!$U$19:$BV$19)</f>
        <v/>
      </c>
      <c r="BE32" s="3">
        <f>SUMPRODUCT(React!$C$31:$BE$31,Curves!$T$19:$BV$19)</f>
        <v/>
      </c>
      <c r="BF32" s="3">
        <f>SUMPRODUCT(React!$C$31:$BF$31,Curves!$S$19:$BV$19)</f>
        <v/>
      </c>
      <c r="BG32" s="3">
        <f>SUMPRODUCT(React!$C$31:$BG$31,Curves!$R$19:$BV$19)</f>
        <v/>
      </c>
      <c r="BH32" s="3">
        <f>SUMPRODUCT(React!$C$31:$BH$31,Curves!$Q$19:$BV$19)</f>
        <v/>
      </c>
      <c r="BI32" s="3">
        <f>SUMPRODUCT(React!$C$31:$BI$31,Curves!$P$19:$BV$19)</f>
        <v/>
      </c>
      <c r="BJ32" s="3">
        <f>SUMPRODUCT(React!$C$31:$BJ$31,Curves!$O$19:$BV$19)</f>
        <v/>
      </c>
      <c r="BK32" s="3">
        <f>SUMPRODUCT(React!$C$31:$BK$31,Curves!$N$19:$BV$19)</f>
        <v/>
      </c>
      <c r="BL32" s="3">
        <f>SUMPRODUCT(React!$C$31:$BL$31,Curves!$M$19:$BV$19)</f>
        <v/>
      </c>
      <c r="BM32" s="3">
        <f>SUMPRODUCT(React!$C$31:$BM$31,Curves!$L$19:$BV$19)</f>
        <v/>
      </c>
      <c r="BN32" s="3">
        <f>SUMPRODUCT(React!$C$31:$BN$31,Curves!$K$19:$BV$19)</f>
        <v/>
      </c>
      <c r="BO32" s="3">
        <f>SUMPRODUCT(React!$C$31:$BO$31,Curves!$J$19:$BV$19)</f>
        <v/>
      </c>
      <c r="BP32" s="3">
        <f>SUMPRODUCT(React!$C$31:$BP$31,Curves!$I$19:$BV$19)</f>
        <v/>
      </c>
      <c r="BQ32" s="3">
        <f>SUMPRODUCT(React!$C$31:$BQ$31,Curves!$H$19:$BV$19)</f>
        <v/>
      </c>
      <c r="BR32" s="3">
        <f>SUMPRODUCT(React!$C$31:$BR$31,Curves!$G$19:$BV$19)</f>
        <v/>
      </c>
      <c r="BS32" s="3">
        <f>SUMPRODUCT(React!$C$31:$BS$31,Curves!$F$19:$BV$19)</f>
        <v/>
      </c>
      <c r="BT32" s="3">
        <f>SUMPRODUCT(React!$C$31:$BT$31,Curves!$E$19:$BV$19)</f>
        <v/>
      </c>
      <c r="BU32" s="3">
        <f>SUMPRODUCT(React!$C$31:$BU$31,Curves!$D$19:$BV$19)</f>
        <v/>
      </c>
      <c r="BV32" s="3">
        <f>SUMPRODUCT(React!$C$31:$BV$31,Curves!$C$19:$BV$19)</f>
        <v/>
      </c>
    </row>
    <row r="33">
      <c r="A33" t="inlineStr">
        <is>
          <t>reactivated in</t>
        </is>
      </c>
      <c r="B33" t="inlineStr">
        <is>
          <t>EUROPE|NITRO_M</t>
        </is>
      </c>
      <c r="C33" s="3">
        <f>C32+C39</f>
        <v/>
      </c>
      <c r="D33" s="3">
        <f>D32+D39</f>
        <v/>
      </c>
      <c r="E33" s="3">
        <f>E32+E39</f>
        <v/>
      </c>
      <c r="F33" s="3">
        <f>F32+F39</f>
        <v/>
      </c>
      <c r="G33" s="3">
        <f>G32+G39</f>
        <v/>
      </c>
      <c r="H33" s="3">
        <f>H32+H39</f>
        <v/>
      </c>
      <c r="I33" s="3">
        <f>I32+I39</f>
        <v/>
      </c>
      <c r="J33" s="3">
        <f>J32+J39</f>
        <v/>
      </c>
      <c r="K33" s="3">
        <f>K32+K39</f>
        <v/>
      </c>
      <c r="L33" s="3">
        <f>L32+L39</f>
        <v/>
      </c>
      <c r="M33" s="3">
        <f>M32+M39</f>
        <v/>
      </c>
      <c r="N33" s="3">
        <f>N32+N39</f>
        <v/>
      </c>
      <c r="O33" s="3">
        <f>O32+O39</f>
        <v/>
      </c>
      <c r="P33" s="3">
        <f>P32+P39</f>
        <v/>
      </c>
      <c r="Q33" s="3">
        <f>Q32+Q39</f>
        <v/>
      </c>
      <c r="R33" s="3">
        <f>R32+R39</f>
        <v/>
      </c>
      <c r="S33" s="3">
        <f>S32+S39</f>
        <v/>
      </c>
      <c r="T33" s="3">
        <f>T32+T39</f>
        <v/>
      </c>
      <c r="U33" s="3">
        <f>U32+U39</f>
        <v/>
      </c>
      <c r="V33" s="3">
        <f>V32+V39</f>
        <v/>
      </c>
      <c r="W33" s="3">
        <f>W32+W39</f>
        <v/>
      </c>
      <c r="X33" s="3">
        <f>X32+X39</f>
        <v/>
      </c>
      <c r="Y33" s="3">
        <f>Y32+Y39</f>
        <v/>
      </c>
      <c r="Z33" s="3">
        <f>Z32+Z39</f>
        <v/>
      </c>
      <c r="AA33" s="3">
        <f>AA32+AA39</f>
        <v/>
      </c>
      <c r="AB33" s="3">
        <f>AB32+AB39</f>
        <v/>
      </c>
      <c r="AC33" s="3">
        <f>AC32+AC39</f>
        <v/>
      </c>
      <c r="AD33" s="3">
        <f>AD32+AD39</f>
        <v/>
      </c>
      <c r="AE33" s="3">
        <f>AE32+AE39</f>
        <v/>
      </c>
      <c r="AF33" s="3">
        <f>AF32+AF39</f>
        <v/>
      </c>
      <c r="AG33" s="3">
        <f>AG32+AG39</f>
        <v/>
      </c>
      <c r="AH33" s="3">
        <f>AH32+AH39</f>
        <v/>
      </c>
      <c r="AI33" s="3">
        <f>AI32+AI39</f>
        <v/>
      </c>
      <c r="AJ33" s="3">
        <f>AJ32+AJ39</f>
        <v/>
      </c>
      <c r="AK33" s="3">
        <f>AK32+AK39</f>
        <v/>
      </c>
      <c r="AL33" s="3">
        <f>AL32+AL39</f>
        <v/>
      </c>
      <c r="AM33" s="3">
        <f>AM32+AM39</f>
        <v/>
      </c>
      <c r="AN33" s="3">
        <f>AN32+AN39</f>
        <v/>
      </c>
      <c r="AO33" s="3">
        <f>AO32+AO39</f>
        <v/>
      </c>
      <c r="AP33" s="3">
        <f>AP32+AP39</f>
        <v/>
      </c>
      <c r="AQ33" s="3">
        <f>AQ32+AQ39</f>
        <v/>
      </c>
      <c r="AR33" s="3">
        <f>AR32+AR39</f>
        <v/>
      </c>
      <c r="AS33" s="3">
        <f>AS32+AS39</f>
        <v/>
      </c>
      <c r="AT33" s="3">
        <f>AT32+AT39</f>
        <v/>
      </c>
      <c r="AU33" s="3">
        <f>AU32+AU39</f>
        <v/>
      </c>
      <c r="AV33" s="3">
        <f>AV32+AV39</f>
        <v/>
      </c>
      <c r="AW33" s="3">
        <f>AW32+AW39</f>
        <v/>
      </c>
      <c r="AX33" s="3">
        <f>AX32+AX39</f>
        <v/>
      </c>
      <c r="AY33" s="3">
        <f>AY32+AY39</f>
        <v/>
      </c>
      <c r="AZ33" s="3">
        <f>AZ32+AZ39</f>
        <v/>
      </c>
      <c r="BA33" s="3">
        <f>BA32+BA39</f>
        <v/>
      </c>
      <c r="BB33" s="3">
        <f>BB32+BB39</f>
        <v/>
      </c>
      <c r="BC33" s="3">
        <f>BC32+BC39</f>
        <v/>
      </c>
      <c r="BD33" s="3">
        <f>BD32+BD39</f>
        <v/>
      </c>
      <c r="BE33" s="3">
        <f>BE32+BE39</f>
        <v/>
      </c>
      <c r="BF33" s="3">
        <f>BF32+BF39</f>
        <v/>
      </c>
      <c r="BG33" s="3">
        <f>BG32+BG39</f>
        <v/>
      </c>
      <c r="BH33" s="3">
        <f>BH32+BH39</f>
        <v/>
      </c>
      <c r="BI33" s="3">
        <f>BI32+BI39</f>
        <v/>
      </c>
      <c r="BJ33" s="3">
        <f>BJ32+BJ39</f>
        <v/>
      </c>
      <c r="BK33" s="3">
        <f>BK32+BK39</f>
        <v/>
      </c>
      <c r="BL33" s="3">
        <f>BL32+BL39</f>
        <v/>
      </c>
      <c r="BM33" s="3">
        <f>BM32+BM39</f>
        <v/>
      </c>
      <c r="BN33" s="3">
        <f>BN32+BN39</f>
        <v/>
      </c>
      <c r="BO33" s="3">
        <f>BO32+BO39</f>
        <v/>
      </c>
      <c r="BP33" s="3">
        <f>BP32+BP39</f>
        <v/>
      </c>
      <c r="BQ33" s="3">
        <f>BQ32+BQ39</f>
        <v/>
      </c>
      <c r="BR33" s="3">
        <f>BR32+BR39</f>
        <v/>
      </c>
      <c r="BS33" s="3">
        <f>BS32+BS39</f>
        <v/>
      </c>
      <c r="BT33" s="3">
        <f>BT32+BT39</f>
        <v/>
      </c>
      <c r="BU33" s="3">
        <f>BU32+BU39</f>
        <v/>
      </c>
      <c r="BV33" s="3">
        <f>BV32+BV39</f>
        <v/>
      </c>
    </row>
    <row r="34">
      <c r="A34" t="inlineStr">
        <is>
          <t>active</t>
        </is>
      </c>
      <c r="B34" t="inlineStr">
        <is>
          <t>EUROPE|NITRO_M</t>
        </is>
      </c>
      <c r="C34" s="3">
        <f>React!$C$33*Curves!$BV$17</f>
        <v/>
      </c>
      <c r="D34" s="3">
        <f>SUMPRODUCT(React!$C$33:$D$33,Curves!$BU$17:$BV$17)</f>
        <v/>
      </c>
      <c r="E34" s="3">
        <f>SUMPRODUCT(React!$C$33:$E$33,Curves!$BT$17:$BV$17)</f>
        <v/>
      </c>
      <c r="F34" s="3">
        <f>SUMPRODUCT(React!$C$33:$F$33,Curves!$BS$17:$BV$17)</f>
        <v/>
      </c>
      <c r="G34" s="3">
        <f>SUMPRODUCT(React!$C$33:$G$33,Curves!$BR$17:$BV$17)</f>
        <v/>
      </c>
      <c r="H34" s="3">
        <f>SUMPRODUCT(React!$C$33:$H$33,Curves!$BQ$17:$BV$17)</f>
        <v/>
      </c>
      <c r="I34" s="3">
        <f>SUMPRODUCT(React!$C$33:$I$33,Curves!$BP$17:$BV$17)</f>
        <v/>
      </c>
      <c r="J34" s="3">
        <f>SUMPRODUCT(React!$C$33:$J$33,Curves!$BO$17:$BV$17)</f>
        <v/>
      </c>
      <c r="K34" s="3">
        <f>SUMPRODUCT(React!$C$33:$K$33,Curves!$BN$17:$BV$17)</f>
        <v/>
      </c>
      <c r="L34" s="3">
        <f>SUMPRODUCT(React!$C$33:$L$33,Curves!$BM$17:$BV$17)</f>
        <v/>
      </c>
      <c r="M34" s="3">
        <f>SUMPRODUCT(React!$C$33:$M$33,Curves!$BL$17:$BV$17)</f>
        <v/>
      </c>
      <c r="N34" s="3">
        <f>SUMPRODUCT(React!$C$33:$N$33,Curves!$BK$17:$BV$17)</f>
        <v/>
      </c>
      <c r="O34" s="3">
        <f>SUMPRODUCT(React!$C$33:$O$33,Curves!$BJ$17:$BV$17)</f>
        <v/>
      </c>
      <c r="P34" s="3">
        <f>SUMPRODUCT(React!$C$33:$P$33,Curves!$BI$17:$BV$17)</f>
        <v/>
      </c>
      <c r="Q34" s="3">
        <f>SUMPRODUCT(React!$C$33:$Q$33,Curves!$BH$17:$BV$17)</f>
        <v/>
      </c>
      <c r="R34" s="3">
        <f>SUMPRODUCT(React!$C$33:$R$33,Curves!$BG$17:$BV$17)</f>
        <v/>
      </c>
      <c r="S34" s="3">
        <f>SUMPRODUCT(React!$C$33:$S$33,Curves!$BF$17:$BV$17)</f>
        <v/>
      </c>
      <c r="T34" s="3">
        <f>SUMPRODUCT(React!$C$33:$T$33,Curves!$BE$17:$BV$17)</f>
        <v/>
      </c>
      <c r="U34" s="3">
        <f>SUMPRODUCT(React!$C$33:$U$33,Curves!$BD$17:$BV$17)</f>
        <v/>
      </c>
      <c r="V34" s="3">
        <f>SUMPRODUCT(React!$C$33:$V$33,Curves!$BC$17:$BV$17)</f>
        <v/>
      </c>
      <c r="W34" s="3">
        <f>SUMPRODUCT(React!$C$33:$W$33,Curves!$BB$17:$BV$17)</f>
        <v/>
      </c>
      <c r="X34" s="3">
        <f>SUMPRODUCT(React!$C$33:$X$33,Curves!$BA$17:$BV$17)</f>
        <v/>
      </c>
      <c r="Y34" s="3">
        <f>SUMPRODUCT(React!$C$33:$Y$33,Curves!$AZ$17:$BV$17)</f>
        <v/>
      </c>
      <c r="Z34" s="3">
        <f>SUMPRODUCT(React!$C$33:$Z$33,Curves!$AY$17:$BV$17)</f>
        <v/>
      </c>
      <c r="AA34" s="3">
        <f>SUMPRODUCT(React!$C$33:$AA$33,Curves!$AX$17:$BV$17)</f>
        <v/>
      </c>
      <c r="AB34" s="3">
        <f>SUMPRODUCT(React!$C$33:$AB$33,Curves!$AW$17:$BV$17)</f>
        <v/>
      </c>
      <c r="AC34" s="3">
        <f>SUMPRODUCT(React!$C$33:$AC$33,Curves!$AV$17:$BV$17)</f>
        <v/>
      </c>
      <c r="AD34" s="3">
        <f>SUMPRODUCT(React!$C$33:$AD$33,Curves!$AU$17:$BV$17)</f>
        <v/>
      </c>
      <c r="AE34" s="3">
        <f>SUMPRODUCT(React!$C$33:$AE$33,Curves!$AT$17:$BV$17)</f>
        <v/>
      </c>
      <c r="AF34" s="3">
        <f>SUMPRODUCT(React!$C$33:$AF$33,Curves!$AS$17:$BV$17)</f>
        <v/>
      </c>
      <c r="AG34" s="3">
        <f>SUMPRODUCT(React!$C$33:$AG$33,Curves!$AR$17:$BV$17)</f>
        <v/>
      </c>
      <c r="AH34" s="3">
        <f>SUMPRODUCT(React!$C$33:$AH$33,Curves!$AQ$17:$BV$17)</f>
        <v/>
      </c>
      <c r="AI34" s="3">
        <f>SUMPRODUCT(React!$C$33:$AI$33,Curves!$AP$17:$BV$17)</f>
        <v/>
      </c>
      <c r="AJ34" s="3">
        <f>SUMPRODUCT(React!$C$33:$AJ$33,Curves!$AO$17:$BV$17)</f>
        <v/>
      </c>
      <c r="AK34" s="3">
        <f>SUMPRODUCT(React!$C$33:$AK$33,Curves!$AN$17:$BV$17)</f>
        <v/>
      </c>
      <c r="AL34" s="3">
        <f>SUMPRODUCT(React!$C$33:$AL$33,Curves!$AM$17:$BV$17)</f>
        <v/>
      </c>
      <c r="AM34" s="3">
        <f>SUMPRODUCT(React!$C$33:$AM$33,Curves!$AL$17:$BV$17)</f>
        <v/>
      </c>
      <c r="AN34" s="3">
        <f>SUMPRODUCT(React!$C$33:$AN$33,Curves!$AK$17:$BV$17)</f>
        <v/>
      </c>
      <c r="AO34" s="3">
        <f>SUMPRODUCT(React!$C$33:$AO$33,Curves!$AJ$17:$BV$17)</f>
        <v/>
      </c>
      <c r="AP34" s="3">
        <f>SUMPRODUCT(React!$C$33:$AP$33,Curves!$AI$17:$BV$17)</f>
        <v/>
      </c>
      <c r="AQ34" s="3">
        <f>SUMPRODUCT(React!$C$33:$AQ$33,Curves!$AH$17:$BV$17)</f>
        <v/>
      </c>
      <c r="AR34" s="3">
        <f>SUMPRODUCT(React!$C$33:$AR$33,Curves!$AG$17:$BV$17)</f>
        <v/>
      </c>
      <c r="AS34" s="3">
        <f>SUMPRODUCT(React!$C$33:$AS$33,Curves!$AF$17:$BV$17)</f>
        <v/>
      </c>
      <c r="AT34" s="3">
        <f>SUMPRODUCT(React!$C$33:$AT$33,Curves!$AE$17:$BV$17)</f>
        <v/>
      </c>
      <c r="AU34" s="3">
        <f>SUMPRODUCT(React!$C$33:$AU$33,Curves!$AD$17:$BV$17)</f>
        <v/>
      </c>
      <c r="AV34" s="3">
        <f>SUMPRODUCT(React!$C$33:$AV$33,Curves!$AC$17:$BV$17)</f>
        <v/>
      </c>
      <c r="AW34" s="3">
        <f>SUMPRODUCT(React!$C$33:$AW$33,Curves!$AB$17:$BV$17)</f>
        <v/>
      </c>
      <c r="AX34" s="3">
        <f>SUMPRODUCT(React!$C$33:$AX$33,Curves!$AA$17:$BV$17)</f>
        <v/>
      </c>
      <c r="AY34" s="3">
        <f>SUMPRODUCT(React!$C$33:$AY$33,Curves!$Z$17:$BV$17)</f>
        <v/>
      </c>
      <c r="AZ34" s="3">
        <f>SUMPRODUCT(React!$C$33:$AZ$33,Curves!$Y$17:$BV$17)</f>
        <v/>
      </c>
      <c r="BA34" s="3">
        <f>SUMPRODUCT(React!$C$33:$BA$33,Curves!$X$17:$BV$17)</f>
        <v/>
      </c>
      <c r="BB34" s="3">
        <f>SUMPRODUCT(React!$C$33:$BB$33,Curves!$W$17:$BV$17)</f>
        <v/>
      </c>
      <c r="BC34" s="3">
        <f>SUMPRODUCT(React!$C$33:$BC$33,Curves!$V$17:$BV$17)</f>
        <v/>
      </c>
      <c r="BD34" s="3">
        <f>SUMPRODUCT(React!$C$33:$BD$33,Curves!$U$17:$BV$17)</f>
        <v/>
      </c>
      <c r="BE34" s="3">
        <f>SUMPRODUCT(React!$C$33:$BE$33,Curves!$T$17:$BV$17)</f>
        <v/>
      </c>
      <c r="BF34" s="3">
        <f>SUMPRODUCT(React!$C$33:$BF$33,Curves!$S$17:$BV$17)</f>
        <v/>
      </c>
      <c r="BG34" s="3">
        <f>SUMPRODUCT(React!$C$33:$BG$33,Curves!$R$17:$BV$17)</f>
        <v/>
      </c>
      <c r="BH34" s="3">
        <f>SUMPRODUCT(React!$C$33:$BH$33,Curves!$Q$17:$BV$17)</f>
        <v/>
      </c>
      <c r="BI34" s="3">
        <f>SUMPRODUCT(React!$C$33:$BI$33,Curves!$P$17:$BV$17)</f>
        <v/>
      </c>
      <c r="BJ34" s="3">
        <f>SUMPRODUCT(React!$C$33:$BJ$33,Curves!$O$17:$BV$17)</f>
        <v/>
      </c>
      <c r="BK34" s="3">
        <f>SUMPRODUCT(React!$C$33:$BK$33,Curves!$N$17:$BV$17)</f>
        <v/>
      </c>
      <c r="BL34" s="3">
        <f>SUMPRODUCT(React!$C$33:$BL$33,Curves!$M$17:$BV$17)</f>
        <v/>
      </c>
      <c r="BM34" s="3">
        <f>SUMPRODUCT(React!$C$33:$BM$33,Curves!$L$17:$BV$17)</f>
        <v/>
      </c>
      <c r="BN34" s="3">
        <f>SUMPRODUCT(React!$C$33:$BN$33,Curves!$K$17:$BV$17)</f>
        <v/>
      </c>
      <c r="BO34" s="3">
        <f>SUMPRODUCT(React!$C$33:$BO$33,Curves!$J$17:$BV$17)</f>
        <v/>
      </c>
      <c r="BP34" s="3">
        <f>SUMPRODUCT(React!$C$33:$BP$33,Curves!$I$17:$BV$17)</f>
        <v/>
      </c>
      <c r="BQ34" s="3">
        <f>SUMPRODUCT(React!$C$33:$BQ$33,Curves!$H$17:$BV$17)</f>
        <v/>
      </c>
      <c r="BR34" s="3">
        <f>SUMPRODUCT(React!$C$33:$BR$33,Curves!$G$17:$BV$17)</f>
        <v/>
      </c>
      <c r="BS34" s="3">
        <f>SUMPRODUCT(React!$C$33:$BS$33,Curves!$F$17:$BV$17)</f>
        <v/>
      </c>
      <c r="BT34" s="3">
        <f>SUMPRODUCT(React!$C$33:$BT$33,Curves!$E$17:$BV$17)</f>
        <v/>
      </c>
      <c r="BU34" s="3">
        <f>SUMPRODUCT(React!$C$33:$BU$33,Curves!$D$17:$BV$17)</f>
        <v/>
      </c>
      <c r="BV34" s="3">
        <f>SUMPRODUCT(React!$C$33:$BV$33,Curves!$C$17:$BV$17)</f>
        <v/>
      </c>
    </row>
    <row r="35">
      <c r="A35" t="inlineStr">
        <is>
          <t>active yr 1</t>
        </is>
      </c>
      <c r="B35" t="inlineStr">
        <is>
          <t>EUROPE|NITRO_M</t>
        </is>
      </c>
      <c r="C35" s="3">
        <f>React!$C$33*Curves!$BV$22</f>
        <v/>
      </c>
      <c r="D35" s="3">
        <f>SUMPRODUCT(React!$C$33:$D$33,Curves!$BU$22:$BV$22)</f>
        <v/>
      </c>
      <c r="E35" s="3">
        <f>SUMPRODUCT(React!$C$33:$E$33,Curves!$BT$22:$BV$22)</f>
        <v/>
      </c>
      <c r="F35" s="3">
        <f>SUMPRODUCT(React!$C$33:$F$33,Curves!$BS$22:$BV$22)</f>
        <v/>
      </c>
      <c r="G35" s="3">
        <f>SUMPRODUCT(React!$C$33:$G$33,Curves!$BR$22:$BV$22)</f>
        <v/>
      </c>
      <c r="H35" s="3">
        <f>SUMPRODUCT(React!$C$33:$H$33,Curves!$BQ$22:$BV$22)</f>
        <v/>
      </c>
      <c r="I35" s="3">
        <f>SUMPRODUCT(React!$C$33:$I$33,Curves!$BP$22:$BV$22)</f>
        <v/>
      </c>
      <c r="J35" s="3">
        <f>SUMPRODUCT(React!$C$33:$J$33,Curves!$BO$22:$BV$22)</f>
        <v/>
      </c>
      <c r="K35" s="3">
        <f>SUMPRODUCT(React!$C$33:$K$33,Curves!$BN$22:$BV$22)</f>
        <v/>
      </c>
      <c r="L35" s="3">
        <f>SUMPRODUCT(React!$C$33:$L$33,Curves!$BM$22:$BV$22)</f>
        <v/>
      </c>
      <c r="M35" s="3">
        <f>SUMPRODUCT(React!$C$33:$M$33,Curves!$BL$22:$BV$22)</f>
        <v/>
      </c>
      <c r="N35" s="3">
        <f>SUMPRODUCT(React!$C$33:$N$33,Curves!$BK$22:$BV$22)</f>
        <v/>
      </c>
      <c r="O35" s="3">
        <f>SUMPRODUCT(React!$C$33:$O$33,Curves!$BJ$22:$BV$22)</f>
        <v/>
      </c>
      <c r="P35" s="3">
        <f>SUMPRODUCT(React!$C$33:$P$33,Curves!$BI$22:$BV$22)</f>
        <v/>
      </c>
      <c r="Q35" s="3">
        <f>SUMPRODUCT(React!$C$33:$Q$33,Curves!$BH$22:$BV$22)</f>
        <v/>
      </c>
      <c r="R35" s="3">
        <f>SUMPRODUCT(React!$C$33:$R$33,Curves!$BG$22:$BV$22)</f>
        <v/>
      </c>
      <c r="S35" s="3">
        <f>SUMPRODUCT(React!$C$33:$S$33,Curves!$BF$22:$BV$22)</f>
        <v/>
      </c>
      <c r="T35" s="3">
        <f>SUMPRODUCT(React!$C$33:$T$33,Curves!$BE$22:$BV$22)</f>
        <v/>
      </c>
      <c r="U35" s="3">
        <f>SUMPRODUCT(React!$C$33:$U$33,Curves!$BD$22:$BV$22)</f>
        <v/>
      </c>
      <c r="V35" s="3">
        <f>SUMPRODUCT(React!$C$33:$V$33,Curves!$BC$22:$BV$22)</f>
        <v/>
      </c>
      <c r="W35" s="3">
        <f>SUMPRODUCT(React!$C$33:$W$33,Curves!$BB$22:$BV$22)</f>
        <v/>
      </c>
      <c r="X35" s="3">
        <f>SUMPRODUCT(React!$C$33:$X$33,Curves!$BA$22:$BV$22)</f>
        <v/>
      </c>
      <c r="Y35" s="3">
        <f>SUMPRODUCT(React!$C$33:$Y$33,Curves!$AZ$22:$BV$22)</f>
        <v/>
      </c>
      <c r="Z35" s="3">
        <f>SUMPRODUCT(React!$C$33:$Z$33,Curves!$AY$22:$BV$22)</f>
        <v/>
      </c>
      <c r="AA35" s="3">
        <f>SUMPRODUCT(React!$C$33:$AA$33,Curves!$AX$22:$BV$22)</f>
        <v/>
      </c>
      <c r="AB35" s="3">
        <f>SUMPRODUCT(React!$C$33:$AB$33,Curves!$AW$22:$BV$22)</f>
        <v/>
      </c>
      <c r="AC35" s="3">
        <f>SUMPRODUCT(React!$C$33:$AC$33,Curves!$AV$22:$BV$22)</f>
        <v/>
      </c>
      <c r="AD35" s="3">
        <f>SUMPRODUCT(React!$C$33:$AD$33,Curves!$AU$22:$BV$22)</f>
        <v/>
      </c>
      <c r="AE35" s="3">
        <f>SUMPRODUCT(React!$C$33:$AE$33,Curves!$AT$22:$BV$22)</f>
        <v/>
      </c>
      <c r="AF35" s="3">
        <f>SUMPRODUCT(React!$C$33:$AF$33,Curves!$AS$22:$BV$22)</f>
        <v/>
      </c>
      <c r="AG35" s="3">
        <f>SUMPRODUCT(React!$C$33:$AG$33,Curves!$AR$22:$BV$22)</f>
        <v/>
      </c>
      <c r="AH35" s="3">
        <f>SUMPRODUCT(React!$C$33:$AH$33,Curves!$AQ$22:$BV$22)</f>
        <v/>
      </c>
      <c r="AI35" s="3">
        <f>SUMPRODUCT(React!$C$33:$AI$33,Curves!$AP$22:$BV$22)</f>
        <v/>
      </c>
      <c r="AJ35" s="3">
        <f>SUMPRODUCT(React!$C$33:$AJ$33,Curves!$AO$22:$BV$22)</f>
        <v/>
      </c>
      <c r="AK35" s="3">
        <f>SUMPRODUCT(React!$C$33:$AK$33,Curves!$AN$22:$BV$22)</f>
        <v/>
      </c>
      <c r="AL35" s="3">
        <f>SUMPRODUCT(React!$C$33:$AL$33,Curves!$AM$22:$BV$22)</f>
        <v/>
      </c>
      <c r="AM35" s="3">
        <f>SUMPRODUCT(React!$C$33:$AM$33,Curves!$AL$22:$BV$22)</f>
        <v/>
      </c>
      <c r="AN35" s="3">
        <f>SUMPRODUCT(React!$C$33:$AN$33,Curves!$AK$22:$BV$22)</f>
        <v/>
      </c>
      <c r="AO35" s="3">
        <f>SUMPRODUCT(React!$C$33:$AO$33,Curves!$AJ$22:$BV$22)</f>
        <v/>
      </c>
      <c r="AP35" s="3">
        <f>SUMPRODUCT(React!$C$33:$AP$33,Curves!$AI$22:$BV$22)</f>
        <v/>
      </c>
      <c r="AQ35" s="3">
        <f>SUMPRODUCT(React!$C$33:$AQ$33,Curves!$AH$22:$BV$22)</f>
        <v/>
      </c>
      <c r="AR35" s="3">
        <f>SUMPRODUCT(React!$C$33:$AR$33,Curves!$AG$22:$BV$22)</f>
        <v/>
      </c>
      <c r="AS35" s="3">
        <f>SUMPRODUCT(React!$C$33:$AS$33,Curves!$AF$22:$BV$22)</f>
        <v/>
      </c>
      <c r="AT35" s="3">
        <f>SUMPRODUCT(React!$C$33:$AT$33,Curves!$AE$22:$BV$22)</f>
        <v/>
      </c>
      <c r="AU35" s="3">
        <f>SUMPRODUCT(React!$C$33:$AU$33,Curves!$AD$22:$BV$22)</f>
        <v/>
      </c>
      <c r="AV35" s="3">
        <f>SUMPRODUCT(React!$C$33:$AV$33,Curves!$AC$22:$BV$22)</f>
        <v/>
      </c>
      <c r="AW35" s="3">
        <f>SUMPRODUCT(React!$C$33:$AW$33,Curves!$AB$22:$BV$22)</f>
        <v/>
      </c>
      <c r="AX35" s="3">
        <f>SUMPRODUCT(React!$C$33:$AX$33,Curves!$AA$22:$BV$22)</f>
        <v/>
      </c>
      <c r="AY35" s="3">
        <f>SUMPRODUCT(React!$C$33:$AY$33,Curves!$Z$22:$BV$22)</f>
        <v/>
      </c>
      <c r="AZ35" s="3">
        <f>SUMPRODUCT(React!$C$33:$AZ$33,Curves!$Y$22:$BV$22)</f>
        <v/>
      </c>
      <c r="BA35" s="3">
        <f>SUMPRODUCT(React!$C$33:$BA$33,Curves!$X$22:$BV$22)</f>
        <v/>
      </c>
      <c r="BB35" s="3">
        <f>SUMPRODUCT(React!$C$33:$BB$33,Curves!$W$22:$BV$22)</f>
        <v/>
      </c>
      <c r="BC35" s="3">
        <f>SUMPRODUCT(React!$C$33:$BC$33,Curves!$V$22:$BV$22)</f>
        <v/>
      </c>
      <c r="BD35" s="3">
        <f>SUMPRODUCT(React!$C$33:$BD$33,Curves!$U$22:$BV$22)</f>
        <v/>
      </c>
      <c r="BE35" s="3">
        <f>SUMPRODUCT(React!$C$33:$BE$33,Curves!$T$22:$BV$22)</f>
        <v/>
      </c>
      <c r="BF35" s="3">
        <f>SUMPRODUCT(React!$C$33:$BF$33,Curves!$S$22:$BV$22)</f>
        <v/>
      </c>
      <c r="BG35" s="3">
        <f>SUMPRODUCT(React!$C$33:$BG$33,Curves!$R$22:$BV$22)</f>
        <v/>
      </c>
      <c r="BH35" s="3">
        <f>SUMPRODUCT(React!$C$33:$BH$33,Curves!$Q$22:$BV$22)</f>
        <v/>
      </c>
      <c r="BI35" s="3">
        <f>SUMPRODUCT(React!$C$33:$BI$33,Curves!$P$22:$BV$22)</f>
        <v/>
      </c>
      <c r="BJ35" s="3">
        <f>SUMPRODUCT(React!$C$33:$BJ$33,Curves!$O$22:$BV$22)</f>
        <v/>
      </c>
      <c r="BK35" s="3">
        <f>SUMPRODUCT(React!$C$33:$BK$33,Curves!$N$22:$BV$22)</f>
        <v/>
      </c>
      <c r="BL35" s="3">
        <f>SUMPRODUCT(React!$C$33:$BL$33,Curves!$M$22:$BV$22)</f>
        <v/>
      </c>
      <c r="BM35" s="3">
        <f>SUMPRODUCT(React!$C$33:$BM$33,Curves!$L$22:$BV$22)</f>
        <v/>
      </c>
      <c r="BN35" s="3">
        <f>SUMPRODUCT(React!$C$33:$BN$33,Curves!$K$22:$BV$22)</f>
        <v/>
      </c>
      <c r="BO35" s="3">
        <f>SUMPRODUCT(React!$C$33:$BO$33,Curves!$J$22:$BV$22)</f>
        <v/>
      </c>
      <c r="BP35" s="3">
        <f>SUMPRODUCT(React!$C$33:$BP$33,Curves!$I$22:$BV$22)</f>
        <v/>
      </c>
      <c r="BQ35" s="3">
        <f>SUMPRODUCT(React!$C$33:$BQ$33,Curves!$H$22:$BV$22)</f>
        <v/>
      </c>
      <c r="BR35" s="3">
        <f>SUMPRODUCT(React!$C$33:$BR$33,Curves!$G$22:$BV$22)</f>
        <v/>
      </c>
      <c r="BS35" s="3">
        <f>SUMPRODUCT(React!$C$33:$BS$33,Curves!$F$22:$BV$22)</f>
        <v/>
      </c>
      <c r="BT35" s="3">
        <f>SUMPRODUCT(React!$C$33:$BT$33,Curves!$E$22:$BV$22)</f>
        <v/>
      </c>
      <c r="BU35" s="3">
        <f>SUMPRODUCT(React!$C$33:$BU$33,Curves!$D$22:$BV$22)</f>
        <v/>
      </c>
      <c r="BV35" s="3">
        <f>SUMPRODUCT(React!$C$33:$BV$33,Curves!$C$22:$BV$22)</f>
        <v/>
      </c>
    </row>
    <row r="36">
      <c r="A36" t="inlineStr">
        <is>
          <t>churned</t>
        </is>
      </c>
      <c r="B36" t="inlineStr">
        <is>
          <t>EUROPE|NITRO_M</t>
        </is>
      </c>
      <c r="C36" s="3">
        <f>React!$C$33*Curves!$BV$18</f>
        <v/>
      </c>
      <c r="D36" s="3">
        <f>SUMPRODUCT(React!$C$33:$D$33,Curves!$BU$18:$BV$18)</f>
        <v/>
      </c>
      <c r="E36" s="3">
        <f>SUMPRODUCT(React!$C$33:$E$33,Curves!$BT$18:$BV$18)</f>
        <v/>
      </c>
      <c r="F36" s="3">
        <f>SUMPRODUCT(React!$C$33:$F$33,Curves!$BS$18:$BV$18)</f>
        <v/>
      </c>
      <c r="G36" s="3">
        <f>SUMPRODUCT(React!$C$33:$G$33,Curves!$BR$18:$BV$18)</f>
        <v/>
      </c>
      <c r="H36" s="3">
        <f>SUMPRODUCT(React!$C$33:$H$33,Curves!$BQ$18:$BV$18)</f>
        <v/>
      </c>
      <c r="I36" s="3">
        <f>SUMPRODUCT(React!$C$33:$I$33,Curves!$BP$18:$BV$18)</f>
        <v/>
      </c>
      <c r="J36" s="3">
        <f>SUMPRODUCT(React!$C$33:$J$33,Curves!$BO$18:$BV$18)</f>
        <v/>
      </c>
      <c r="K36" s="3">
        <f>SUMPRODUCT(React!$C$33:$K$33,Curves!$BN$18:$BV$18)</f>
        <v/>
      </c>
      <c r="L36" s="3">
        <f>SUMPRODUCT(React!$C$33:$L$33,Curves!$BM$18:$BV$18)</f>
        <v/>
      </c>
      <c r="M36" s="3">
        <f>SUMPRODUCT(React!$C$33:$M$33,Curves!$BL$18:$BV$18)</f>
        <v/>
      </c>
      <c r="N36" s="3">
        <f>SUMPRODUCT(React!$C$33:$N$33,Curves!$BK$18:$BV$18)</f>
        <v/>
      </c>
      <c r="O36" s="3">
        <f>SUMPRODUCT(React!$C$33:$O$33,Curves!$BJ$18:$BV$18)</f>
        <v/>
      </c>
      <c r="P36" s="3">
        <f>SUMPRODUCT(React!$C$33:$P$33,Curves!$BI$18:$BV$18)</f>
        <v/>
      </c>
      <c r="Q36" s="3">
        <f>SUMPRODUCT(React!$C$33:$Q$33,Curves!$BH$18:$BV$18)</f>
        <v/>
      </c>
      <c r="R36" s="3">
        <f>SUMPRODUCT(React!$C$33:$R$33,Curves!$BG$18:$BV$18)</f>
        <v/>
      </c>
      <c r="S36" s="3">
        <f>SUMPRODUCT(React!$C$33:$S$33,Curves!$BF$18:$BV$18)</f>
        <v/>
      </c>
      <c r="T36" s="3">
        <f>SUMPRODUCT(React!$C$33:$T$33,Curves!$BE$18:$BV$18)</f>
        <v/>
      </c>
      <c r="U36" s="3">
        <f>SUMPRODUCT(React!$C$33:$U$33,Curves!$BD$18:$BV$18)</f>
        <v/>
      </c>
      <c r="V36" s="3">
        <f>SUMPRODUCT(React!$C$33:$V$33,Curves!$BC$18:$BV$18)</f>
        <v/>
      </c>
      <c r="W36" s="3">
        <f>SUMPRODUCT(React!$C$33:$W$33,Curves!$BB$18:$BV$18)</f>
        <v/>
      </c>
      <c r="X36" s="3">
        <f>SUMPRODUCT(React!$C$33:$X$33,Curves!$BA$18:$BV$18)</f>
        <v/>
      </c>
      <c r="Y36" s="3">
        <f>SUMPRODUCT(React!$C$33:$Y$33,Curves!$AZ$18:$BV$18)</f>
        <v/>
      </c>
      <c r="Z36" s="3">
        <f>SUMPRODUCT(React!$C$33:$Z$33,Curves!$AY$18:$BV$18)</f>
        <v/>
      </c>
      <c r="AA36" s="3">
        <f>SUMPRODUCT(React!$C$33:$AA$33,Curves!$AX$18:$BV$18)</f>
        <v/>
      </c>
      <c r="AB36" s="3">
        <f>SUMPRODUCT(React!$C$33:$AB$33,Curves!$AW$18:$BV$18)</f>
        <v/>
      </c>
      <c r="AC36" s="3">
        <f>SUMPRODUCT(React!$C$33:$AC$33,Curves!$AV$18:$BV$18)</f>
        <v/>
      </c>
      <c r="AD36" s="3">
        <f>SUMPRODUCT(React!$C$33:$AD$33,Curves!$AU$18:$BV$18)</f>
        <v/>
      </c>
      <c r="AE36" s="3">
        <f>SUMPRODUCT(React!$C$33:$AE$33,Curves!$AT$18:$BV$18)</f>
        <v/>
      </c>
      <c r="AF36" s="3">
        <f>SUMPRODUCT(React!$C$33:$AF$33,Curves!$AS$18:$BV$18)</f>
        <v/>
      </c>
      <c r="AG36" s="3">
        <f>SUMPRODUCT(React!$C$33:$AG$33,Curves!$AR$18:$BV$18)</f>
        <v/>
      </c>
      <c r="AH36" s="3">
        <f>SUMPRODUCT(React!$C$33:$AH$33,Curves!$AQ$18:$BV$18)</f>
        <v/>
      </c>
      <c r="AI36" s="3">
        <f>SUMPRODUCT(React!$C$33:$AI$33,Curves!$AP$18:$BV$18)</f>
        <v/>
      </c>
      <c r="AJ36" s="3">
        <f>SUMPRODUCT(React!$C$33:$AJ$33,Curves!$AO$18:$BV$18)</f>
        <v/>
      </c>
      <c r="AK36" s="3">
        <f>SUMPRODUCT(React!$C$33:$AK$33,Curves!$AN$18:$BV$18)</f>
        <v/>
      </c>
      <c r="AL36" s="3">
        <f>SUMPRODUCT(React!$C$33:$AL$33,Curves!$AM$18:$BV$18)</f>
        <v/>
      </c>
      <c r="AM36" s="3">
        <f>SUMPRODUCT(React!$C$33:$AM$33,Curves!$AL$18:$BV$18)</f>
        <v/>
      </c>
      <c r="AN36" s="3">
        <f>SUMPRODUCT(React!$C$33:$AN$33,Curves!$AK$18:$BV$18)</f>
        <v/>
      </c>
      <c r="AO36" s="3">
        <f>SUMPRODUCT(React!$C$33:$AO$33,Curves!$AJ$18:$BV$18)</f>
        <v/>
      </c>
      <c r="AP36" s="3">
        <f>SUMPRODUCT(React!$C$33:$AP$33,Curves!$AI$18:$BV$18)</f>
        <v/>
      </c>
      <c r="AQ36" s="3">
        <f>SUMPRODUCT(React!$C$33:$AQ$33,Curves!$AH$18:$BV$18)</f>
        <v/>
      </c>
      <c r="AR36" s="3">
        <f>SUMPRODUCT(React!$C$33:$AR$33,Curves!$AG$18:$BV$18)</f>
        <v/>
      </c>
      <c r="AS36" s="3">
        <f>SUMPRODUCT(React!$C$33:$AS$33,Curves!$AF$18:$BV$18)</f>
        <v/>
      </c>
      <c r="AT36" s="3">
        <f>SUMPRODUCT(React!$C$33:$AT$33,Curves!$AE$18:$BV$18)</f>
        <v/>
      </c>
      <c r="AU36" s="3">
        <f>SUMPRODUCT(React!$C$33:$AU$33,Curves!$AD$18:$BV$18)</f>
        <v/>
      </c>
      <c r="AV36" s="3">
        <f>SUMPRODUCT(React!$C$33:$AV$33,Curves!$AC$18:$BV$18)</f>
        <v/>
      </c>
      <c r="AW36" s="3">
        <f>SUMPRODUCT(React!$C$33:$AW$33,Curves!$AB$18:$BV$18)</f>
        <v/>
      </c>
      <c r="AX36" s="3">
        <f>SUMPRODUCT(React!$C$33:$AX$33,Curves!$AA$18:$BV$18)</f>
        <v/>
      </c>
      <c r="AY36" s="3">
        <f>SUMPRODUCT(React!$C$33:$AY$33,Curves!$Z$18:$BV$18)</f>
        <v/>
      </c>
      <c r="AZ36" s="3">
        <f>SUMPRODUCT(React!$C$33:$AZ$33,Curves!$Y$18:$BV$18)</f>
        <v/>
      </c>
      <c r="BA36" s="3">
        <f>SUMPRODUCT(React!$C$33:$BA$33,Curves!$X$18:$BV$18)</f>
        <v/>
      </c>
      <c r="BB36" s="3">
        <f>SUMPRODUCT(React!$C$33:$BB$33,Curves!$W$18:$BV$18)</f>
        <v/>
      </c>
      <c r="BC36" s="3">
        <f>SUMPRODUCT(React!$C$33:$BC$33,Curves!$V$18:$BV$18)</f>
        <v/>
      </c>
      <c r="BD36" s="3">
        <f>SUMPRODUCT(React!$C$33:$BD$33,Curves!$U$18:$BV$18)</f>
        <v/>
      </c>
      <c r="BE36" s="3">
        <f>SUMPRODUCT(React!$C$33:$BE$33,Curves!$T$18:$BV$18)</f>
        <v/>
      </c>
      <c r="BF36" s="3">
        <f>SUMPRODUCT(React!$C$33:$BF$33,Curves!$S$18:$BV$18)</f>
        <v/>
      </c>
      <c r="BG36" s="3">
        <f>SUMPRODUCT(React!$C$33:$BG$33,Curves!$R$18:$BV$18)</f>
        <v/>
      </c>
      <c r="BH36" s="3">
        <f>SUMPRODUCT(React!$C$33:$BH$33,Curves!$Q$18:$BV$18)</f>
        <v/>
      </c>
      <c r="BI36" s="3">
        <f>SUMPRODUCT(React!$C$33:$BI$33,Curves!$P$18:$BV$18)</f>
        <v/>
      </c>
      <c r="BJ36" s="3">
        <f>SUMPRODUCT(React!$C$33:$BJ$33,Curves!$O$18:$BV$18)</f>
        <v/>
      </c>
      <c r="BK36" s="3">
        <f>SUMPRODUCT(React!$C$33:$BK$33,Curves!$N$18:$BV$18)</f>
        <v/>
      </c>
      <c r="BL36" s="3">
        <f>SUMPRODUCT(React!$C$33:$BL$33,Curves!$M$18:$BV$18)</f>
        <v/>
      </c>
      <c r="BM36" s="3">
        <f>SUMPRODUCT(React!$C$33:$BM$33,Curves!$L$18:$BV$18)</f>
        <v/>
      </c>
      <c r="BN36" s="3">
        <f>SUMPRODUCT(React!$C$33:$BN$33,Curves!$K$18:$BV$18)</f>
        <v/>
      </c>
      <c r="BO36" s="3">
        <f>SUMPRODUCT(React!$C$33:$BO$33,Curves!$J$18:$BV$18)</f>
        <v/>
      </c>
      <c r="BP36" s="3">
        <f>SUMPRODUCT(React!$C$33:$BP$33,Curves!$I$18:$BV$18)</f>
        <v/>
      </c>
      <c r="BQ36" s="3">
        <f>SUMPRODUCT(React!$C$33:$BQ$33,Curves!$H$18:$BV$18)</f>
        <v/>
      </c>
      <c r="BR36" s="3">
        <f>SUMPRODUCT(React!$C$33:$BR$33,Curves!$G$18:$BV$18)</f>
        <v/>
      </c>
      <c r="BS36" s="3">
        <f>SUMPRODUCT(React!$C$33:$BS$33,Curves!$F$18:$BV$18)</f>
        <v/>
      </c>
      <c r="BT36" s="3">
        <f>SUMPRODUCT(React!$C$33:$BT$33,Curves!$E$18:$BV$18)</f>
        <v/>
      </c>
      <c r="BU36" s="3">
        <f>SUMPRODUCT(React!$C$33:$BU$33,Curves!$D$18:$BV$18)</f>
        <v/>
      </c>
      <c r="BV36" s="3">
        <f>SUMPRODUCT(React!$C$33:$BV$33,Curves!$C$18:$BV$18)</f>
        <v/>
      </c>
    </row>
    <row r="38">
      <c r="A38" t="inlineStr">
        <is>
          <t>churn pool inflow</t>
        </is>
      </c>
      <c r="B38" t="inlineStr">
        <is>
          <t>EUROPE|NITRO_A</t>
        </is>
      </c>
      <c r="C38" s="3">
        <f>Paid!C25+Legacy!C27</f>
        <v/>
      </c>
      <c r="D38" s="3">
        <f>Paid!D25+Legacy!D27</f>
        <v/>
      </c>
      <c r="E38" s="3">
        <f>Paid!E25+Legacy!E27</f>
        <v/>
      </c>
      <c r="F38" s="3">
        <f>Paid!F25+Legacy!F27</f>
        <v/>
      </c>
      <c r="G38" s="3">
        <f>Paid!G25+Legacy!G27</f>
        <v/>
      </c>
      <c r="H38" s="3">
        <f>Paid!H25+Legacy!H27</f>
        <v/>
      </c>
      <c r="I38" s="3">
        <f>Paid!I25+Legacy!I27</f>
        <v/>
      </c>
      <c r="J38" s="3">
        <f>Paid!J25+Legacy!J27</f>
        <v/>
      </c>
      <c r="K38" s="3">
        <f>Paid!K25+Legacy!K27</f>
        <v/>
      </c>
      <c r="L38" s="3">
        <f>Paid!L25+Legacy!L27</f>
        <v/>
      </c>
      <c r="M38" s="3">
        <f>Paid!M25+Legacy!M27</f>
        <v/>
      </c>
      <c r="N38" s="3">
        <f>Paid!N25+Legacy!N27</f>
        <v/>
      </c>
      <c r="O38" s="3">
        <f>Paid!O25+Legacy!O27</f>
        <v/>
      </c>
      <c r="P38" s="3">
        <f>Paid!P25+Legacy!P27</f>
        <v/>
      </c>
      <c r="Q38" s="3">
        <f>Paid!Q25+Legacy!Q27</f>
        <v/>
      </c>
      <c r="R38" s="3">
        <f>Paid!R25+Legacy!R27</f>
        <v/>
      </c>
      <c r="S38" s="3">
        <f>Paid!S25+Legacy!S27</f>
        <v/>
      </c>
      <c r="T38" s="3">
        <f>Paid!T25+Legacy!T27</f>
        <v/>
      </c>
      <c r="U38" s="3">
        <f>Paid!U25+Legacy!U27</f>
        <v/>
      </c>
      <c r="V38" s="3">
        <f>Paid!V25+Legacy!V27</f>
        <v/>
      </c>
      <c r="W38" s="3">
        <f>Paid!W25+Legacy!W27</f>
        <v/>
      </c>
      <c r="X38" s="3">
        <f>Paid!X25+Legacy!X27</f>
        <v/>
      </c>
      <c r="Y38" s="3">
        <f>Paid!Y25+Legacy!Y27</f>
        <v/>
      </c>
      <c r="Z38" s="3">
        <f>Paid!Z25+Legacy!Z27</f>
        <v/>
      </c>
      <c r="AA38" s="3">
        <f>Paid!AA25+Legacy!AA27</f>
        <v/>
      </c>
      <c r="AB38" s="3">
        <f>Paid!AB25+Legacy!AB27</f>
        <v/>
      </c>
      <c r="AC38" s="3">
        <f>Paid!AC25+Legacy!AC27</f>
        <v/>
      </c>
      <c r="AD38" s="3">
        <f>Paid!AD25+Legacy!AD27</f>
        <v/>
      </c>
      <c r="AE38" s="3">
        <f>Paid!AE25+Legacy!AE27</f>
        <v/>
      </c>
      <c r="AF38" s="3">
        <f>Paid!AF25+Legacy!AF27</f>
        <v/>
      </c>
      <c r="AG38" s="3">
        <f>Paid!AG25+Legacy!AG27</f>
        <v/>
      </c>
      <c r="AH38" s="3">
        <f>Paid!AH25+Legacy!AH27</f>
        <v/>
      </c>
      <c r="AI38" s="3">
        <f>Paid!AI25+Legacy!AI27</f>
        <v/>
      </c>
      <c r="AJ38" s="3">
        <f>Paid!AJ25+Legacy!AJ27</f>
        <v/>
      </c>
      <c r="AK38" s="3">
        <f>Paid!AK25+Legacy!AK27</f>
        <v/>
      </c>
      <c r="AL38" s="3">
        <f>Paid!AL25+Legacy!AL27</f>
        <v/>
      </c>
      <c r="AM38" s="3">
        <f>Paid!AM25+Legacy!AM27</f>
        <v/>
      </c>
      <c r="AN38" s="3">
        <f>Paid!AN25+Legacy!AN27</f>
        <v/>
      </c>
      <c r="AO38" s="3">
        <f>Paid!AO25+Legacy!AO27</f>
        <v/>
      </c>
      <c r="AP38" s="3">
        <f>Paid!AP25+Legacy!AP27</f>
        <v/>
      </c>
      <c r="AQ38" s="3">
        <f>Paid!AQ25+Legacy!AQ27</f>
        <v/>
      </c>
      <c r="AR38" s="3">
        <f>Paid!AR25+Legacy!AR27</f>
        <v/>
      </c>
      <c r="AS38" s="3">
        <f>Paid!AS25+Legacy!AS27</f>
        <v/>
      </c>
      <c r="AT38" s="3">
        <f>Paid!AT25+Legacy!AT27</f>
        <v/>
      </c>
      <c r="AU38" s="3">
        <f>Paid!AU25+Legacy!AU27</f>
        <v/>
      </c>
      <c r="AV38" s="3">
        <f>Paid!AV25+Legacy!AV27</f>
        <v/>
      </c>
      <c r="AW38" s="3">
        <f>Paid!AW25+Legacy!AW27</f>
        <v/>
      </c>
      <c r="AX38" s="3">
        <f>Paid!AX25+Legacy!AX27</f>
        <v/>
      </c>
      <c r="AY38" s="3">
        <f>Paid!AY25+Legacy!AY27</f>
        <v/>
      </c>
      <c r="AZ38" s="3">
        <f>Paid!AZ25+Legacy!AZ27</f>
        <v/>
      </c>
      <c r="BA38" s="3">
        <f>Paid!BA25+Legacy!BA27</f>
        <v/>
      </c>
      <c r="BB38" s="3">
        <f>Paid!BB25+Legacy!BB27</f>
        <v/>
      </c>
      <c r="BC38" s="3">
        <f>Paid!BC25+Legacy!BC27</f>
        <v/>
      </c>
      <c r="BD38" s="3">
        <f>Paid!BD25+Legacy!BD27</f>
        <v/>
      </c>
      <c r="BE38" s="3">
        <f>Paid!BE25+Legacy!BE27</f>
        <v/>
      </c>
      <c r="BF38" s="3">
        <f>Paid!BF25+Legacy!BF27</f>
        <v/>
      </c>
      <c r="BG38" s="3">
        <f>Paid!BG25+Legacy!BG27</f>
        <v/>
      </c>
      <c r="BH38" s="3">
        <f>Paid!BH25+Legacy!BH27</f>
        <v/>
      </c>
      <c r="BI38" s="3">
        <f>Paid!BI25+Legacy!BI27</f>
        <v/>
      </c>
      <c r="BJ38" s="3">
        <f>Paid!BJ25+Legacy!BJ27</f>
        <v/>
      </c>
      <c r="BK38" s="3">
        <f>Paid!BK25+Legacy!BK27</f>
        <v/>
      </c>
      <c r="BL38" s="3">
        <f>Paid!BL25+Legacy!BL27</f>
        <v/>
      </c>
      <c r="BM38" s="3">
        <f>Paid!BM25+Legacy!BM27</f>
        <v/>
      </c>
      <c r="BN38" s="3">
        <f>Paid!BN25+Legacy!BN27</f>
        <v/>
      </c>
      <c r="BO38" s="3">
        <f>Paid!BO25+Legacy!BO27</f>
        <v/>
      </c>
      <c r="BP38" s="3">
        <f>Paid!BP25+Legacy!BP27</f>
        <v/>
      </c>
      <c r="BQ38" s="3">
        <f>Paid!BQ25+Legacy!BQ27</f>
        <v/>
      </c>
      <c r="BR38" s="3">
        <f>Paid!BR25+Legacy!BR27</f>
        <v/>
      </c>
      <c r="BS38" s="3">
        <f>Paid!BS25+Legacy!BS27</f>
        <v/>
      </c>
      <c r="BT38" s="3">
        <f>Paid!BT25+Legacy!BT27</f>
        <v/>
      </c>
      <c r="BU38" s="3">
        <f>Paid!BU25+Legacy!BU27</f>
        <v/>
      </c>
      <c r="BV38" s="3">
        <f>Paid!BV25+Legacy!BV27</f>
        <v/>
      </c>
    </row>
    <row r="39">
      <c r="A39" t="inlineStr">
        <is>
          <t>reactivations out</t>
        </is>
      </c>
      <c r="B39" t="inlineStr">
        <is>
          <t>EUROPE|NITRO_A</t>
        </is>
      </c>
      <c r="C39" s="3">
        <f>React!$C$38*Curves!$BV$19</f>
        <v/>
      </c>
      <c r="D39" s="3">
        <f>SUMPRODUCT(React!$C$38:$D$38,Curves!$BU$19:$BV$19)</f>
        <v/>
      </c>
      <c r="E39" s="3">
        <f>SUMPRODUCT(React!$C$38:$E$38,Curves!$BT$19:$BV$19)</f>
        <v/>
      </c>
      <c r="F39" s="3">
        <f>SUMPRODUCT(React!$C$38:$F$38,Curves!$BS$19:$BV$19)</f>
        <v/>
      </c>
      <c r="G39" s="3">
        <f>SUMPRODUCT(React!$C$38:$G$38,Curves!$BR$19:$BV$19)</f>
        <v/>
      </c>
      <c r="H39" s="3">
        <f>SUMPRODUCT(React!$C$38:$H$38,Curves!$BQ$19:$BV$19)</f>
        <v/>
      </c>
      <c r="I39" s="3">
        <f>SUMPRODUCT(React!$C$38:$I$38,Curves!$BP$19:$BV$19)</f>
        <v/>
      </c>
      <c r="J39" s="3">
        <f>SUMPRODUCT(React!$C$38:$J$38,Curves!$BO$19:$BV$19)</f>
        <v/>
      </c>
      <c r="K39" s="3">
        <f>SUMPRODUCT(React!$C$38:$K$38,Curves!$BN$19:$BV$19)</f>
        <v/>
      </c>
      <c r="L39" s="3">
        <f>SUMPRODUCT(React!$C$38:$L$38,Curves!$BM$19:$BV$19)</f>
        <v/>
      </c>
      <c r="M39" s="3">
        <f>SUMPRODUCT(React!$C$38:$M$38,Curves!$BL$19:$BV$19)</f>
        <v/>
      </c>
      <c r="N39" s="3">
        <f>SUMPRODUCT(React!$C$38:$N$38,Curves!$BK$19:$BV$19)</f>
        <v/>
      </c>
      <c r="O39" s="3">
        <f>SUMPRODUCT(React!$C$38:$O$38,Curves!$BJ$19:$BV$19)</f>
        <v/>
      </c>
      <c r="P39" s="3">
        <f>SUMPRODUCT(React!$C$38:$P$38,Curves!$BI$19:$BV$19)</f>
        <v/>
      </c>
      <c r="Q39" s="3">
        <f>SUMPRODUCT(React!$C$38:$Q$38,Curves!$BH$19:$BV$19)</f>
        <v/>
      </c>
      <c r="R39" s="3">
        <f>SUMPRODUCT(React!$C$38:$R$38,Curves!$BG$19:$BV$19)</f>
        <v/>
      </c>
      <c r="S39" s="3">
        <f>SUMPRODUCT(React!$C$38:$S$38,Curves!$BF$19:$BV$19)</f>
        <v/>
      </c>
      <c r="T39" s="3">
        <f>SUMPRODUCT(React!$C$38:$T$38,Curves!$BE$19:$BV$19)</f>
        <v/>
      </c>
      <c r="U39" s="3">
        <f>SUMPRODUCT(React!$C$38:$U$38,Curves!$BD$19:$BV$19)</f>
        <v/>
      </c>
      <c r="V39" s="3">
        <f>SUMPRODUCT(React!$C$38:$V$38,Curves!$BC$19:$BV$19)</f>
        <v/>
      </c>
      <c r="W39" s="3">
        <f>SUMPRODUCT(React!$C$38:$W$38,Curves!$BB$19:$BV$19)</f>
        <v/>
      </c>
      <c r="X39" s="3">
        <f>SUMPRODUCT(React!$C$38:$X$38,Curves!$BA$19:$BV$19)</f>
        <v/>
      </c>
      <c r="Y39" s="3">
        <f>SUMPRODUCT(React!$C$38:$Y$38,Curves!$AZ$19:$BV$19)</f>
        <v/>
      </c>
      <c r="Z39" s="3">
        <f>SUMPRODUCT(React!$C$38:$Z$38,Curves!$AY$19:$BV$19)</f>
        <v/>
      </c>
      <c r="AA39" s="3">
        <f>SUMPRODUCT(React!$C$38:$AA$38,Curves!$AX$19:$BV$19)</f>
        <v/>
      </c>
      <c r="AB39" s="3">
        <f>SUMPRODUCT(React!$C$38:$AB$38,Curves!$AW$19:$BV$19)</f>
        <v/>
      </c>
      <c r="AC39" s="3">
        <f>SUMPRODUCT(React!$C$38:$AC$38,Curves!$AV$19:$BV$19)</f>
        <v/>
      </c>
      <c r="AD39" s="3">
        <f>SUMPRODUCT(React!$C$38:$AD$38,Curves!$AU$19:$BV$19)</f>
        <v/>
      </c>
      <c r="AE39" s="3">
        <f>SUMPRODUCT(React!$C$38:$AE$38,Curves!$AT$19:$BV$19)</f>
        <v/>
      </c>
      <c r="AF39" s="3">
        <f>SUMPRODUCT(React!$C$38:$AF$38,Curves!$AS$19:$BV$19)</f>
        <v/>
      </c>
      <c r="AG39" s="3">
        <f>SUMPRODUCT(React!$C$38:$AG$38,Curves!$AR$19:$BV$19)</f>
        <v/>
      </c>
      <c r="AH39" s="3">
        <f>SUMPRODUCT(React!$C$38:$AH$38,Curves!$AQ$19:$BV$19)</f>
        <v/>
      </c>
      <c r="AI39" s="3">
        <f>SUMPRODUCT(React!$C$38:$AI$38,Curves!$AP$19:$BV$19)</f>
        <v/>
      </c>
      <c r="AJ39" s="3">
        <f>SUMPRODUCT(React!$C$38:$AJ$38,Curves!$AO$19:$BV$19)</f>
        <v/>
      </c>
      <c r="AK39" s="3">
        <f>SUMPRODUCT(React!$C$38:$AK$38,Curves!$AN$19:$BV$19)</f>
        <v/>
      </c>
      <c r="AL39" s="3">
        <f>SUMPRODUCT(React!$C$38:$AL$38,Curves!$AM$19:$BV$19)</f>
        <v/>
      </c>
      <c r="AM39" s="3">
        <f>SUMPRODUCT(React!$C$38:$AM$38,Curves!$AL$19:$BV$19)</f>
        <v/>
      </c>
      <c r="AN39" s="3">
        <f>SUMPRODUCT(React!$C$38:$AN$38,Curves!$AK$19:$BV$19)</f>
        <v/>
      </c>
      <c r="AO39" s="3">
        <f>SUMPRODUCT(React!$C$38:$AO$38,Curves!$AJ$19:$BV$19)</f>
        <v/>
      </c>
      <c r="AP39" s="3">
        <f>SUMPRODUCT(React!$C$38:$AP$38,Curves!$AI$19:$BV$19)</f>
        <v/>
      </c>
      <c r="AQ39" s="3">
        <f>SUMPRODUCT(React!$C$38:$AQ$38,Curves!$AH$19:$BV$19)</f>
        <v/>
      </c>
      <c r="AR39" s="3">
        <f>SUMPRODUCT(React!$C$38:$AR$38,Curves!$AG$19:$BV$19)</f>
        <v/>
      </c>
      <c r="AS39" s="3">
        <f>SUMPRODUCT(React!$C$38:$AS$38,Curves!$AF$19:$BV$19)</f>
        <v/>
      </c>
      <c r="AT39" s="3">
        <f>SUMPRODUCT(React!$C$38:$AT$38,Curves!$AE$19:$BV$19)</f>
        <v/>
      </c>
      <c r="AU39" s="3">
        <f>SUMPRODUCT(React!$C$38:$AU$38,Curves!$AD$19:$BV$19)</f>
        <v/>
      </c>
      <c r="AV39" s="3">
        <f>SUMPRODUCT(React!$C$38:$AV$38,Curves!$AC$19:$BV$19)</f>
        <v/>
      </c>
      <c r="AW39" s="3">
        <f>SUMPRODUCT(React!$C$38:$AW$38,Curves!$AB$19:$BV$19)</f>
        <v/>
      </c>
      <c r="AX39" s="3">
        <f>SUMPRODUCT(React!$C$38:$AX$38,Curves!$AA$19:$BV$19)</f>
        <v/>
      </c>
      <c r="AY39" s="3">
        <f>SUMPRODUCT(React!$C$38:$AY$38,Curves!$Z$19:$BV$19)</f>
        <v/>
      </c>
      <c r="AZ39" s="3">
        <f>SUMPRODUCT(React!$C$38:$AZ$38,Curves!$Y$19:$BV$19)</f>
        <v/>
      </c>
      <c r="BA39" s="3">
        <f>SUMPRODUCT(React!$C$38:$BA$38,Curves!$X$19:$BV$19)</f>
        <v/>
      </c>
      <c r="BB39" s="3">
        <f>SUMPRODUCT(React!$C$38:$BB$38,Curves!$W$19:$BV$19)</f>
        <v/>
      </c>
      <c r="BC39" s="3">
        <f>SUMPRODUCT(React!$C$38:$BC$38,Curves!$V$19:$BV$19)</f>
        <v/>
      </c>
      <c r="BD39" s="3">
        <f>SUMPRODUCT(React!$C$38:$BD$38,Curves!$U$19:$BV$19)</f>
        <v/>
      </c>
      <c r="BE39" s="3">
        <f>SUMPRODUCT(React!$C$38:$BE$38,Curves!$T$19:$BV$19)</f>
        <v/>
      </c>
      <c r="BF39" s="3">
        <f>SUMPRODUCT(React!$C$38:$BF$38,Curves!$S$19:$BV$19)</f>
        <v/>
      </c>
      <c r="BG39" s="3">
        <f>SUMPRODUCT(React!$C$38:$BG$38,Curves!$R$19:$BV$19)</f>
        <v/>
      </c>
      <c r="BH39" s="3">
        <f>SUMPRODUCT(React!$C$38:$BH$38,Curves!$Q$19:$BV$19)</f>
        <v/>
      </c>
      <c r="BI39" s="3">
        <f>SUMPRODUCT(React!$C$38:$BI$38,Curves!$P$19:$BV$19)</f>
        <v/>
      </c>
      <c r="BJ39" s="3">
        <f>SUMPRODUCT(React!$C$38:$BJ$38,Curves!$O$19:$BV$19)</f>
        <v/>
      </c>
      <c r="BK39" s="3">
        <f>SUMPRODUCT(React!$C$38:$BK$38,Curves!$N$19:$BV$19)</f>
        <v/>
      </c>
      <c r="BL39" s="3">
        <f>SUMPRODUCT(React!$C$38:$BL$38,Curves!$M$19:$BV$19)</f>
        <v/>
      </c>
      <c r="BM39" s="3">
        <f>SUMPRODUCT(React!$C$38:$BM$38,Curves!$L$19:$BV$19)</f>
        <v/>
      </c>
      <c r="BN39" s="3">
        <f>SUMPRODUCT(React!$C$38:$BN$38,Curves!$K$19:$BV$19)</f>
        <v/>
      </c>
      <c r="BO39" s="3">
        <f>SUMPRODUCT(React!$C$38:$BO$38,Curves!$J$19:$BV$19)</f>
        <v/>
      </c>
      <c r="BP39" s="3">
        <f>SUMPRODUCT(React!$C$38:$BP$38,Curves!$I$19:$BV$19)</f>
        <v/>
      </c>
      <c r="BQ39" s="3">
        <f>SUMPRODUCT(React!$C$38:$BQ$38,Curves!$H$19:$BV$19)</f>
        <v/>
      </c>
      <c r="BR39" s="3">
        <f>SUMPRODUCT(React!$C$38:$BR$38,Curves!$G$19:$BV$19)</f>
        <v/>
      </c>
      <c r="BS39" s="3">
        <f>SUMPRODUCT(React!$C$38:$BS$38,Curves!$F$19:$BV$19)</f>
        <v/>
      </c>
      <c r="BT39" s="3">
        <f>SUMPRODUCT(React!$C$38:$BT$38,Curves!$E$19:$BV$19)</f>
        <v/>
      </c>
      <c r="BU39" s="3">
        <f>SUMPRODUCT(React!$C$38:$BU$38,Curves!$D$19:$BV$19)</f>
        <v/>
      </c>
      <c r="BV39" s="3">
        <f>SUMPRODUCT(React!$C$38:$BV$38,Curves!$C$19:$BV$19)</f>
        <v/>
      </c>
    </row>
    <row r="40">
      <c r="A40" t="inlineStr">
        <is>
          <t>reactivated in</t>
        </is>
      </c>
      <c r="B40" t="inlineStr">
        <is>
          <t>EUROPE|NITRO_A</t>
        </is>
      </c>
      <c r="C40" s="3">
        <f>0</f>
        <v/>
      </c>
      <c r="D40" s="3">
        <f>0</f>
        <v/>
      </c>
      <c r="E40" s="3">
        <f>0</f>
        <v/>
      </c>
      <c r="F40" s="3">
        <f>0</f>
        <v/>
      </c>
      <c r="G40" s="3">
        <f>0</f>
        <v/>
      </c>
      <c r="H40" s="3">
        <f>0</f>
        <v/>
      </c>
      <c r="I40" s="3">
        <f>0</f>
        <v/>
      </c>
      <c r="J40" s="3">
        <f>0</f>
        <v/>
      </c>
      <c r="K40" s="3">
        <f>0</f>
        <v/>
      </c>
      <c r="L40" s="3">
        <f>0</f>
        <v/>
      </c>
      <c r="M40" s="3">
        <f>0</f>
        <v/>
      </c>
      <c r="N40" s="3">
        <f>0</f>
        <v/>
      </c>
      <c r="O40" s="3">
        <f>0</f>
        <v/>
      </c>
      <c r="P40" s="3">
        <f>0</f>
        <v/>
      </c>
      <c r="Q40" s="3">
        <f>0</f>
        <v/>
      </c>
      <c r="R40" s="3">
        <f>0</f>
        <v/>
      </c>
      <c r="S40" s="3">
        <f>0</f>
        <v/>
      </c>
      <c r="T40" s="3">
        <f>0</f>
        <v/>
      </c>
      <c r="U40" s="3">
        <f>0</f>
        <v/>
      </c>
      <c r="V40" s="3">
        <f>0</f>
        <v/>
      </c>
      <c r="W40" s="3">
        <f>0</f>
        <v/>
      </c>
      <c r="X40" s="3">
        <f>0</f>
        <v/>
      </c>
      <c r="Y40" s="3">
        <f>0</f>
        <v/>
      </c>
      <c r="Z40" s="3">
        <f>0</f>
        <v/>
      </c>
      <c r="AA40" s="3">
        <f>0</f>
        <v/>
      </c>
      <c r="AB40" s="3">
        <f>0</f>
        <v/>
      </c>
      <c r="AC40" s="3">
        <f>0</f>
        <v/>
      </c>
      <c r="AD40" s="3">
        <f>0</f>
        <v/>
      </c>
      <c r="AE40" s="3">
        <f>0</f>
        <v/>
      </c>
      <c r="AF40" s="3">
        <f>0</f>
        <v/>
      </c>
      <c r="AG40" s="3">
        <f>0</f>
        <v/>
      </c>
      <c r="AH40" s="3">
        <f>0</f>
        <v/>
      </c>
      <c r="AI40" s="3">
        <f>0</f>
        <v/>
      </c>
      <c r="AJ40" s="3">
        <f>0</f>
        <v/>
      </c>
      <c r="AK40" s="3">
        <f>0</f>
        <v/>
      </c>
      <c r="AL40" s="3">
        <f>0</f>
        <v/>
      </c>
      <c r="AM40" s="3">
        <f>0</f>
        <v/>
      </c>
      <c r="AN40" s="3">
        <f>0</f>
        <v/>
      </c>
      <c r="AO40" s="3">
        <f>0</f>
        <v/>
      </c>
      <c r="AP40" s="3">
        <f>0</f>
        <v/>
      </c>
      <c r="AQ40" s="3">
        <f>0</f>
        <v/>
      </c>
      <c r="AR40" s="3">
        <f>0</f>
        <v/>
      </c>
      <c r="AS40" s="3">
        <f>0</f>
        <v/>
      </c>
      <c r="AT40" s="3">
        <f>0</f>
        <v/>
      </c>
      <c r="AU40" s="3">
        <f>0</f>
        <v/>
      </c>
      <c r="AV40" s="3">
        <f>0</f>
        <v/>
      </c>
      <c r="AW40" s="3">
        <f>0</f>
        <v/>
      </c>
      <c r="AX40" s="3">
        <f>0</f>
        <v/>
      </c>
      <c r="AY40" s="3">
        <f>0</f>
        <v/>
      </c>
      <c r="AZ40" s="3">
        <f>0</f>
        <v/>
      </c>
      <c r="BA40" s="3">
        <f>0</f>
        <v/>
      </c>
      <c r="BB40" s="3">
        <f>0</f>
        <v/>
      </c>
      <c r="BC40" s="3">
        <f>0</f>
        <v/>
      </c>
      <c r="BD40" s="3">
        <f>0</f>
        <v/>
      </c>
      <c r="BE40" s="3">
        <f>0</f>
        <v/>
      </c>
      <c r="BF40" s="3">
        <f>0</f>
        <v/>
      </c>
      <c r="BG40" s="3">
        <f>0</f>
        <v/>
      </c>
      <c r="BH40" s="3">
        <f>0</f>
        <v/>
      </c>
      <c r="BI40" s="3">
        <f>0</f>
        <v/>
      </c>
      <c r="BJ40" s="3">
        <f>0</f>
        <v/>
      </c>
      <c r="BK40" s="3">
        <f>0</f>
        <v/>
      </c>
      <c r="BL40" s="3">
        <f>0</f>
        <v/>
      </c>
      <c r="BM40" s="3">
        <f>0</f>
        <v/>
      </c>
      <c r="BN40" s="3">
        <f>0</f>
        <v/>
      </c>
      <c r="BO40" s="3">
        <f>0</f>
        <v/>
      </c>
      <c r="BP40" s="3">
        <f>0</f>
        <v/>
      </c>
      <c r="BQ40" s="3">
        <f>0</f>
        <v/>
      </c>
      <c r="BR40" s="3">
        <f>0</f>
        <v/>
      </c>
      <c r="BS40" s="3">
        <f>0</f>
        <v/>
      </c>
      <c r="BT40" s="3">
        <f>0</f>
        <v/>
      </c>
      <c r="BU40" s="3">
        <f>0</f>
        <v/>
      </c>
      <c r="BV40" s="3">
        <f>0</f>
        <v/>
      </c>
    </row>
    <row r="41">
      <c r="A41" t="inlineStr">
        <is>
          <t>active</t>
        </is>
      </c>
      <c r="B41" t="inlineStr">
        <is>
          <t>EUROPE|NITRO_A</t>
        </is>
      </c>
      <c r="C41" s="3">
        <f>React!$C$40*Curves!$BV$17</f>
        <v/>
      </c>
      <c r="D41" s="3">
        <f>SUMPRODUCT(React!$C$40:$D$40,Curves!$BU$17:$BV$17)</f>
        <v/>
      </c>
      <c r="E41" s="3">
        <f>SUMPRODUCT(React!$C$40:$E$40,Curves!$BT$17:$BV$17)</f>
        <v/>
      </c>
      <c r="F41" s="3">
        <f>SUMPRODUCT(React!$C$40:$F$40,Curves!$BS$17:$BV$17)</f>
        <v/>
      </c>
      <c r="G41" s="3">
        <f>SUMPRODUCT(React!$C$40:$G$40,Curves!$BR$17:$BV$17)</f>
        <v/>
      </c>
      <c r="H41" s="3">
        <f>SUMPRODUCT(React!$C$40:$H$40,Curves!$BQ$17:$BV$17)</f>
        <v/>
      </c>
      <c r="I41" s="3">
        <f>SUMPRODUCT(React!$C$40:$I$40,Curves!$BP$17:$BV$17)</f>
        <v/>
      </c>
      <c r="J41" s="3">
        <f>SUMPRODUCT(React!$C$40:$J$40,Curves!$BO$17:$BV$17)</f>
        <v/>
      </c>
      <c r="K41" s="3">
        <f>SUMPRODUCT(React!$C$40:$K$40,Curves!$BN$17:$BV$17)</f>
        <v/>
      </c>
      <c r="L41" s="3">
        <f>SUMPRODUCT(React!$C$40:$L$40,Curves!$BM$17:$BV$17)</f>
        <v/>
      </c>
      <c r="M41" s="3">
        <f>SUMPRODUCT(React!$C$40:$M$40,Curves!$BL$17:$BV$17)</f>
        <v/>
      </c>
      <c r="N41" s="3">
        <f>SUMPRODUCT(React!$C$40:$N$40,Curves!$BK$17:$BV$17)</f>
        <v/>
      </c>
      <c r="O41" s="3">
        <f>SUMPRODUCT(React!$C$40:$O$40,Curves!$BJ$17:$BV$17)</f>
        <v/>
      </c>
      <c r="P41" s="3">
        <f>SUMPRODUCT(React!$C$40:$P$40,Curves!$BI$17:$BV$17)</f>
        <v/>
      </c>
      <c r="Q41" s="3">
        <f>SUMPRODUCT(React!$C$40:$Q$40,Curves!$BH$17:$BV$17)</f>
        <v/>
      </c>
      <c r="R41" s="3">
        <f>SUMPRODUCT(React!$C$40:$R$40,Curves!$BG$17:$BV$17)</f>
        <v/>
      </c>
      <c r="S41" s="3">
        <f>SUMPRODUCT(React!$C$40:$S$40,Curves!$BF$17:$BV$17)</f>
        <v/>
      </c>
      <c r="T41" s="3">
        <f>SUMPRODUCT(React!$C$40:$T$40,Curves!$BE$17:$BV$17)</f>
        <v/>
      </c>
      <c r="U41" s="3">
        <f>SUMPRODUCT(React!$C$40:$U$40,Curves!$BD$17:$BV$17)</f>
        <v/>
      </c>
      <c r="V41" s="3">
        <f>SUMPRODUCT(React!$C$40:$V$40,Curves!$BC$17:$BV$17)</f>
        <v/>
      </c>
      <c r="W41" s="3">
        <f>SUMPRODUCT(React!$C$40:$W$40,Curves!$BB$17:$BV$17)</f>
        <v/>
      </c>
      <c r="X41" s="3">
        <f>SUMPRODUCT(React!$C$40:$X$40,Curves!$BA$17:$BV$17)</f>
        <v/>
      </c>
      <c r="Y41" s="3">
        <f>SUMPRODUCT(React!$C$40:$Y$40,Curves!$AZ$17:$BV$17)</f>
        <v/>
      </c>
      <c r="Z41" s="3">
        <f>SUMPRODUCT(React!$C$40:$Z$40,Curves!$AY$17:$BV$17)</f>
        <v/>
      </c>
      <c r="AA41" s="3">
        <f>SUMPRODUCT(React!$C$40:$AA$40,Curves!$AX$17:$BV$17)</f>
        <v/>
      </c>
      <c r="AB41" s="3">
        <f>SUMPRODUCT(React!$C$40:$AB$40,Curves!$AW$17:$BV$17)</f>
        <v/>
      </c>
      <c r="AC41" s="3">
        <f>SUMPRODUCT(React!$C$40:$AC$40,Curves!$AV$17:$BV$17)</f>
        <v/>
      </c>
      <c r="AD41" s="3">
        <f>SUMPRODUCT(React!$C$40:$AD$40,Curves!$AU$17:$BV$17)</f>
        <v/>
      </c>
      <c r="AE41" s="3">
        <f>SUMPRODUCT(React!$C$40:$AE$40,Curves!$AT$17:$BV$17)</f>
        <v/>
      </c>
      <c r="AF41" s="3">
        <f>SUMPRODUCT(React!$C$40:$AF$40,Curves!$AS$17:$BV$17)</f>
        <v/>
      </c>
      <c r="AG41" s="3">
        <f>SUMPRODUCT(React!$C$40:$AG$40,Curves!$AR$17:$BV$17)</f>
        <v/>
      </c>
      <c r="AH41" s="3">
        <f>SUMPRODUCT(React!$C$40:$AH$40,Curves!$AQ$17:$BV$17)</f>
        <v/>
      </c>
      <c r="AI41" s="3">
        <f>SUMPRODUCT(React!$C$40:$AI$40,Curves!$AP$17:$BV$17)</f>
        <v/>
      </c>
      <c r="AJ41" s="3">
        <f>SUMPRODUCT(React!$C$40:$AJ$40,Curves!$AO$17:$BV$17)</f>
        <v/>
      </c>
      <c r="AK41" s="3">
        <f>SUMPRODUCT(React!$C$40:$AK$40,Curves!$AN$17:$BV$17)</f>
        <v/>
      </c>
      <c r="AL41" s="3">
        <f>SUMPRODUCT(React!$C$40:$AL$40,Curves!$AM$17:$BV$17)</f>
        <v/>
      </c>
      <c r="AM41" s="3">
        <f>SUMPRODUCT(React!$C$40:$AM$40,Curves!$AL$17:$BV$17)</f>
        <v/>
      </c>
      <c r="AN41" s="3">
        <f>SUMPRODUCT(React!$C$40:$AN$40,Curves!$AK$17:$BV$17)</f>
        <v/>
      </c>
      <c r="AO41" s="3">
        <f>SUMPRODUCT(React!$C$40:$AO$40,Curves!$AJ$17:$BV$17)</f>
        <v/>
      </c>
      <c r="AP41" s="3">
        <f>SUMPRODUCT(React!$C$40:$AP$40,Curves!$AI$17:$BV$17)</f>
        <v/>
      </c>
      <c r="AQ41" s="3">
        <f>SUMPRODUCT(React!$C$40:$AQ$40,Curves!$AH$17:$BV$17)</f>
        <v/>
      </c>
      <c r="AR41" s="3">
        <f>SUMPRODUCT(React!$C$40:$AR$40,Curves!$AG$17:$BV$17)</f>
        <v/>
      </c>
      <c r="AS41" s="3">
        <f>SUMPRODUCT(React!$C$40:$AS$40,Curves!$AF$17:$BV$17)</f>
        <v/>
      </c>
      <c r="AT41" s="3">
        <f>SUMPRODUCT(React!$C$40:$AT$40,Curves!$AE$17:$BV$17)</f>
        <v/>
      </c>
      <c r="AU41" s="3">
        <f>SUMPRODUCT(React!$C$40:$AU$40,Curves!$AD$17:$BV$17)</f>
        <v/>
      </c>
      <c r="AV41" s="3">
        <f>SUMPRODUCT(React!$C$40:$AV$40,Curves!$AC$17:$BV$17)</f>
        <v/>
      </c>
      <c r="AW41" s="3">
        <f>SUMPRODUCT(React!$C$40:$AW$40,Curves!$AB$17:$BV$17)</f>
        <v/>
      </c>
      <c r="AX41" s="3">
        <f>SUMPRODUCT(React!$C$40:$AX$40,Curves!$AA$17:$BV$17)</f>
        <v/>
      </c>
      <c r="AY41" s="3">
        <f>SUMPRODUCT(React!$C$40:$AY$40,Curves!$Z$17:$BV$17)</f>
        <v/>
      </c>
      <c r="AZ41" s="3">
        <f>SUMPRODUCT(React!$C$40:$AZ$40,Curves!$Y$17:$BV$17)</f>
        <v/>
      </c>
      <c r="BA41" s="3">
        <f>SUMPRODUCT(React!$C$40:$BA$40,Curves!$X$17:$BV$17)</f>
        <v/>
      </c>
      <c r="BB41" s="3">
        <f>SUMPRODUCT(React!$C$40:$BB$40,Curves!$W$17:$BV$17)</f>
        <v/>
      </c>
      <c r="BC41" s="3">
        <f>SUMPRODUCT(React!$C$40:$BC$40,Curves!$V$17:$BV$17)</f>
        <v/>
      </c>
      <c r="BD41" s="3">
        <f>SUMPRODUCT(React!$C$40:$BD$40,Curves!$U$17:$BV$17)</f>
        <v/>
      </c>
      <c r="BE41" s="3">
        <f>SUMPRODUCT(React!$C$40:$BE$40,Curves!$T$17:$BV$17)</f>
        <v/>
      </c>
      <c r="BF41" s="3">
        <f>SUMPRODUCT(React!$C$40:$BF$40,Curves!$S$17:$BV$17)</f>
        <v/>
      </c>
      <c r="BG41" s="3">
        <f>SUMPRODUCT(React!$C$40:$BG$40,Curves!$R$17:$BV$17)</f>
        <v/>
      </c>
      <c r="BH41" s="3">
        <f>SUMPRODUCT(React!$C$40:$BH$40,Curves!$Q$17:$BV$17)</f>
        <v/>
      </c>
      <c r="BI41" s="3">
        <f>SUMPRODUCT(React!$C$40:$BI$40,Curves!$P$17:$BV$17)</f>
        <v/>
      </c>
      <c r="BJ41" s="3">
        <f>SUMPRODUCT(React!$C$40:$BJ$40,Curves!$O$17:$BV$17)</f>
        <v/>
      </c>
      <c r="BK41" s="3">
        <f>SUMPRODUCT(React!$C$40:$BK$40,Curves!$N$17:$BV$17)</f>
        <v/>
      </c>
      <c r="BL41" s="3">
        <f>SUMPRODUCT(React!$C$40:$BL$40,Curves!$M$17:$BV$17)</f>
        <v/>
      </c>
      <c r="BM41" s="3">
        <f>SUMPRODUCT(React!$C$40:$BM$40,Curves!$L$17:$BV$17)</f>
        <v/>
      </c>
      <c r="BN41" s="3">
        <f>SUMPRODUCT(React!$C$40:$BN$40,Curves!$K$17:$BV$17)</f>
        <v/>
      </c>
      <c r="BO41" s="3">
        <f>SUMPRODUCT(React!$C$40:$BO$40,Curves!$J$17:$BV$17)</f>
        <v/>
      </c>
      <c r="BP41" s="3">
        <f>SUMPRODUCT(React!$C$40:$BP$40,Curves!$I$17:$BV$17)</f>
        <v/>
      </c>
      <c r="BQ41" s="3">
        <f>SUMPRODUCT(React!$C$40:$BQ$40,Curves!$H$17:$BV$17)</f>
        <v/>
      </c>
      <c r="BR41" s="3">
        <f>SUMPRODUCT(React!$C$40:$BR$40,Curves!$G$17:$BV$17)</f>
        <v/>
      </c>
      <c r="BS41" s="3">
        <f>SUMPRODUCT(React!$C$40:$BS$40,Curves!$F$17:$BV$17)</f>
        <v/>
      </c>
      <c r="BT41" s="3">
        <f>SUMPRODUCT(React!$C$40:$BT$40,Curves!$E$17:$BV$17)</f>
        <v/>
      </c>
      <c r="BU41" s="3">
        <f>SUMPRODUCT(React!$C$40:$BU$40,Curves!$D$17:$BV$17)</f>
        <v/>
      </c>
      <c r="BV41" s="3">
        <f>SUMPRODUCT(React!$C$40:$BV$40,Curves!$C$17:$BV$17)</f>
        <v/>
      </c>
    </row>
    <row r="42">
      <c r="A42" t="inlineStr">
        <is>
          <t>active yr 1</t>
        </is>
      </c>
      <c r="B42" t="inlineStr">
        <is>
          <t>EUROPE|NITRO_A</t>
        </is>
      </c>
      <c r="C42" s="3">
        <f>React!$C$40*Curves!$BV$22</f>
        <v/>
      </c>
      <c r="D42" s="3">
        <f>SUMPRODUCT(React!$C$40:$D$40,Curves!$BU$22:$BV$22)</f>
        <v/>
      </c>
      <c r="E42" s="3">
        <f>SUMPRODUCT(React!$C$40:$E$40,Curves!$BT$22:$BV$22)</f>
        <v/>
      </c>
      <c r="F42" s="3">
        <f>SUMPRODUCT(React!$C$40:$F$40,Curves!$BS$22:$BV$22)</f>
        <v/>
      </c>
      <c r="G42" s="3">
        <f>SUMPRODUCT(React!$C$40:$G$40,Curves!$BR$22:$BV$22)</f>
        <v/>
      </c>
      <c r="H42" s="3">
        <f>SUMPRODUCT(React!$C$40:$H$40,Curves!$BQ$22:$BV$22)</f>
        <v/>
      </c>
      <c r="I42" s="3">
        <f>SUMPRODUCT(React!$C$40:$I$40,Curves!$BP$22:$BV$22)</f>
        <v/>
      </c>
      <c r="J42" s="3">
        <f>SUMPRODUCT(React!$C$40:$J$40,Curves!$BO$22:$BV$22)</f>
        <v/>
      </c>
      <c r="K42" s="3">
        <f>SUMPRODUCT(React!$C$40:$K$40,Curves!$BN$22:$BV$22)</f>
        <v/>
      </c>
      <c r="L42" s="3">
        <f>SUMPRODUCT(React!$C$40:$L$40,Curves!$BM$22:$BV$22)</f>
        <v/>
      </c>
      <c r="M42" s="3">
        <f>SUMPRODUCT(React!$C$40:$M$40,Curves!$BL$22:$BV$22)</f>
        <v/>
      </c>
      <c r="N42" s="3">
        <f>SUMPRODUCT(React!$C$40:$N$40,Curves!$BK$22:$BV$22)</f>
        <v/>
      </c>
      <c r="O42" s="3">
        <f>SUMPRODUCT(React!$C$40:$O$40,Curves!$BJ$22:$BV$22)</f>
        <v/>
      </c>
      <c r="P42" s="3">
        <f>SUMPRODUCT(React!$C$40:$P$40,Curves!$BI$22:$BV$22)</f>
        <v/>
      </c>
      <c r="Q42" s="3">
        <f>SUMPRODUCT(React!$C$40:$Q$40,Curves!$BH$22:$BV$22)</f>
        <v/>
      </c>
      <c r="R42" s="3">
        <f>SUMPRODUCT(React!$C$40:$R$40,Curves!$BG$22:$BV$22)</f>
        <v/>
      </c>
      <c r="S42" s="3">
        <f>SUMPRODUCT(React!$C$40:$S$40,Curves!$BF$22:$BV$22)</f>
        <v/>
      </c>
      <c r="T42" s="3">
        <f>SUMPRODUCT(React!$C$40:$T$40,Curves!$BE$22:$BV$22)</f>
        <v/>
      </c>
      <c r="U42" s="3">
        <f>SUMPRODUCT(React!$C$40:$U$40,Curves!$BD$22:$BV$22)</f>
        <v/>
      </c>
      <c r="V42" s="3">
        <f>SUMPRODUCT(React!$C$40:$V$40,Curves!$BC$22:$BV$22)</f>
        <v/>
      </c>
      <c r="W42" s="3">
        <f>SUMPRODUCT(React!$C$40:$W$40,Curves!$BB$22:$BV$22)</f>
        <v/>
      </c>
      <c r="X42" s="3">
        <f>SUMPRODUCT(React!$C$40:$X$40,Curves!$BA$22:$BV$22)</f>
        <v/>
      </c>
      <c r="Y42" s="3">
        <f>SUMPRODUCT(React!$C$40:$Y$40,Curves!$AZ$22:$BV$22)</f>
        <v/>
      </c>
      <c r="Z42" s="3">
        <f>SUMPRODUCT(React!$C$40:$Z$40,Curves!$AY$22:$BV$22)</f>
        <v/>
      </c>
      <c r="AA42" s="3">
        <f>SUMPRODUCT(React!$C$40:$AA$40,Curves!$AX$22:$BV$22)</f>
        <v/>
      </c>
      <c r="AB42" s="3">
        <f>SUMPRODUCT(React!$C$40:$AB$40,Curves!$AW$22:$BV$22)</f>
        <v/>
      </c>
      <c r="AC42" s="3">
        <f>SUMPRODUCT(React!$C$40:$AC$40,Curves!$AV$22:$BV$22)</f>
        <v/>
      </c>
      <c r="AD42" s="3">
        <f>SUMPRODUCT(React!$C$40:$AD$40,Curves!$AU$22:$BV$22)</f>
        <v/>
      </c>
      <c r="AE42" s="3">
        <f>SUMPRODUCT(React!$C$40:$AE$40,Curves!$AT$22:$BV$22)</f>
        <v/>
      </c>
      <c r="AF42" s="3">
        <f>SUMPRODUCT(React!$C$40:$AF$40,Curves!$AS$22:$BV$22)</f>
        <v/>
      </c>
      <c r="AG42" s="3">
        <f>SUMPRODUCT(React!$C$40:$AG$40,Curves!$AR$22:$BV$22)</f>
        <v/>
      </c>
      <c r="AH42" s="3">
        <f>SUMPRODUCT(React!$C$40:$AH$40,Curves!$AQ$22:$BV$22)</f>
        <v/>
      </c>
      <c r="AI42" s="3">
        <f>SUMPRODUCT(React!$C$40:$AI$40,Curves!$AP$22:$BV$22)</f>
        <v/>
      </c>
      <c r="AJ42" s="3">
        <f>SUMPRODUCT(React!$C$40:$AJ$40,Curves!$AO$22:$BV$22)</f>
        <v/>
      </c>
      <c r="AK42" s="3">
        <f>SUMPRODUCT(React!$C$40:$AK$40,Curves!$AN$22:$BV$22)</f>
        <v/>
      </c>
      <c r="AL42" s="3">
        <f>SUMPRODUCT(React!$C$40:$AL$40,Curves!$AM$22:$BV$22)</f>
        <v/>
      </c>
      <c r="AM42" s="3">
        <f>SUMPRODUCT(React!$C$40:$AM$40,Curves!$AL$22:$BV$22)</f>
        <v/>
      </c>
      <c r="AN42" s="3">
        <f>SUMPRODUCT(React!$C$40:$AN$40,Curves!$AK$22:$BV$22)</f>
        <v/>
      </c>
      <c r="AO42" s="3">
        <f>SUMPRODUCT(React!$C$40:$AO$40,Curves!$AJ$22:$BV$22)</f>
        <v/>
      </c>
      <c r="AP42" s="3">
        <f>SUMPRODUCT(React!$C$40:$AP$40,Curves!$AI$22:$BV$22)</f>
        <v/>
      </c>
      <c r="AQ42" s="3">
        <f>SUMPRODUCT(React!$C$40:$AQ$40,Curves!$AH$22:$BV$22)</f>
        <v/>
      </c>
      <c r="AR42" s="3">
        <f>SUMPRODUCT(React!$C$40:$AR$40,Curves!$AG$22:$BV$22)</f>
        <v/>
      </c>
      <c r="AS42" s="3">
        <f>SUMPRODUCT(React!$C$40:$AS$40,Curves!$AF$22:$BV$22)</f>
        <v/>
      </c>
      <c r="AT42" s="3">
        <f>SUMPRODUCT(React!$C$40:$AT$40,Curves!$AE$22:$BV$22)</f>
        <v/>
      </c>
      <c r="AU42" s="3">
        <f>SUMPRODUCT(React!$C$40:$AU$40,Curves!$AD$22:$BV$22)</f>
        <v/>
      </c>
      <c r="AV42" s="3">
        <f>SUMPRODUCT(React!$C$40:$AV$40,Curves!$AC$22:$BV$22)</f>
        <v/>
      </c>
      <c r="AW42" s="3">
        <f>SUMPRODUCT(React!$C$40:$AW$40,Curves!$AB$22:$BV$22)</f>
        <v/>
      </c>
      <c r="AX42" s="3">
        <f>SUMPRODUCT(React!$C$40:$AX$40,Curves!$AA$22:$BV$22)</f>
        <v/>
      </c>
      <c r="AY42" s="3">
        <f>SUMPRODUCT(React!$C$40:$AY$40,Curves!$Z$22:$BV$22)</f>
        <v/>
      </c>
      <c r="AZ42" s="3">
        <f>SUMPRODUCT(React!$C$40:$AZ$40,Curves!$Y$22:$BV$22)</f>
        <v/>
      </c>
      <c r="BA42" s="3">
        <f>SUMPRODUCT(React!$C$40:$BA$40,Curves!$X$22:$BV$22)</f>
        <v/>
      </c>
      <c r="BB42" s="3">
        <f>SUMPRODUCT(React!$C$40:$BB$40,Curves!$W$22:$BV$22)</f>
        <v/>
      </c>
      <c r="BC42" s="3">
        <f>SUMPRODUCT(React!$C$40:$BC$40,Curves!$V$22:$BV$22)</f>
        <v/>
      </c>
      <c r="BD42" s="3">
        <f>SUMPRODUCT(React!$C$40:$BD$40,Curves!$U$22:$BV$22)</f>
        <v/>
      </c>
      <c r="BE42" s="3">
        <f>SUMPRODUCT(React!$C$40:$BE$40,Curves!$T$22:$BV$22)</f>
        <v/>
      </c>
      <c r="BF42" s="3">
        <f>SUMPRODUCT(React!$C$40:$BF$40,Curves!$S$22:$BV$22)</f>
        <v/>
      </c>
      <c r="BG42" s="3">
        <f>SUMPRODUCT(React!$C$40:$BG$40,Curves!$R$22:$BV$22)</f>
        <v/>
      </c>
      <c r="BH42" s="3">
        <f>SUMPRODUCT(React!$C$40:$BH$40,Curves!$Q$22:$BV$22)</f>
        <v/>
      </c>
      <c r="BI42" s="3">
        <f>SUMPRODUCT(React!$C$40:$BI$40,Curves!$P$22:$BV$22)</f>
        <v/>
      </c>
      <c r="BJ42" s="3">
        <f>SUMPRODUCT(React!$C$40:$BJ$40,Curves!$O$22:$BV$22)</f>
        <v/>
      </c>
      <c r="BK42" s="3">
        <f>SUMPRODUCT(React!$C$40:$BK$40,Curves!$N$22:$BV$22)</f>
        <v/>
      </c>
      <c r="BL42" s="3">
        <f>SUMPRODUCT(React!$C$40:$BL$40,Curves!$M$22:$BV$22)</f>
        <v/>
      </c>
      <c r="BM42" s="3">
        <f>SUMPRODUCT(React!$C$40:$BM$40,Curves!$L$22:$BV$22)</f>
        <v/>
      </c>
      <c r="BN42" s="3">
        <f>SUMPRODUCT(React!$C$40:$BN$40,Curves!$K$22:$BV$22)</f>
        <v/>
      </c>
      <c r="BO42" s="3">
        <f>SUMPRODUCT(React!$C$40:$BO$40,Curves!$J$22:$BV$22)</f>
        <v/>
      </c>
      <c r="BP42" s="3">
        <f>SUMPRODUCT(React!$C$40:$BP$40,Curves!$I$22:$BV$22)</f>
        <v/>
      </c>
      <c r="BQ42" s="3">
        <f>SUMPRODUCT(React!$C$40:$BQ$40,Curves!$H$22:$BV$22)</f>
        <v/>
      </c>
      <c r="BR42" s="3">
        <f>SUMPRODUCT(React!$C$40:$BR$40,Curves!$G$22:$BV$22)</f>
        <v/>
      </c>
      <c r="BS42" s="3">
        <f>SUMPRODUCT(React!$C$40:$BS$40,Curves!$F$22:$BV$22)</f>
        <v/>
      </c>
      <c r="BT42" s="3">
        <f>SUMPRODUCT(React!$C$40:$BT$40,Curves!$E$22:$BV$22)</f>
        <v/>
      </c>
      <c r="BU42" s="3">
        <f>SUMPRODUCT(React!$C$40:$BU$40,Curves!$D$22:$BV$22)</f>
        <v/>
      </c>
      <c r="BV42" s="3">
        <f>SUMPRODUCT(React!$C$40:$BV$40,Curves!$C$22:$BV$22)</f>
        <v/>
      </c>
    </row>
    <row r="43">
      <c r="A43" t="inlineStr">
        <is>
          <t>churned</t>
        </is>
      </c>
      <c r="B43" t="inlineStr">
        <is>
          <t>EUROPE|NITRO_A</t>
        </is>
      </c>
      <c r="C43" s="3">
        <f>React!$C$40*Curves!$BV$18</f>
        <v/>
      </c>
      <c r="D43" s="3">
        <f>SUMPRODUCT(React!$C$40:$D$40,Curves!$BU$18:$BV$18)</f>
        <v/>
      </c>
      <c r="E43" s="3">
        <f>SUMPRODUCT(React!$C$40:$E$40,Curves!$BT$18:$BV$18)</f>
        <v/>
      </c>
      <c r="F43" s="3">
        <f>SUMPRODUCT(React!$C$40:$F$40,Curves!$BS$18:$BV$18)</f>
        <v/>
      </c>
      <c r="G43" s="3">
        <f>SUMPRODUCT(React!$C$40:$G$40,Curves!$BR$18:$BV$18)</f>
        <v/>
      </c>
      <c r="H43" s="3">
        <f>SUMPRODUCT(React!$C$40:$H$40,Curves!$BQ$18:$BV$18)</f>
        <v/>
      </c>
      <c r="I43" s="3">
        <f>SUMPRODUCT(React!$C$40:$I$40,Curves!$BP$18:$BV$18)</f>
        <v/>
      </c>
      <c r="J43" s="3">
        <f>SUMPRODUCT(React!$C$40:$J$40,Curves!$BO$18:$BV$18)</f>
        <v/>
      </c>
      <c r="K43" s="3">
        <f>SUMPRODUCT(React!$C$40:$K$40,Curves!$BN$18:$BV$18)</f>
        <v/>
      </c>
      <c r="L43" s="3">
        <f>SUMPRODUCT(React!$C$40:$L$40,Curves!$BM$18:$BV$18)</f>
        <v/>
      </c>
      <c r="M43" s="3">
        <f>SUMPRODUCT(React!$C$40:$M$40,Curves!$BL$18:$BV$18)</f>
        <v/>
      </c>
      <c r="N43" s="3">
        <f>SUMPRODUCT(React!$C$40:$N$40,Curves!$BK$18:$BV$18)</f>
        <v/>
      </c>
      <c r="O43" s="3">
        <f>SUMPRODUCT(React!$C$40:$O$40,Curves!$BJ$18:$BV$18)</f>
        <v/>
      </c>
      <c r="P43" s="3">
        <f>SUMPRODUCT(React!$C$40:$P$40,Curves!$BI$18:$BV$18)</f>
        <v/>
      </c>
      <c r="Q43" s="3">
        <f>SUMPRODUCT(React!$C$40:$Q$40,Curves!$BH$18:$BV$18)</f>
        <v/>
      </c>
      <c r="R43" s="3">
        <f>SUMPRODUCT(React!$C$40:$R$40,Curves!$BG$18:$BV$18)</f>
        <v/>
      </c>
      <c r="S43" s="3">
        <f>SUMPRODUCT(React!$C$40:$S$40,Curves!$BF$18:$BV$18)</f>
        <v/>
      </c>
      <c r="T43" s="3">
        <f>SUMPRODUCT(React!$C$40:$T$40,Curves!$BE$18:$BV$18)</f>
        <v/>
      </c>
      <c r="U43" s="3">
        <f>SUMPRODUCT(React!$C$40:$U$40,Curves!$BD$18:$BV$18)</f>
        <v/>
      </c>
      <c r="V43" s="3">
        <f>SUMPRODUCT(React!$C$40:$V$40,Curves!$BC$18:$BV$18)</f>
        <v/>
      </c>
      <c r="W43" s="3">
        <f>SUMPRODUCT(React!$C$40:$W$40,Curves!$BB$18:$BV$18)</f>
        <v/>
      </c>
      <c r="X43" s="3">
        <f>SUMPRODUCT(React!$C$40:$X$40,Curves!$BA$18:$BV$18)</f>
        <v/>
      </c>
      <c r="Y43" s="3">
        <f>SUMPRODUCT(React!$C$40:$Y$40,Curves!$AZ$18:$BV$18)</f>
        <v/>
      </c>
      <c r="Z43" s="3">
        <f>SUMPRODUCT(React!$C$40:$Z$40,Curves!$AY$18:$BV$18)</f>
        <v/>
      </c>
      <c r="AA43" s="3">
        <f>SUMPRODUCT(React!$C$40:$AA$40,Curves!$AX$18:$BV$18)</f>
        <v/>
      </c>
      <c r="AB43" s="3">
        <f>SUMPRODUCT(React!$C$40:$AB$40,Curves!$AW$18:$BV$18)</f>
        <v/>
      </c>
      <c r="AC43" s="3">
        <f>SUMPRODUCT(React!$C$40:$AC$40,Curves!$AV$18:$BV$18)</f>
        <v/>
      </c>
      <c r="AD43" s="3">
        <f>SUMPRODUCT(React!$C$40:$AD$40,Curves!$AU$18:$BV$18)</f>
        <v/>
      </c>
      <c r="AE43" s="3">
        <f>SUMPRODUCT(React!$C$40:$AE$40,Curves!$AT$18:$BV$18)</f>
        <v/>
      </c>
      <c r="AF43" s="3">
        <f>SUMPRODUCT(React!$C$40:$AF$40,Curves!$AS$18:$BV$18)</f>
        <v/>
      </c>
      <c r="AG43" s="3">
        <f>SUMPRODUCT(React!$C$40:$AG$40,Curves!$AR$18:$BV$18)</f>
        <v/>
      </c>
      <c r="AH43" s="3">
        <f>SUMPRODUCT(React!$C$40:$AH$40,Curves!$AQ$18:$BV$18)</f>
        <v/>
      </c>
      <c r="AI43" s="3">
        <f>SUMPRODUCT(React!$C$40:$AI$40,Curves!$AP$18:$BV$18)</f>
        <v/>
      </c>
      <c r="AJ43" s="3">
        <f>SUMPRODUCT(React!$C$40:$AJ$40,Curves!$AO$18:$BV$18)</f>
        <v/>
      </c>
      <c r="AK43" s="3">
        <f>SUMPRODUCT(React!$C$40:$AK$40,Curves!$AN$18:$BV$18)</f>
        <v/>
      </c>
      <c r="AL43" s="3">
        <f>SUMPRODUCT(React!$C$40:$AL$40,Curves!$AM$18:$BV$18)</f>
        <v/>
      </c>
      <c r="AM43" s="3">
        <f>SUMPRODUCT(React!$C$40:$AM$40,Curves!$AL$18:$BV$18)</f>
        <v/>
      </c>
      <c r="AN43" s="3">
        <f>SUMPRODUCT(React!$C$40:$AN$40,Curves!$AK$18:$BV$18)</f>
        <v/>
      </c>
      <c r="AO43" s="3">
        <f>SUMPRODUCT(React!$C$40:$AO$40,Curves!$AJ$18:$BV$18)</f>
        <v/>
      </c>
      <c r="AP43" s="3">
        <f>SUMPRODUCT(React!$C$40:$AP$40,Curves!$AI$18:$BV$18)</f>
        <v/>
      </c>
      <c r="AQ43" s="3">
        <f>SUMPRODUCT(React!$C$40:$AQ$40,Curves!$AH$18:$BV$18)</f>
        <v/>
      </c>
      <c r="AR43" s="3">
        <f>SUMPRODUCT(React!$C$40:$AR$40,Curves!$AG$18:$BV$18)</f>
        <v/>
      </c>
      <c r="AS43" s="3">
        <f>SUMPRODUCT(React!$C$40:$AS$40,Curves!$AF$18:$BV$18)</f>
        <v/>
      </c>
      <c r="AT43" s="3">
        <f>SUMPRODUCT(React!$C$40:$AT$40,Curves!$AE$18:$BV$18)</f>
        <v/>
      </c>
      <c r="AU43" s="3">
        <f>SUMPRODUCT(React!$C$40:$AU$40,Curves!$AD$18:$BV$18)</f>
        <v/>
      </c>
      <c r="AV43" s="3">
        <f>SUMPRODUCT(React!$C$40:$AV$40,Curves!$AC$18:$BV$18)</f>
        <v/>
      </c>
      <c r="AW43" s="3">
        <f>SUMPRODUCT(React!$C$40:$AW$40,Curves!$AB$18:$BV$18)</f>
        <v/>
      </c>
      <c r="AX43" s="3">
        <f>SUMPRODUCT(React!$C$40:$AX$40,Curves!$AA$18:$BV$18)</f>
        <v/>
      </c>
      <c r="AY43" s="3">
        <f>SUMPRODUCT(React!$C$40:$AY$40,Curves!$Z$18:$BV$18)</f>
        <v/>
      </c>
      <c r="AZ43" s="3">
        <f>SUMPRODUCT(React!$C$40:$AZ$40,Curves!$Y$18:$BV$18)</f>
        <v/>
      </c>
      <c r="BA43" s="3">
        <f>SUMPRODUCT(React!$C$40:$BA$40,Curves!$X$18:$BV$18)</f>
        <v/>
      </c>
      <c r="BB43" s="3">
        <f>SUMPRODUCT(React!$C$40:$BB$40,Curves!$W$18:$BV$18)</f>
        <v/>
      </c>
      <c r="BC43" s="3">
        <f>SUMPRODUCT(React!$C$40:$BC$40,Curves!$V$18:$BV$18)</f>
        <v/>
      </c>
      <c r="BD43" s="3">
        <f>SUMPRODUCT(React!$C$40:$BD$40,Curves!$U$18:$BV$18)</f>
        <v/>
      </c>
      <c r="BE43" s="3">
        <f>SUMPRODUCT(React!$C$40:$BE$40,Curves!$T$18:$BV$18)</f>
        <v/>
      </c>
      <c r="BF43" s="3">
        <f>SUMPRODUCT(React!$C$40:$BF$40,Curves!$S$18:$BV$18)</f>
        <v/>
      </c>
      <c r="BG43" s="3">
        <f>SUMPRODUCT(React!$C$40:$BG$40,Curves!$R$18:$BV$18)</f>
        <v/>
      </c>
      <c r="BH43" s="3">
        <f>SUMPRODUCT(React!$C$40:$BH$40,Curves!$Q$18:$BV$18)</f>
        <v/>
      </c>
      <c r="BI43" s="3">
        <f>SUMPRODUCT(React!$C$40:$BI$40,Curves!$P$18:$BV$18)</f>
        <v/>
      </c>
      <c r="BJ43" s="3">
        <f>SUMPRODUCT(React!$C$40:$BJ$40,Curves!$O$18:$BV$18)</f>
        <v/>
      </c>
      <c r="BK43" s="3">
        <f>SUMPRODUCT(React!$C$40:$BK$40,Curves!$N$18:$BV$18)</f>
        <v/>
      </c>
      <c r="BL43" s="3">
        <f>SUMPRODUCT(React!$C$40:$BL$40,Curves!$M$18:$BV$18)</f>
        <v/>
      </c>
      <c r="BM43" s="3">
        <f>SUMPRODUCT(React!$C$40:$BM$40,Curves!$L$18:$BV$18)</f>
        <v/>
      </c>
      <c r="BN43" s="3">
        <f>SUMPRODUCT(React!$C$40:$BN$40,Curves!$K$18:$BV$18)</f>
        <v/>
      </c>
      <c r="BO43" s="3">
        <f>SUMPRODUCT(React!$C$40:$BO$40,Curves!$J$18:$BV$18)</f>
        <v/>
      </c>
      <c r="BP43" s="3">
        <f>SUMPRODUCT(React!$C$40:$BP$40,Curves!$I$18:$BV$18)</f>
        <v/>
      </c>
      <c r="BQ43" s="3">
        <f>SUMPRODUCT(React!$C$40:$BQ$40,Curves!$H$18:$BV$18)</f>
        <v/>
      </c>
      <c r="BR43" s="3">
        <f>SUMPRODUCT(React!$C$40:$BR$40,Curves!$G$18:$BV$18)</f>
        <v/>
      </c>
      <c r="BS43" s="3">
        <f>SUMPRODUCT(React!$C$40:$BS$40,Curves!$F$18:$BV$18)</f>
        <v/>
      </c>
      <c r="BT43" s="3">
        <f>SUMPRODUCT(React!$C$40:$BT$40,Curves!$E$18:$BV$18)</f>
        <v/>
      </c>
      <c r="BU43" s="3">
        <f>SUMPRODUCT(React!$C$40:$BU$40,Curves!$D$18:$BV$18)</f>
        <v/>
      </c>
      <c r="BV43" s="3">
        <f>SUMPRODUCT(React!$C$40:$BV$40,Curves!$C$18:$BV$18)</f>
        <v/>
      </c>
    </row>
    <row r="45">
      <c r="A45" t="inlineStr">
        <is>
          <t>churn pool inflow</t>
        </is>
      </c>
      <c r="B45" t="inlineStr">
        <is>
          <t>EUROPE|BASIC_M</t>
        </is>
      </c>
      <c r="C45" s="3">
        <f>Paid!C29+Legacy!C31</f>
        <v/>
      </c>
      <c r="D45" s="3">
        <f>Paid!D29+Legacy!D31</f>
        <v/>
      </c>
      <c r="E45" s="3">
        <f>Paid!E29+Legacy!E31</f>
        <v/>
      </c>
      <c r="F45" s="3">
        <f>Paid!F29+Legacy!F31</f>
        <v/>
      </c>
      <c r="G45" s="3">
        <f>Paid!G29+Legacy!G31</f>
        <v/>
      </c>
      <c r="H45" s="3">
        <f>Paid!H29+Legacy!H31</f>
        <v/>
      </c>
      <c r="I45" s="3">
        <f>Paid!I29+Legacy!I31</f>
        <v/>
      </c>
      <c r="J45" s="3">
        <f>Paid!J29+Legacy!J31</f>
        <v/>
      </c>
      <c r="K45" s="3">
        <f>Paid!K29+Legacy!K31</f>
        <v/>
      </c>
      <c r="L45" s="3">
        <f>Paid!L29+Legacy!L31</f>
        <v/>
      </c>
      <c r="M45" s="3">
        <f>Paid!M29+Legacy!M31</f>
        <v/>
      </c>
      <c r="N45" s="3">
        <f>Paid!N29+Legacy!N31</f>
        <v/>
      </c>
      <c r="O45" s="3">
        <f>Paid!O29+Legacy!O31</f>
        <v/>
      </c>
      <c r="P45" s="3">
        <f>Paid!P29+Legacy!P31</f>
        <v/>
      </c>
      <c r="Q45" s="3">
        <f>Paid!Q29+Legacy!Q31</f>
        <v/>
      </c>
      <c r="R45" s="3">
        <f>Paid!R29+Legacy!R31</f>
        <v/>
      </c>
      <c r="S45" s="3">
        <f>Paid!S29+Legacy!S31</f>
        <v/>
      </c>
      <c r="T45" s="3">
        <f>Paid!T29+Legacy!T31</f>
        <v/>
      </c>
      <c r="U45" s="3">
        <f>Paid!U29+Legacy!U31</f>
        <v/>
      </c>
      <c r="V45" s="3">
        <f>Paid!V29+Legacy!V31</f>
        <v/>
      </c>
      <c r="W45" s="3">
        <f>Paid!W29+Legacy!W31</f>
        <v/>
      </c>
      <c r="X45" s="3">
        <f>Paid!X29+Legacy!X31</f>
        <v/>
      </c>
      <c r="Y45" s="3">
        <f>Paid!Y29+Legacy!Y31</f>
        <v/>
      </c>
      <c r="Z45" s="3">
        <f>Paid!Z29+Legacy!Z31</f>
        <v/>
      </c>
      <c r="AA45" s="3">
        <f>Paid!AA29+Legacy!AA31</f>
        <v/>
      </c>
      <c r="AB45" s="3">
        <f>Paid!AB29+Legacy!AB31</f>
        <v/>
      </c>
      <c r="AC45" s="3">
        <f>Paid!AC29+Legacy!AC31</f>
        <v/>
      </c>
      <c r="AD45" s="3">
        <f>Paid!AD29+Legacy!AD31</f>
        <v/>
      </c>
      <c r="AE45" s="3">
        <f>Paid!AE29+Legacy!AE31</f>
        <v/>
      </c>
      <c r="AF45" s="3">
        <f>Paid!AF29+Legacy!AF31</f>
        <v/>
      </c>
      <c r="AG45" s="3">
        <f>Paid!AG29+Legacy!AG31</f>
        <v/>
      </c>
      <c r="AH45" s="3">
        <f>Paid!AH29+Legacy!AH31</f>
        <v/>
      </c>
      <c r="AI45" s="3">
        <f>Paid!AI29+Legacy!AI31</f>
        <v/>
      </c>
      <c r="AJ45" s="3">
        <f>Paid!AJ29+Legacy!AJ31</f>
        <v/>
      </c>
      <c r="AK45" s="3">
        <f>Paid!AK29+Legacy!AK31</f>
        <v/>
      </c>
      <c r="AL45" s="3">
        <f>Paid!AL29+Legacy!AL31</f>
        <v/>
      </c>
      <c r="AM45" s="3">
        <f>Paid!AM29+Legacy!AM31</f>
        <v/>
      </c>
      <c r="AN45" s="3">
        <f>Paid!AN29+Legacy!AN31</f>
        <v/>
      </c>
      <c r="AO45" s="3">
        <f>Paid!AO29+Legacy!AO31</f>
        <v/>
      </c>
      <c r="AP45" s="3">
        <f>Paid!AP29+Legacy!AP31</f>
        <v/>
      </c>
      <c r="AQ45" s="3">
        <f>Paid!AQ29+Legacy!AQ31</f>
        <v/>
      </c>
      <c r="AR45" s="3">
        <f>Paid!AR29+Legacy!AR31</f>
        <v/>
      </c>
      <c r="AS45" s="3">
        <f>Paid!AS29+Legacy!AS31</f>
        <v/>
      </c>
      <c r="AT45" s="3">
        <f>Paid!AT29+Legacy!AT31</f>
        <v/>
      </c>
      <c r="AU45" s="3">
        <f>Paid!AU29+Legacy!AU31</f>
        <v/>
      </c>
      <c r="AV45" s="3">
        <f>Paid!AV29+Legacy!AV31</f>
        <v/>
      </c>
      <c r="AW45" s="3">
        <f>Paid!AW29+Legacy!AW31</f>
        <v/>
      </c>
      <c r="AX45" s="3">
        <f>Paid!AX29+Legacy!AX31</f>
        <v/>
      </c>
      <c r="AY45" s="3">
        <f>Paid!AY29+Legacy!AY31</f>
        <v/>
      </c>
      <c r="AZ45" s="3">
        <f>Paid!AZ29+Legacy!AZ31</f>
        <v/>
      </c>
      <c r="BA45" s="3">
        <f>Paid!BA29+Legacy!BA31</f>
        <v/>
      </c>
      <c r="BB45" s="3">
        <f>Paid!BB29+Legacy!BB31</f>
        <v/>
      </c>
      <c r="BC45" s="3">
        <f>Paid!BC29+Legacy!BC31</f>
        <v/>
      </c>
      <c r="BD45" s="3">
        <f>Paid!BD29+Legacy!BD31</f>
        <v/>
      </c>
      <c r="BE45" s="3">
        <f>Paid!BE29+Legacy!BE31</f>
        <v/>
      </c>
      <c r="BF45" s="3">
        <f>Paid!BF29+Legacy!BF31</f>
        <v/>
      </c>
      <c r="BG45" s="3">
        <f>Paid!BG29+Legacy!BG31</f>
        <v/>
      </c>
      <c r="BH45" s="3">
        <f>Paid!BH29+Legacy!BH31</f>
        <v/>
      </c>
      <c r="BI45" s="3">
        <f>Paid!BI29+Legacy!BI31</f>
        <v/>
      </c>
      <c r="BJ45" s="3">
        <f>Paid!BJ29+Legacy!BJ31</f>
        <v/>
      </c>
      <c r="BK45" s="3">
        <f>Paid!BK29+Legacy!BK31</f>
        <v/>
      </c>
      <c r="BL45" s="3">
        <f>Paid!BL29+Legacy!BL31</f>
        <v/>
      </c>
      <c r="BM45" s="3">
        <f>Paid!BM29+Legacy!BM31</f>
        <v/>
      </c>
      <c r="BN45" s="3">
        <f>Paid!BN29+Legacy!BN31</f>
        <v/>
      </c>
      <c r="BO45" s="3">
        <f>Paid!BO29+Legacy!BO31</f>
        <v/>
      </c>
      <c r="BP45" s="3">
        <f>Paid!BP29+Legacy!BP31</f>
        <v/>
      </c>
      <c r="BQ45" s="3">
        <f>Paid!BQ29+Legacy!BQ31</f>
        <v/>
      </c>
      <c r="BR45" s="3">
        <f>Paid!BR29+Legacy!BR31</f>
        <v/>
      </c>
      <c r="BS45" s="3">
        <f>Paid!BS29+Legacy!BS31</f>
        <v/>
      </c>
      <c r="BT45" s="3">
        <f>Paid!BT29+Legacy!BT31</f>
        <v/>
      </c>
      <c r="BU45" s="3">
        <f>Paid!BU29+Legacy!BU31</f>
        <v/>
      </c>
      <c r="BV45" s="3">
        <f>Paid!BV29+Legacy!BV31</f>
        <v/>
      </c>
    </row>
    <row r="46">
      <c r="A46" t="inlineStr">
        <is>
          <t>reactivations out</t>
        </is>
      </c>
      <c r="B46" t="inlineStr">
        <is>
          <t>EUROPE|BASIC_M</t>
        </is>
      </c>
      <c r="C46" s="3">
        <f>React!$C$45*Curves!$BV$19</f>
        <v/>
      </c>
      <c r="D46" s="3">
        <f>SUMPRODUCT(React!$C$45:$D$45,Curves!$BU$19:$BV$19)</f>
        <v/>
      </c>
      <c r="E46" s="3">
        <f>SUMPRODUCT(React!$C$45:$E$45,Curves!$BT$19:$BV$19)</f>
        <v/>
      </c>
      <c r="F46" s="3">
        <f>SUMPRODUCT(React!$C$45:$F$45,Curves!$BS$19:$BV$19)</f>
        <v/>
      </c>
      <c r="G46" s="3">
        <f>SUMPRODUCT(React!$C$45:$G$45,Curves!$BR$19:$BV$19)</f>
        <v/>
      </c>
      <c r="H46" s="3">
        <f>SUMPRODUCT(React!$C$45:$H$45,Curves!$BQ$19:$BV$19)</f>
        <v/>
      </c>
      <c r="I46" s="3">
        <f>SUMPRODUCT(React!$C$45:$I$45,Curves!$BP$19:$BV$19)</f>
        <v/>
      </c>
      <c r="J46" s="3">
        <f>SUMPRODUCT(React!$C$45:$J$45,Curves!$BO$19:$BV$19)</f>
        <v/>
      </c>
      <c r="K46" s="3">
        <f>SUMPRODUCT(React!$C$45:$K$45,Curves!$BN$19:$BV$19)</f>
        <v/>
      </c>
      <c r="L46" s="3">
        <f>SUMPRODUCT(React!$C$45:$L$45,Curves!$BM$19:$BV$19)</f>
        <v/>
      </c>
      <c r="M46" s="3">
        <f>SUMPRODUCT(React!$C$45:$M$45,Curves!$BL$19:$BV$19)</f>
        <v/>
      </c>
      <c r="N46" s="3">
        <f>SUMPRODUCT(React!$C$45:$N$45,Curves!$BK$19:$BV$19)</f>
        <v/>
      </c>
      <c r="O46" s="3">
        <f>SUMPRODUCT(React!$C$45:$O$45,Curves!$BJ$19:$BV$19)</f>
        <v/>
      </c>
      <c r="P46" s="3">
        <f>SUMPRODUCT(React!$C$45:$P$45,Curves!$BI$19:$BV$19)</f>
        <v/>
      </c>
      <c r="Q46" s="3">
        <f>SUMPRODUCT(React!$C$45:$Q$45,Curves!$BH$19:$BV$19)</f>
        <v/>
      </c>
      <c r="R46" s="3">
        <f>SUMPRODUCT(React!$C$45:$R$45,Curves!$BG$19:$BV$19)</f>
        <v/>
      </c>
      <c r="S46" s="3">
        <f>SUMPRODUCT(React!$C$45:$S$45,Curves!$BF$19:$BV$19)</f>
        <v/>
      </c>
      <c r="T46" s="3">
        <f>SUMPRODUCT(React!$C$45:$T$45,Curves!$BE$19:$BV$19)</f>
        <v/>
      </c>
      <c r="U46" s="3">
        <f>SUMPRODUCT(React!$C$45:$U$45,Curves!$BD$19:$BV$19)</f>
        <v/>
      </c>
      <c r="V46" s="3">
        <f>SUMPRODUCT(React!$C$45:$V$45,Curves!$BC$19:$BV$19)</f>
        <v/>
      </c>
      <c r="W46" s="3">
        <f>SUMPRODUCT(React!$C$45:$W$45,Curves!$BB$19:$BV$19)</f>
        <v/>
      </c>
      <c r="X46" s="3">
        <f>SUMPRODUCT(React!$C$45:$X$45,Curves!$BA$19:$BV$19)</f>
        <v/>
      </c>
      <c r="Y46" s="3">
        <f>SUMPRODUCT(React!$C$45:$Y$45,Curves!$AZ$19:$BV$19)</f>
        <v/>
      </c>
      <c r="Z46" s="3">
        <f>SUMPRODUCT(React!$C$45:$Z$45,Curves!$AY$19:$BV$19)</f>
        <v/>
      </c>
      <c r="AA46" s="3">
        <f>SUMPRODUCT(React!$C$45:$AA$45,Curves!$AX$19:$BV$19)</f>
        <v/>
      </c>
      <c r="AB46" s="3">
        <f>SUMPRODUCT(React!$C$45:$AB$45,Curves!$AW$19:$BV$19)</f>
        <v/>
      </c>
      <c r="AC46" s="3">
        <f>SUMPRODUCT(React!$C$45:$AC$45,Curves!$AV$19:$BV$19)</f>
        <v/>
      </c>
      <c r="AD46" s="3">
        <f>SUMPRODUCT(React!$C$45:$AD$45,Curves!$AU$19:$BV$19)</f>
        <v/>
      </c>
      <c r="AE46" s="3">
        <f>SUMPRODUCT(React!$C$45:$AE$45,Curves!$AT$19:$BV$19)</f>
        <v/>
      </c>
      <c r="AF46" s="3">
        <f>SUMPRODUCT(React!$C$45:$AF$45,Curves!$AS$19:$BV$19)</f>
        <v/>
      </c>
      <c r="AG46" s="3">
        <f>SUMPRODUCT(React!$C$45:$AG$45,Curves!$AR$19:$BV$19)</f>
        <v/>
      </c>
      <c r="AH46" s="3">
        <f>SUMPRODUCT(React!$C$45:$AH$45,Curves!$AQ$19:$BV$19)</f>
        <v/>
      </c>
      <c r="AI46" s="3">
        <f>SUMPRODUCT(React!$C$45:$AI$45,Curves!$AP$19:$BV$19)</f>
        <v/>
      </c>
      <c r="AJ46" s="3">
        <f>SUMPRODUCT(React!$C$45:$AJ$45,Curves!$AO$19:$BV$19)</f>
        <v/>
      </c>
      <c r="AK46" s="3">
        <f>SUMPRODUCT(React!$C$45:$AK$45,Curves!$AN$19:$BV$19)</f>
        <v/>
      </c>
      <c r="AL46" s="3">
        <f>SUMPRODUCT(React!$C$45:$AL$45,Curves!$AM$19:$BV$19)</f>
        <v/>
      </c>
      <c r="AM46" s="3">
        <f>SUMPRODUCT(React!$C$45:$AM$45,Curves!$AL$19:$BV$19)</f>
        <v/>
      </c>
      <c r="AN46" s="3">
        <f>SUMPRODUCT(React!$C$45:$AN$45,Curves!$AK$19:$BV$19)</f>
        <v/>
      </c>
      <c r="AO46" s="3">
        <f>SUMPRODUCT(React!$C$45:$AO$45,Curves!$AJ$19:$BV$19)</f>
        <v/>
      </c>
      <c r="AP46" s="3">
        <f>SUMPRODUCT(React!$C$45:$AP$45,Curves!$AI$19:$BV$19)</f>
        <v/>
      </c>
      <c r="AQ46" s="3">
        <f>SUMPRODUCT(React!$C$45:$AQ$45,Curves!$AH$19:$BV$19)</f>
        <v/>
      </c>
      <c r="AR46" s="3">
        <f>SUMPRODUCT(React!$C$45:$AR$45,Curves!$AG$19:$BV$19)</f>
        <v/>
      </c>
      <c r="AS46" s="3">
        <f>SUMPRODUCT(React!$C$45:$AS$45,Curves!$AF$19:$BV$19)</f>
        <v/>
      </c>
      <c r="AT46" s="3">
        <f>SUMPRODUCT(React!$C$45:$AT$45,Curves!$AE$19:$BV$19)</f>
        <v/>
      </c>
      <c r="AU46" s="3">
        <f>SUMPRODUCT(React!$C$45:$AU$45,Curves!$AD$19:$BV$19)</f>
        <v/>
      </c>
      <c r="AV46" s="3">
        <f>SUMPRODUCT(React!$C$45:$AV$45,Curves!$AC$19:$BV$19)</f>
        <v/>
      </c>
      <c r="AW46" s="3">
        <f>SUMPRODUCT(React!$C$45:$AW$45,Curves!$AB$19:$BV$19)</f>
        <v/>
      </c>
      <c r="AX46" s="3">
        <f>SUMPRODUCT(React!$C$45:$AX$45,Curves!$AA$19:$BV$19)</f>
        <v/>
      </c>
      <c r="AY46" s="3">
        <f>SUMPRODUCT(React!$C$45:$AY$45,Curves!$Z$19:$BV$19)</f>
        <v/>
      </c>
      <c r="AZ46" s="3">
        <f>SUMPRODUCT(React!$C$45:$AZ$45,Curves!$Y$19:$BV$19)</f>
        <v/>
      </c>
      <c r="BA46" s="3">
        <f>SUMPRODUCT(React!$C$45:$BA$45,Curves!$X$19:$BV$19)</f>
        <v/>
      </c>
      <c r="BB46" s="3">
        <f>SUMPRODUCT(React!$C$45:$BB$45,Curves!$W$19:$BV$19)</f>
        <v/>
      </c>
      <c r="BC46" s="3">
        <f>SUMPRODUCT(React!$C$45:$BC$45,Curves!$V$19:$BV$19)</f>
        <v/>
      </c>
      <c r="BD46" s="3">
        <f>SUMPRODUCT(React!$C$45:$BD$45,Curves!$U$19:$BV$19)</f>
        <v/>
      </c>
      <c r="BE46" s="3">
        <f>SUMPRODUCT(React!$C$45:$BE$45,Curves!$T$19:$BV$19)</f>
        <v/>
      </c>
      <c r="BF46" s="3">
        <f>SUMPRODUCT(React!$C$45:$BF$45,Curves!$S$19:$BV$19)</f>
        <v/>
      </c>
      <c r="BG46" s="3">
        <f>SUMPRODUCT(React!$C$45:$BG$45,Curves!$R$19:$BV$19)</f>
        <v/>
      </c>
      <c r="BH46" s="3">
        <f>SUMPRODUCT(React!$C$45:$BH$45,Curves!$Q$19:$BV$19)</f>
        <v/>
      </c>
      <c r="BI46" s="3">
        <f>SUMPRODUCT(React!$C$45:$BI$45,Curves!$P$19:$BV$19)</f>
        <v/>
      </c>
      <c r="BJ46" s="3">
        <f>SUMPRODUCT(React!$C$45:$BJ$45,Curves!$O$19:$BV$19)</f>
        <v/>
      </c>
      <c r="BK46" s="3">
        <f>SUMPRODUCT(React!$C$45:$BK$45,Curves!$N$19:$BV$19)</f>
        <v/>
      </c>
      <c r="BL46" s="3">
        <f>SUMPRODUCT(React!$C$45:$BL$45,Curves!$M$19:$BV$19)</f>
        <v/>
      </c>
      <c r="BM46" s="3">
        <f>SUMPRODUCT(React!$C$45:$BM$45,Curves!$L$19:$BV$19)</f>
        <v/>
      </c>
      <c r="BN46" s="3">
        <f>SUMPRODUCT(React!$C$45:$BN$45,Curves!$K$19:$BV$19)</f>
        <v/>
      </c>
      <c r="BO46" s="3">
        <f>SUMPRODUCT(React!$C$45:$BO$45,Curves!$J$19:$BV$19)</f>
        <v/>
      </c>
      <c r="BP46" s="3">
        <f>SUMPRODUCT(React!$C$45:$BP$45,Curves!$I$19:$BV$19)</f>
        <v/>
      </c>
      <c r="BQ46" s="3">
        <f>SUMPRODUCT(React!$C$45:$BQ$45,Curves!$H$19:$BV$19)</f>
        <v/>
      </c>
      <c r="BR46" s="3">
        <f>SUMPRODUCT(React!$C$45:$BR$45,Curves!$G$19:$BV$19)</f>
        <v/>
      </c>
      <c r="BS46" s="3">
        <f>SUMPRODUCT(React!$C$45:$BS$45,Curves!$F$19:$BV$19)</f>
        <v/>
      </c>
      <c r="BT46" s="3">
        <f>SUMPRODUCT(React!$C$45:$BT$45,Curves!$E$19:$BV$19)</f>
        <v/>
      </c>
      <c r="BU46" s="3">
        <f>SUMPRODUCT(React!$C$45:$BU$45,Curves!$D$19:$BV$19)</f>
        <v/>
      </c>
      <c r="BV46" s="3">
        <f>SUMPRODUCT(React!$C$45:$BV$45,Curves!$C$19:$BV$19)</f>
        <v/>
      </c>
    </row>
    <row r="47">
      <c r="A47" t="inlineStr">
        <is>
          <t>reactivated in</t>
        </is>
      </c>
      <c r="B47" t="inlineStr">
        <is>
          <t>EUROPE|BASIC_M</t>
        </is>
      </c>
      <c r="C47" s="3">
        <f>C46+C53</f>
        <v/>
      </c>
      <c r="D47" s="3">
        <f>D46+D53</f>
        <v/>
      </c>
      <c r="E47" s="3">
        <f>E46+E53</f>
        <v/>
      </c>
      <c r="F47" s="3">
        <f>F46+F53</f>
        <v/>
      </c>
      <c r="G47" s="3">
        <f>G46+G53</f>
        <v/>
      </c>
      <c r="H47" s="3">
        <f>H46+H53</f>
        <v/>
      </c>
      <c r="I47" s="3">
        <f>I46+I53</f>
        <v/>
      </c>
      <c r="J47" s="3">
        <f>J46+J53</f>
        <v/>
      </c>
      <c r="K47" s="3">
        <f>K46+K53</f>
        <v/>
      </c>
      <c r="L47" s="3">
        <f>L46+L53</f>
        <v/>
      </c>
      <c r="M47" s="3">
        <f>M46+M53</f>
        <v/>
      </c>
      <c r="N47" s="3">
        <f>N46+N53</f>
        <v/>
      </c>
      <c r="O47" s="3">
        <f>O46+O53</f>
        <v/>
      </c>
      <c r="P47" s="3">
        <f>P46+P53</f>
        <v/>
      </c>
      <c r="Q47" s="3">
        <f>Q46+Q53</f>
        <v/>
      </c>
      <c r="R47" s="3">
        <f>R46+R53</f>
        <v/>
      </c>
      <c r="S47" s="3">
        <f>S46+S53</f>
        <v/>
      </c>
      <c r="T47" s="3">
        <f>T46+T53</f>
        <v/>
      </c>
      <c r="U47" s="3">
        <f>U46+U53</f>
        <v/>
      </c>
      <c r="V47" s="3">
        <f>V46+V53</f>
        <v/>
      </c>
      <c r="W47" s="3">
        <f>W46+W53</f>
        <v/>
      </c>
      <c r="X47" s="3">
        <f>X46+X53</f>
        <v/>
      </c>
      <c r="Y47" s="3">
        <f>Y46+Y53</f>
        <v/>
      </c>
      <c r="Z47" s="3">
        <f>Z46+Z53</f>
        <v/>
      </c>
      <c r="AA47" s="3">
        <f>AA46+AA53</f>
        <v/>
      </c>
      <c r="AB47" s="3">
        <f>AB46+AB53</f>
        <v/>
      </c>
      <c r="AC47" s="3">
        <f>AC46+AC53</f>
        <v/>
      </c>
      <c r="AD47" s="3">
        <f>AD46+AD53</f>
        <v/>
      </c>
      <c r="AE47" s="3">
        <f>AE46+AE53</f>
        <v/>
      </c>
      <c r="AF47" s="3">
        <f>AF46+AF53</f>
        <v/>
      </c>
      <c r="AG47" s="3">
        <f>AG46+AG53</f>
        <v/>
      </c>
      <c r="AH47" s="3">
        <f>AH46+AH53</f>
        <v/>
      </c>
      <c r="AI47" s="3">
        <f>AI46+AI53</f>
        <v/>
      </c>
      <c r="AJ47" s="3">
        <f>AJ46+AJ53</f>
        <v/>
      </c>
      <c r="AK47" s="3">
        <f>AK46+AK53</f>
        <v/>
      </c>
      <c r="AL47" s="3">
        <f>AL46+AL53</f>
        <v/>
      </c>
      <c r="AM47" s="3">
        <f>AM46+AM53</f>
        <v/>
      </c>
      <c r="AN47" s="3">
        <f>AN46+AN53</f>
        <v/>
      </c>
      <c r="AO47" s="3">
        <f>AO46+AO53</f>
        <v/>
      </c>
      <c r="AP47" s="3">
        <f>AP46+AP53</f>
        <v/>
      </c>
      <c r="AQ47" s="3">
        <f>AQ46+AQ53</f>
        <v/>
      </c>
      <c r="AR47" s="3">
        <f>AR46+AR53</f>
        <v/>
      </c>
      <c r="AS47" s="3">
        <f>AS46+AS53</f>
        <v/>
      </c>
      <c r="AT47" s="3">
        <f>AT46+AT53</f>
        <v/>
      </c>
      <c r="AU47" s="3">
        <f>AU46+AU53</f>
        <v/>
      </c>
      <c r="AV47" s="3">
        <f>AV46+AV53</f>
        <v/>
      </c>
      <c r="AW47" s="3">
        <f>AW46+AW53</f>
        <v/>
      </c>
      <c r="AX47" s="3">
        <f>AX46+AX53</f>
        <v/>
      </c>
      <c r="AY47" s="3">
        <f>AY46+AY53</f>
        <v/>
      </c>
      <c r="AZ47" s="3">
        <f>AZ46+AZ53</f>
        <v/>
      </c>
      <c r="BA47" s="3">
        <f>BA46+BA53</f>
        <v/>
      </c>
      <c r="BB47" s="3">
        <f>BB46+BB53</f>
        <v/>
      </c>
      <c r="BC47" s="3">
        <f>BC46+BC53</f>
        <v/>
      </c>
      <c r="BD47" s="3">
        <f>BD46+BD53</f>
        <v/>
      </c>
      <c r="BE47" s="3">
        <f>BE46+BE53</f>
        <v/>
      </c>
      <c r="BF47" s="3">
        <f>BF46+BF53</f>
        <v/>
      </c>
      <c r="BG47" s="3">
        <f>BG46+BG53</f>
        <v/>
      </c>
      <c r="BH47" s="3">
        <f>BH46+BH53</f>
        <v/>
      </c>
      <c r="BI47" s="3">
        <f>BI46+BI53</f>
        <v/>
      </c>
      <c r="BJ47" s="3">
        <f>BJ46+BJ53</f>
        <v/>
      </c>
      <c r="BK47" s="3">
        <f>BK46+BK53</f>
        <v/>
      </c>
      <c r="BL47" s="3">
        <f>BL46+BL53</f>
        <v/>
      </c>
      <c r="BM47" s="3">
        <f>BM46+BM53</f>
        <v/>
      </c>
      <c r="BN47" s="3">
        <f>BN46+BN53</f>
        <v/>
      </c>
      <c r="BO47" s="3">
        <f>BO46+BO53</f>
        <v/>
      </c>
      <c r="BP47" s="3">
        <f>BP46+BP53</f>
        <v/>
      </c>
      <c r="BQ47" s="3">
        <f>BQ46+BQ53</f>
        <v/>
      </c>
      <c r="BR47" s="3">
        <f>BR46+BR53</f>
        <v/>
      </c>
      <c r="BS47" s="3">
        <f>BS46+BS53</f>
        <v/>
      </c>
      <c r="BT47" s="3">
        <f>BT46+BT53</f>
        <v/>
      </c>
      <c r="BU47" s="3">
        <f>BU46+BU53</f>
        <v/>
      </c>
      <c r="BV47" s="3">
        <f>BV46+BV53</f>
        <v/>
      </c>
    </row>
    <row r="48">
      <c r="A48" t="inlineStr">
        <is>
          <t>active</t>
        </is>
      </c>
      <c r="B48" t="inlineStr">
        <is>
          <t>EUROPE|BASIC_M</t>
        </is>
      </c>
      <c r="C48" s="3">
        <f>React!$C$47*Curves!$BV$17</f>
        <v/>
      </c>
      <c r="D48" s="3">
        <f>SUMPRODUCT(React!$C$47:$D$47,Curves!$BU$17:$BV$17)</f>
        <v/>
      </c>
      <c r="E48" s="3">
        <f>SUMPRODUCT(React!$C$47:$E$47,Curves!$BT$17:$BV$17)</f>
        <v/>
      </c>
      <c r="F48" s="3">
        <f>SUMPRODUCT(React!$C$47:$F$47,Curves!$BS$17:$BV$17)</f>
        <v/>
      </c>
      <c r="G48" s="3">
        <f>SUMPRODUCT(React!$C$47:$G$47,Curves!$BR$17:$BV$17)</f>
        <v/>
      </c>
      <c r="H48" s="3">
        <f>SUMPRODUCT(React!$C$47:$H$47,Curves!$BQ$17:$BV$17)</f>
        <v/>
      </c>
      <c r="I48" s="3">
        <f>SUMPRODUCT(React!$C$47:$I$47,Curves!$BP$17:$BV$17)</f>
        <v/>
      </c>
      <c r="J48" s="3">
        <f>SUMPRODUCT(React!$C$47:$J$47,Curves!$BO$17:$BV$17)</f>
        <v/>
      </c>
      <c r="K48" s="3">
        <f>SUMPRODUCT(React!$C$47:$K$47,Curves!$BN$17:$BV$17)</f>
        <v/>
      </c>
      <c r="L48" s="3">
        <f>SUMPRODUCT(React!$C$47:$L$47,Curves!$BM$17:$BV$17)</f>
        <v/>
      </c>
      <c r="M48" s="3">
        <f>SUMPRODUCT(React!$C$47:$M$47,Curves!$BL$17:$BV$17)</f>
        <v/>
      </c>
      <c r="N48" s="3">
        <f>SUMPRODUCT(React!$C$47:$N$47,Curves!$BK$17:$BV$17)</f>
        <v/>
      </c>
      <c r="O48" s="3">
        <f>SUMPRODUCT(React!$C$47:$O$47,Curves!$BJ$17:$BV$17)</f>
        <v/>
      </c>
      <c r="P48" s="3">
        <f>SUMPRODUCT(React!$C$47:$P$47,Curves!$BI$17:$BV$17)</f>
        <v/>
      </c>
      <c r="Q48" s="3">
        <f>SUMPRODUCT(React!$C$47:$Q$47,Curves!$BH$17:$BV$17)</f>
        <v/>
      </c>
      <c r="R48" s="3">
        <f>SUMPRODUCT(React!$C$47:$R$47,Curves!$BG$17:$BV$17)</f>
        <v/>
      </c>
      <c r="S48" s="3">
        <f>SUMPRODUCT(React!$C$47:$S$47,Curves!$BF$17:$BV$17)</f>
        <v/>
      </c>
      <c r="T48" s="3">
        <f>SUMPRODUCT(React!$C$47:$T$47,Curves!$BE$17:$BV$17)</f>
        <v/>
      </c>
      <c r="U48" s="3">
        <f>SUMPRODUCT(React!$C$47:$U$47,Curves!$BD$17:$BV$17)</f>
        <v/>
      </c>
      <c r="V48" s="3">
        <f>SUMPRODUCT(React!$C$47:$V$47,Curves!$BC$17:$BV$17)</f>
        <v/>
      </c>
      <c r="W48" s="3">
        <f>SUMPRODUCT(React!$C$47:$W$47,Curves!$BB$17:$BV$17)</f>
        <v/>
      </c>
      <c r="X48" s="3">
        <f>SUMPRODUCT(React!$C$47:$X$47,Curves!$BA$17:$BV$17)</f>
        <v/>
      </c>
      <c r="Y48" s="3">
        <f>SUMPRODUCT(React!$C$47:$Y$47,Curves!$AZ$17:$BV$17)</f>
        <v/>
      </c>
      <c r="Z48" s="3">
        <f>SUMPRODUCT(React!$C$47:$Z$47,Curves!$AY$17:$BV$17)</f>
        <v/>
      </c>
      <c r="AA48" s="3">
        <f>SUMPRODUCT(React!$C$47:$AA$47,Curves!$AX$17:$BV$17)</f>
        <v/>
      </c>
      <c r="AB48" s="3">
        <f>SUMPRODUCT(React!$C$47:$AB$47,Curves!$AW$17:$BV$17)</f>
        <v/>
      </c>
      <c r="AC48" s="3">
        <f>SUMPRODUCT(React!$C$47:$AC$47,Curves!$AV$17:$BV$17)</f>
        <v/>
      </c>
      <c r="AD48" s="3">
        <f>SUMPRODUCT(React!$C$47:$AD$47,Curves!$AU$17:$BV$17)</f>
        <v/>
      </c>
      <c r="AE48" s="3">
        <f>SUMPRODUCT(React!$C$47:$AE$47,Curves!$AT$17:$BV$17)</f>
        <v/>
      </c>
      <c r="AF48" s="3">
        <f>SUMPRODUCT(React!$C$47:$AF$47,Curves!$AS$17:$BV$17)</f>
        <v/>
      </c>
      <c r="AG48" s="3">
        <f>SUMPRODUCT(React!$C$47:$AG$47,Curves!$AR$17:$BV$17)</f>
        <v/>
      </c>
      <c r="AH48" s="3">
        <f>SUMPRODUCT(React!$C$47:$AH$47,Curves!$AQ$17:$BV$17)</f>
        <v/>
      </c>
      <c r="AI48" s="3">
        <f>SUMPRODUCT(React!$C$47:$AI$47,Curves!$AP$17:$BV$17)</f>
        <v/>
      </c>
      <c r="AJ48" s="3">
        <f>SUMPRODUCT(React!$C$47:$AJ$47,Curves!$AO$17:$BV$17)</f>
        <v/>
      </c>
      <c r="AK48" s="3">
        <f>SUMPRODUCT(React!$C$47:$AK$47,Curves!$AN$17:$BV$17)</f>
        <v/>
      </c>
      <c r="AL48" s="3">
        <f>SUMPRODUCT(React!$C$47:$AL$47,Curves!$AM$17:$BV$17)</f>
        <v/>
      </c>
      <c r="AM48" s="3">
        <f>SUMPRODUCT(React!$C$47:$AM$47,Curves!$AL$17:$BV$17)</f>
        <v/>
      </c>
      <c r="AN48" s="3">
        <f>SUMPRODUCT(React!$C$47:$AN$47,Curves!$AK$17:$BV$17)</f>
        <v/>
      </c>
      <c r="AO48" s="3">
        <f>SUMPRODUCT(React!$C$47:$AO$47,Curves!$AJ$17:$BV$17)</f>
        <v/>
      </c>
      <c r="AP48" s="3">
        <f>SUMPRODUCT(React!$C$47:$AP$47,Curves!$AI$17:$BV$17)</f>
        <v/>
      </c>
      <c r="AQ48" s="3">
        <f>SUMPRODUCT(React!$C$47:$AQ$47,Curves!$AH$17:$BV$17)</f>
        <v/>
      </c>
      <c r="AR48" s="3">
        <f>SUMPRODUCT(React!$C$47:$AR$47,Curves!$AG$17:$BV$17)</f>
        <v/>
      </c>
      <c r="AS48" s="3">
        <f>SUMPRODUCT(React!$C$47:$AS$47,Curves!$AF$17:$BV$17)</f>
        <v/>
      </c>
      <c r="AT48" s="3">
        <f>SUMPRODUCT(React!$C$47:$AT$47,Curves!$AE$17:$BV$17)</f>
        <v/>
      </c>
      <c r="AU48" s="3">
        <f>SUMPRODUCT(React!$C$47:$AU$47,Curves!$AD$17:$BV$17)</f>
        <v/>
      </c>
      <c r="AV48" s="3">
        <f>SUMPRODUCT(React!$C$47:$AV$47,Curves!$AC$17:$BV$17)</f>
        <v/>
      </c>
      <c r="AW48" s="3">
        <f>SUMPRODUCT(React!$C$47:$AW$47,Curves!$AB$17:$BV$17)</f>
        <v/>
      </c>
      <c r="AX48" s="3">
        <f>SUMPRODUCT(React!$C$47:$AX$47,Curves!$AA$17:$BV$17)</f>
        <v/>
      </c>
      <c r="AY48" s="3">
        <f>SUMPRODUCT(React!$C$47:$AY$47,Curves!$Z$17:$BV$17)</f>
        <v/>
      </c>
      <c r="AZ48" s="3">
        <f>SUMPRODUCT(React!$C$47:$AZ$47,Curves!$Y$17:$BV$17)</f>
        <v/>
      </c>
      <c r="BA48" s="3">
        <f>SUMPRODUCT(React!$C$47:$BA$47,Curves!$X$17:$BV$17)</f>
        <v/>
      </c>
      <c r="BB48" s="3">
        <f>SUMPRODUCT(React!$C$47:$BB$47,Curves!$W$17:$BV$17)</f>
        <v/>
      </c>
      <c r="BC48" s="3">
        <f>SUMPRODUCT(React!$C$47:$BC$47,Curves!$V$17:$BV$17)</f>
        <v/>
      </c>
      <c r="BD48" s="3">
        <f>SUMPRODUCT(React!$C$47:$BD$47,Curves!$U$17:$BV$17)</f>
        <v/>
      </c>
      <c r="BE48" s="3">
        <f>SUMPRODUCT(React!$C$47:$BE$47,Curves!$T$17:$BV$17)</f>
        <v/>
      </c>
      <c r="BF48" s="3">
        <f>SUMPRODUCT(React!$C$47:$BF$47,Curves!$S$17:$BV$17)</f>
        <v/>
      </c>
      <c r="BG48" s="3">
        <f>SUMPRODUCT(React!$C$47:$BG$47,Curves!$R$17:$BV$17)</f>
        <v/>
      </c>
      <c r="BH48" s="3">
        <f>SUMPRODUCT(React!$C$47:$BH$47,Curves!$Q$17:$BV$17)</f>
        <v/>
      </c>
      <c r="BI48" s="3">
        <f>SUMPRODUCT(React!$C$47:$BI$47,Curves!$P$17:$BV$17)</f>
        <v/>
      </c>
      <c r="BJ48" s="3">
        <f>SUMPRODUCT(React!$C$47:$BJ$47,Curves!$O$17:$BV$17)</f>
        <v/>
      </c>
      <c r="BK48" s="3">
        <f>SUMPRODUCT(React!$C$47:$BK$47,Curves!$N$17:$BV$17)</f>
        <v/>
      </c>
      <c r="BL48" s="3">
        <f>SUMPRODUCT(React!$C$47:$BL$47,Curves!$M$17:$BV$17)</f>
        <v/>
      </c>
      <c r="BM48" s="3">
        <f>SUMPRODUCT(React!$C$47:$BM$47,Curves!$L$17:$BV$17)</f>
        <v/>
      </c>
      <c r="BN48" s="3">
        <f>SUMPRODUCT(React!$C$47:$BN$47,Curves!$K$17:$BV$17)</f>
        <v/>
      </c>
      <c r="BO48" s="3">
        <f>SUMPRODUCT(React!$C$47:$BO$47,Curves!$J$17:$BV$17)</f>
        <v/>
      </c>
      <c r="BP48" s="3">
        <f>SUMPRODUCT(React!$C$47:$BP$47,Curves!$I$17:$BV$17)</f>
        <v/>
      </c>
      <c r="BQ48" s="3">
        <f>SUMPRODUCT(React!$C$47:$BQ$47,Curves!$H$17:$BV$17)</f>
        <v/>
      </c>
      <c r="BR48" s="3">
        <f>SUMPRODUCT(React!$C$47:$BR$47,Curves!$G$17:$BV$17)</f>
        <v/>
      </c>
      <c r="BS48" s="3">
        <f>SUMPRODUCT(React!$C$47:$BS$47,Curves!$F$17:$BV$17)</f>
        <v/>
      </c>
      <c r="BT48" s="3">
        <f>SUMPRODUCT(React!$C$47:$BT$47,Curves!$E$17:$BV$17)</f>
        <v/>
      </c>
      <c r="BU48" s="3">
        <f>SUMPRODUCT(React!$C$47:$BU$47,Curves!$D$17:$BV$17)</f>
        <v/>
      </c>
      <c r="BV48" s="3">
        <f>SUMPRODUCT(React!$C$47:$BV$47,Curves!$C$17:$BV$17)</f>
        <v/>
      </c>
    </row>
    <row r="49">
      <c r="A49" t="inlineStr">
        <is>
          <t>active yr 1</t>
        </is>
      </c>
      <c r="B49" t="inlineStr">
        <is>
          <t>EUROPE|BASIC_M</t>
        </is>
      </c>
      <c r="C49" s="3">
        <f>React!$C$47*Curves!$BV$22</f>
        <v/>
      </c>
      <c r="D49" s="3">
        <f>SUMPRODUCT(React!$C$47:$D$47,Curves!$BU$22:$BV$22)</f>
        <v/>
      </c>
      <c r="E49" s="3">
        <f>SUMPRODUCT(React!$C$47:$E$47,Curves!$BT$22:$BV$22)</f>
        <v/>
      </c>
      <c r="F49" s="3">
        <f>SUMPRODUCT(React!$C$47:$F$47,Curves!$BS$22:$BV$22)</f>
        <v/>
      </c>
      <c r="G49" s="3">
        <f>SUMPRODUCT(React!$C$47:$G$47,Curves!$BR$22:$BV$22)</f>
        <v/>
      </c>
      <c r="H49" s="3">
        <f>SUMPRODUCT(React!$C$47:$H$47,Curves!$BQ$22:$BV$22)</f>
        <v/>
      </c>
      <c r="I49" s="3">
        <f>SUMPRODUCT(React!$C$47:$I$47,Curves!$BP$22:$BV$22)</f>
        <v/>
      </c>
      <c r="J49" s="3">
        <f>SUMPRODUCT(React!$C$47:$J$47,Curves!$BO$22:$BV$22)</f>
        <v/>
      </c>
      <c r="K49" s="3">
        <f>SUMPRODUCT(React!$C$47:$K$47,Curves!$BN$22:$BV$22)</f>
        <v/>
      </c>
      <c r="L49" s="3">
        <f>SUMPRODUCT(React!$C$47:$L$47,Curves!$BM$22:$BV$22)</f>
        <v/>
      </c>
      <c r="M49" s="3">
        <f>SUMPRODUCT(React!$C$47:$M$47,Curves!$BL$22:$BV$22)</f>
        <v/>
      </c>
      <c r="N49" s="3">
        <f>SUMPRODUCT(React!$C$47:$N$47,Curves!$BK$22:$BV$22)</f>
        <v/>
      </c>
      <c r="O49" s="3">
        <f>SUMPRODUCT(React!$C$47:$O$47,Curves!$BJ$22:$BV$22)</f>
        <v/>
      </c>
      <c r="P49" s="3">
        <f>SUMPRODUCT(React!$C$47:$P$47,Curves!$BI$22:$BV$22)</f>
        <v/>
      </c>
      <c r="Q49" s="3">
        <f>SUMPRODUCT(React!$C$47:$Q$47,Curves!$BH$22:$BV$22)</f>
        <v/>
      </c>
      <c r="R49" s="3">
        <f>SUMPRODUCT(React!$C$47:$R$47,Curves!$BG$22:$BV$22)</f>
        <v/>
      </c>
      <c r="S49" s="3">
        <f>SUMPRODUCT(React!$C$47:$S$47,Curves!$BF$22:$BV$22)</f>
        <v/>
      </c>
      <c r="T49" s="3">
        <f>SUMPRODUCT(React!$C$47:$T$47,Curves!$BE$22:$BV$22)</f>
        <v/>
      </c>
      <c r="U49" s="3">
        <f>SUMPRODUCT(React!$C$47:$U$47,Curves!$BD$22:$BV$22)</f>
        <v/>
      </c>
      <c r="V49" s="3">
        <f>SUMPRODUCT(React!$C$47:$V$47,Curves!$BC$22:$BV$22)</f>
        <v/>
      </c>
      <c r="W49" s="3">
        <f>SUMPRODUCT(React!$C$47:$W$47,Curves!$BB$22:$BV$22)</f>
        <v/>
      </c>
      <c r="X49" s="3">
        <f>SUMPRODUCT(React!$C$47:$X$47,Curves!$BA$22:$BV$22)</f>
        <v/>
      </c>
      <c r="Y49" s="3">
        <f>SUMPRODUCT(React!$C$47:$Y$47,Curves!$AZ$22:$BV$22)</f>
        <v/>
      </c>
      <c r="Z49" s="3">
        <f>SUMPRODUCT(React!$C$47:$Z$47,Curves!$AY$22:$BV$22)</f>
        <v/>
      </c>
      <c r="AA49" s="3">
        <f>SUMPRODUCT(React!$C$47:$AA$47,Curves!$AX$22:$BV$22)</f>
        <v/>
      </c>
      <c r="AB49" s="3">
        <f>SUMPRODUCT(React!$C$47:$AB$47,Curves!$AW$22:$BV$22)</f>
        <v/>
      </c>
      <c r="AC49" s="3">
        <f>SUMPRODUCT(React!$C$47:$AC$47,Curves!$AV$22:$BV$22)</f>
        <v/>
      </c>
      <c r="AD49" s="3">
        <f>SUMPRODUCT(React!$C$47:$AD$47,Curves!$AU$22:$BV$22)</f>
        <v/>
      </c>
      <c r="AE49" s="3">
        <f>SUMPRODUCT(React!$C$47:$AE$47,Curves!$AT$22:$BV$22)</f>
        <v/>
      </c>
      <c r="AF49" s="3">
        <f>SUMPRODUCT(React!$C$47:$AF$47,Curves!$AS$22:$BV$22)</f>
        <v/>
      </c>
      <c r="AG49" s="3">
        <f>SUMPRODUCT(React!$C$47:$AG$47,Curves!$AR$22:$BV$22)</f>
        <v/>
      </c>
      <c r="AH49" s="3">
        <f>SUMPRODUCT(React!$C$47:$AH$47,Curves!$AQ$22:$BV$22)</f>
        <v/>
      </c>
      <c r="AI49" s="3">
        <f>SUMPRODUCT(React!$C$47:$AI$47,Curves!$AP$22:$BV$22)</f>
        <v/>
      </c>
      <c r="AJ49" s="3">
        <f>SUMPRODUCT(React!$C$47:$AJ$47,Curves!$AO$22:$BV$22)</f>
        <v/>
      </c>
      <c r="AK49" s="3">
        <f>SUMPRODUCT(React!$C$47:$AK$47,Curves!$AN$22:$BV$22)</f>
        <v/>
      </c>
      <c r="AL49" s="3">
        <f>SUMPRODUCT(React!$C$47:$AL$47,Curves!$AM$22:$BV$22)</f>
        <v/>
      </c>
      <c r="AM49" s="3">
        <f>SUMPRODUCT(React!$C$47:$AM$47,Curves!$AL$22:$BV$22)</f>
        <v/>
      </c>
      <c r="AN49" s="3">
        <f>SUMPRODUCT(React!$C$47:$AN$47,Curves!$AK$22:$BV$22)</f>
        <v/>
      </c>
      <c r="AO49" s="3">
        <f>SUMPRODUCT(React!$C$47:$AO$47,Curves!$AJ$22:$BV$22)</f>
        <v/>
      </c>
      <c r="AP49" s="3">
        <f>SUMPRODUCT(React!$C$47:$AP$47,Curves!$AI$22:$BV$22)</f>
        <v/>
      </c>
      <c r="AQ49" s="3">
        <f>SUMPRODUCT(React!$C$47:$AQ$47,Curves!$AH$22:$BV$22)</f>
        <v/>
      </c>
      <c r="AR49" s="3">
        <f>SUMPRODUCT(React!$C$47:$AR$47,Curves!$AG$22:$BV$22)</f>
        <v/>
      </c>
      <c r="AS49" s="3">
        <f>SUMPRODUCT(React!$C$47:$AS$47,Curves!$AF$22:$BV$22)</f>
        <v/>
      </c>
      <c r="AT49" s="3">
        <f>SUMPRODUCT(React!$C$47:$AT$47,Curves!$AE$22:$BV$22)</f>
        <v/>
      </c>
      <c r="AU49" s="3">
        <f>SUMPRODUCT(React!$C$47:$AU$47,Curves!$AD$22:$BV$22)</f>
        <v/>
      </c>
      <c r="AV49" s="3">
        <f>SUMPRODUCT(React!$C$47:$AV$47,Curves!$AC$22:$BV$22)</f>
        <v/>
      </c>
      <c r="AW49" s="3">
        <f>SUMPRODUCT(React!$C$47:$AW$47,Curves!$AB$22:$BV$22)</f>
        <v/>
      </c>
      <c r="AX49" s="3">
        <f>SUMPRODUCT(React!$C$47:$AX$47,Curves!$AA$22:$BV$22)</f>
        <v/>
      </c>
      <c r="AY49" s="3">
        <f>SUMPRODUCT(React!$C$47:$AY$47,Curves!$Z$22:$BV$22)</f>
        <v/>
      </c>
      <c r="AZ49" s="3">
        <f>SUMPRODUCT(React!$C$47:$AZ$47,Curves!$Y$22:$BV$22)</f>
        <v/>
      </c>
      <c r="BA49" s="3">
        <f>SUMPRODUCT(React!$C$47:$BA$47,Curves!$X$22:$BV$22)</f>
        <v/>
      </c>
      <c r="BB49" s="3">
        <f>SUMPRODUCT(React!$C$47:$BB$47,Curves!$W$22:$BV$22)</f>
        <v/>
      </c>
      <c r="BC49" s="3">
        <f>SUMPRODUCT(React!$C$47:$BC$47,Curves!$V$22:$BV$22)</f>
        <v/>
      </c>
      <c r="BD49" s="3">
        <f>SUMPRODUCT(React!$C$47:$BD$47,Curves!$U$22:$BV$22)</f>
        <v/>
      </c>
      <c r="BE49" s="3">
        <f>SUMPRODUCT(React!$C$47:$BE$47,Curves!$T$22:$BV$22)</f>
        <v/>
      </c>
      <c r="BF49" s="3">
        <f>SUMPRODUCT(React!$C$47:$BF$47,Curves!$S$22:$BV$22)</f>
        <v/>
      </c>
      <c r="BG49" s="3">
        <f>SUMPRODUCT(React!$C$47:$BG$47,Curves!$R$22:$BV$22)</f>
        <v/>
      </c>
      <c r="BH49" s="3">
        <f>SUMPRODUCT(React!$C$47:$BH$47,Curves!$Q$22:$BV$22)</f>
        <v/>
      </c>
      <c r="BI49" s="3">
        <f>SUMPRODUCT(React!$C$47:$BI$47,Curves!$P$22:$BV$22)</f>
        <v/>
      </c>
      <c r="BJ49" s="3">
        <f>SUMPRODUCT(React!$C$47:$BJ$47,Curves!$O$22:$BV$22)</f>
        <v/>
      </c>
      <c r="BK49" s="3">
        <f>SUMPRODUCT(React!$C$47:$BK$47,Curves!$N$22:$BV$22)</f>
        <v/>
      </c>
      <c r="BL49" s="3">
        <f>SUMPRODUCT(React!$C$47:$BL$47,Curves!$M$22:$BV$22)</f>
        <v/>
      </c>
      <c r="BM49" s="3">
        <f>SUMPRODUCT(React!$C$47:$BM$47,Curves!$L$22:$BV$22)</f>
        <v/>
      </c>
      <c r="BN49" s="3">
        <f>SUMPRODUCT(React!$C$47:$BN$47,Curves!$K$22:$BV$22)</f>
        <v/>
      </c>
      <c r="BO49" s="3">
        <f>SUMPRODUCT(React!$C$47:$BO$47,Curves!$J$22:$BV$22)</f>
        <v/>
      </c>
      <c r="BP49" s="3">
        <f>SUMPRODUCT(React!$C$47:$BP$47,Curves!$I$22:$BV$22)</f>
        <v/>
      </c>
      <c r="BQ49" s="3">
        <f>SUMPRODUCT(React!$C$47:$BQ$47,Curves!$H$22:$BV$22)</f>
        <v/>
      </c>
      <c r="BR49" s="3">
        <f>SUMPRODUCT(React!$C$47:$BR$47,Curves!$G$22:$BV$22)</f>
        <v/>
      </c>
      <c r="BS49" s="3">
        <f>SUMPRODUCT(React!$C$47:$BS$47,Curves!$F$22:$BV$22)</f>
        <v/>
      </c>
      <c r="BT49" s="3">
        <f>SUMPRODUCT(React!$C$47:$BT$47,Curves!$E$22:$BV$22)</f>
        <v/>
      </c>
      <c r="BU49" s="3">
        <f>SUMPRODUCT(React!$C$47:$BU$47,Curves!$D$22:$BV$22)</f>
        <v/>
      </c>
      <c r="BV49" s="3">
        <f>SUMPRODUCT(React!$C$47:$BV$47,Curves!$C$22:$BV$22)</f>
        <v/>
      </c>
    </row>
    <row r="50">
      <c r="A50" t="inlineStr">
        <is>
          <t>churned</t>
        </is>
      </c>
      <c r="B50" t="inlineStr">
        <is>
          <t>EUROPE|BASIC_M</t>
        </is>
      </c>
      <c r="C50" s="3">
        <f>React!$C$47*Curves!$BV$18</f>
        <v/>
      </c>
      <c r="D50" s="3">
        <f>SUMPRODUCT(React!$C$47:$D$47,Curves!$BU$18:$BV$18)</f>
        <v/>
      </c>
      <c r="E50" s="3">
        <f>SUMPRODUCT(React!$C$47:$E$47,Curves!$BT$18:$BV$18)</f>
        <v/>
      </c>
      <c r="F50" s="3">
        <f>SUMPRODUCT(React!$C$47:$F$47,Curves!$BS$18:$BV$18)</f>
        <v/>
      </c>
      <c r="G50" s="3">
        <f>SUMPRODUCT(React!$C$47:$G$47,Curves!$BR$18:$BV$18)</f>
        <v/>
      </c>
      <c r="H50" s="3">
        <f>SUMPRODUCT(React!$C$47:$H$47,Curves!$BQ$18:$BV$18)</f>
        <v/>
      </c>
      <c r="I50" s="3">
        <f>SUMPRODUCT(React!$C$47:$I$47,Curves!$BP$18:$BV$18)</f>
        <v/>
      </c>
      <c r="J50" s="3">
        <f>SUMPRODUCT(React!$C$47:$J$47,Curves!$BO$18:$BV$18)</f>
        <v/>
      </c>
      <c r="K50" s="3">
        <f>SUMPRODUCT(React!$C$47:$K$47,Curves!$BN$18:$BV$18)</f>
        <v/>
      </c>
      <c r="L50" s="3">
        <f>SUMPRODUCT(React!$C$47:$L$47,Curves!$BM$18:$BV$18)</f>
        <v/>
      </c>
      <c r="M50" s="3">
        <f>SUMPRODUCT(React!$C$47:$M$47,Curves!$BL$18:$BV$18)</f>
        <v/>
      </c>
      <c r="N50" s="3">
        <f>SUMPRODUCT(React!$C$47:$N$47,Curves!$BK$18:$BV$18)</f>
        <v/>
      </c>
      <c r="O50" s="3">
        <f>SUMPRODUCT(React!$C$47:$O$47,Curves!$BJ$18:$BV$18)</f>
        <v/>
      </c>
      <c r="P50" s="3">
        <f>SUMPRODUCT(React!$C$47:$P$47,Curves!$BI$18:$BV$18)</f>
        <v/>
      </c>
      <c r="Q50" s="3">
        <f>SUMPRODUCT(React!$C$47:$Q$47,Curves!$BH$18:$BV$18)</f>
        <v/>
      </c>
      <c r="R50" s="3">
        <f>SUMPRODUCT(React!$C$47:$R$47,Curves!$BG$18:$BV$18)</f>
        <v/>
      </c>
      <c r="S50" s="3">
        <f>SUMPRODUCT(React!$C$47:$S$47,Curves!$BF$18:$BV$18)</f>
        <v/>
      </c>
      <c r="T50" s="3">
        <f>SUMPRODUCT(React!$C$47:$T$47,Curves!$BE$18:$BV$18)</f>
        <v/>
      </c>
      <c r="U50" s="3">
        <f>SUMPRODUCT(React!$C$47:$U$47,Curves!$BD$18:$BV$18)</f>
        <v/>
      </c>
      <c r="V50" s="3">
        <f>SUMPRODUCT(React!$C$47:$V$47,Curves!$BC$18:$BV$18)</f>
        <v/>
      </c>
      <c r="W50" s="3">
        <f>SUMPRODUCT(React!$C$47:$W$47,Curves!$BB$18:$BV$18)</f>
        <v/>
      </c>
      <c r="X50" s="3">
        <f>SUMPRODUCT(React!$C$47:$X$47,Curves!$BA$18:$BV$18)</f>
        <v/>
      </c>
      <c r="Y50" s="3">
        <f>SUMPRODUCT(React!$C$47:$Y$47,Curves!$AZ$18:$BV$18)</f>
        <v/>
      </c>
      <c r="Z50" s="3">
        <f>SUMPRODUCT(React!$C$47:$Z$47,Curves!$AY$18:$BV$18)</f>
        <v/>
      </c>
      <c r="AA50" s="3">
        <f>SUMPRODUCT(React!$C$47:$AA$47,Curves!$AX$18:$BV$18)</f>
        <v/>
      </c>
      <c r="AB50" s="3">
        <f>SUMPRODUCT(React!$C$47:$AB$47,Curves!$AW$18:$BV$18)</f>
        <v/>
      </c>
      <c r="AC50" s="3">
        <f>SUMPRODUCT(React!$C$47:$AC$47,Curves!$AV$18:$BV$18)</f>
        <v/>
      </c>
      <c r="AD50" s="3">
        <f>SUMPRODUCT(React!$C$47:$AD$47,Curves!$AU$18:$BV$18)</f>
        <v/>
      </c>
      <c r="AE50" s="3">
        <f>SUMPRODUCT(React!$C$47:$AE$47,Curves!$AT$18:$BV$18)</f>
        <v/>
      </c>
      <c r="AF50" s="3">
        <f>SUMPRODUCT(React!$C$47:$AF$47,Curves!$AS$18:$BV$18)</f>
        <v/>
      </c>
      <c r="AG50" s="3">
        <f>SUMPRODUCT(React!$C$47:$AG$47,Curves!$AR$18:$BV$18)</f>
        <v/>
      </c>
      <c r="AH50" s="3">
        <f>SUMPRODUCT(React!$C$47:$AH$47,Curves!$AQ$18:$BV$18)</f>
        <v/>
      </c>
      <c r="AI50" s="3">
        <f>SUMPRODUCT(React!$C$47:$AI$47,Curves!$AP$18:$BV$18)</f>
        <v/>
      </c>
      <c r="AJ50" s="3">
        <f>SUMPRODUCT(React!$C$47:$AJ$47,Curves!$AO$18:$BV$18)</f>
        <v/>
      </c>
      <c r="AK50" s="3">
        <f>SUMPRODUCT(React!$C$47:$AK$47,Curves!$AN$18:$BV$18)</f>
        <v/>
      </c>
      <c r="AL50" s="3">
        <f>SUMPRODUCT(React!$C$47:$AL$47,Curves!$AM$18:$BV$18)</f>
        <v/>
      </c>
      <c r="AM50" s="3">
        <f>SUMPRODUCT(React!$C$47:$AM$47,Curves!$AL$18:$BV$18)</f>
        <v/>
      </c>
      <c r="AN50" s="3">
        <f>SUMPRODUCT(React!$C$47:$AN$47,Curves!$AK$18:$BV$18)</f>
        <v/>
      </c>
      <c r="AO50" s="3">
        <f>SUMPRODUCT(React!$C$47:$AO$47,Curves!$AJ$18:$BV$18)</f>
        <v/>
      </c>
      <c r="AP50" s="3">
        <f>SUMPRODUCT(React!$C$47:$AP$47,Curves!$AI$18:$BV$18)</f>
        <v/>
      </c>
      <c r="AQ50" s="3">
        <f>SUMPRODUCT(React!$C$47:$AQ$47,Curves!$AH$18:$BV$18)</f>
        <v/>
      </c>
      <c r="AR50" s="3">
        <f>SUMPRODUCT(React!$C$47:$AR$47,Curves!$AG$18:$BV$18)</f>
        <v/>
      </c>
      <c r="AS50" s="3">
        <f>SUMPRODUCT(React!$C$47:$AS$47,Curves!$AF$18:$BV$18)</f>
        <v/>
      </c>
      <c r="AT50" s="3">
        <f>SUMPRODUCT(React!$C$47:$AT$47,Curves!$AE$18:$BV$18)</f>
        <v/>
      </c>
      <c r="AU50" s="3">
        <f>SUMPRODUCT(React!$C$47:$AU$47,Curves!$AD$18:$BV$18)</f>
        <v/>
      </c>
      <c r="AV50" s="3">
        <f>SUMPRODUCT(React!$C$47:$AV$47,Curves!$AC$18:$BV$18)</f>
        <v/>
      </c>
      <c r="AW50" s="3">
        <f>SUMPRODUCT(React!$C$47:$AW$47,Curves!$AB$18:$BV$18)</f>
        <v/>
      </c>
      <c r="AX50" s="3">
        <f>SUMPRODUCT(React!$C$47:$AX$47,Curves!$AA$18:$BV$18)</f>
        <v/>
      </c>
      <c r="AY50" s="3">
        <f>SUMPRODUCT(React!$C$47:$AY$47,Curves!$Z$18:$BV$18)</f>
        <v/>
      </c>
      <c r="AZ50" s="3">
        <f>SUMPRODUCT(React!$C$47:$AZ$47,Curves!$Y$18:$BV$18)</f>
        <v/>
      </c>
      <c r="BA50" s="3">
        <f>SUMPRODUCT(React!$C$47:$BA$47,Curves!$X$18:$BV$18)</f>
        <v/>
      </c>
      <c r="BB50" s="3">
        <f>SUMPRODUCT(React!$C$47:$BB$47,Curves!$W$18:$BV$18)</f>
        <v/>
      </c>
      <c r="BC50" s="3">
        <f>SUMPRODUCT(React!$C$47:$BC$47,Curves!$V$18:$BV$18)</f>
        <v/>
      </c>
      <c r="BD50" s="3">
        <f>SUMPRODUCT(React!$C$47:$BD$47,Curves!$U$18:$BV$18)</f>
        <v/>
      </c>
      <c r="BE50" s="3">
        <f>SUMPRODUCT(React!$C$47:$BE$47,Curves!$T$18:$BV$18)</f>
        <v/>
      </c>
      <c r="BF50" s="3">
        <f>SUMPRODUCT(React!$C$47:$BF$47,Curves!$S$18:$BV$18)</f>
        <v/>
      </c>
      <c r="BG50" s="3">
        <f>SUMPRODUCT(React!$C$47:$BG$47,Curves!$R$18:$BV$18)</f>
        <v/>
      </c>
      <c r="BH50" s="3">
        <f>SUMPRODUCT(React!$C$47:$BH$47,Curves!$Q$18:$BV$18)</f>
        <v/>
      </c>
      <c r="BI50" s="3">
        <f>SUMPRODUCT(React!$C$47:$BI$47,Curves!$P$18:$BV$18)</f>
        <v/>
      </c>
      <c r="BJ50" s="3">
        <f>SUMPRODUCT(React!$C$47:$BJ$47,Curves!$O$18:$BV$18)</f>
        <v/>
      </c>
      <c r="BK50" s="3">
        <f>SUMPRODUCT(React!$C$47:$BK$47,Curves!$N$18:$BV$18)</f>
        <v/>
      </c>
      <c r="BL50" s="3">
        <f>SUMPRODUCT(React!$C$47:$BL$47,Curves!$M$18:$BV$18)</f>
        <v/>
      </c>
      <c r="BM50" s="3">
        <f>SUMPRODUCT(React!$C$47:$BM$47,Curves!$L$18:$BV$18)</f>
        <v/>
      </c>
      <c r="BN50" s="3">
        <f>SUMPRODUCT(React!$C$47:$BN$47,Curves!$K$18:$BV$18)</f>
        <v/>
      </c>
      <c r="BO50" s="3">
        <f>SUMPRODUCT(React!$C$47:$BO$47,Curves!$J$18:$BV$18)</f>
        <v/>
      </c>
      <c r="BP50" s="3">
        <f>SUMPRODUCT(React!$C$47:$BP$47,Curves!$I$18:$BV$18)</f>
        <v/>
      </c>
      <c r="BQ50" s="3">
        <f>SUMPRODUCT(React!$C$47:$BQ$47,Curves!$H$18:$BV$18)</f>
        <v/>
      </c>
      <c r="BR50" s="3">
        <f>SUMPRODUCT(React!$C$47:$BR$47,Curves!$G$18:$BV$18)</f>
        <v/>
      </c>
      <c r="BS50" s="3">
        <f>SUMPRODUCT(React!$C$47:$BS$47,Curves!$F$18:$BV$18)</f>
        <v/>
      </c>
      <c r="BT50" s="3">
        <f>SUMPRODUCT(React!$C$47:$BT$47,Curves!$E$18:$BV$18)</f>
        <v/>
      </c>
      <c r="BU50" s="3">
        <f>SUMPRODUCT(React!$C$47:$BU$47,Curves!$D$18:$BV$18)</f>
        <v/>
      </c>
      <c r="BV50" s="3">
        <f>SUMPRODUCT(React!$C$47:$BV$47,Curves!$C$18:$BV$18)</f>
        <v/>
      </c>
    </row>
    <row r="52">
      <c r="A52" t="inlineStr">
        <is>
          <t>churn pool inflow</t>
        </is>
      </c>
      <c r="B52" t="inlineStr">
        <is>
          <t>EUROPE|BASIC_A</t>
        </is>
      </c>
      <c r="C52" s="3">
        <f>Paid!C33+Legacy!C35</f>
        <v/>
      </c>
      <c r="D52" s="3">
        <f>Paid!D33+Legacy!D35</f>
        <v/>
      </c>
      <c r="E52" s="3">
        <f>Paid!E33+Legacy!E35</f>
        <v/>
      </c>
      <c r="F52" s="3">
        <f>Paid!F33+Legacy!F35</f>
        <v/>
      </c>
      <c r="G52" s="3">
        <f>Paid!G33+Legacy!G35</f>
        <v/>
      </c>
      <c r="H52" s="3">
        <f>Paid!H33+Legacy!H35</f>
        <v/>
      </c>
      <c r="I52" s="3">
        <f>Paid!I33+Legacy!I35</f>
        <v/>
      </c>
      <c r="J52" s="3">
        <f>Paid!J33+Legacy!J35</f>
        <v/>
      </c>
      <c r="K52" s="3">
        <f>Paid!K33+Legacy!K35</f>
        <v/>
      </c>
      <c r="L52" s="3">
        <f>Paid!L33+Legacy!L35</f>
        <v/>
      </c>
      <c r="M52" s="3">
        <f>Paid!M33+Legacy!M35</f>
        <v/>
      </c>
      <c r="N52" s="3">
        <f>Paid!N33+Legacy!N35</f>
        <v/>
      </c>
      <c r="O52" s="3">
        <f>Paid!O33+Legacy!O35</f>
        <v/>
      </c>
      <c r="P52" s="3">
        <f>Paid!P33+Legacy!P35</f>
        <v/>
      </c>
      <c r="Q52" s="3">
        <f>Paid!Q33+Legacy!Q35</f>
        <v/>
      </c>
      <c r="R52" s="3">
        <f>Paid!R33+Legacy!R35</f>
        <v/>
      </c>
      <c r="S52" s="3">
        <f>Paid!S33+Legacy!S35</f>
        <v/>
      </c>
      <c r="T52" s="3">
        <f>Paid!T33+Legacy!T35</f>
        <v/>
      </c>
      <c r="U52" s="3">
        <f>Paid!U33+Legacy!U35</f>
        <v/>
      </c>
      <c r="V52" s="3">
        <f>Paid!V33+Legacy!V35</f>
        <v/>
      </c>
      <c r="W52" s="3">
        <f>Paid!W33+Legacy!W35</f>
        <v/>
      </c>
      <c r="X52" s="3">
        <f>Paid!X33+Legacy!X35</f>
        <v/>
      </c>
      <c r="Y52" s="3">
        <f>Paid!Y33+Legacy!Y35</f>
        <v/>
      </c>
      <c r="Z52" s="3">
        <f>Paid!Z33+Legacy!Z35</f>
        <v/>
      </c>
      <c r="AA52" s="3">
        <f>Paid!AA33+Legacy!AA35</f>
        <v/>
      </c>
      <c r="AB52" s="3">
        <f>Paid!AB33+Legacy!AB35</f>
        <v/>
      </c>
      <c r="AC52" s="3">
        <f>Paid!AC33+Legacy!AC35</f>
        <v/>
      </c>
      <c r="AD52" s="3">
        <f>Paid!AD33+Legacy!AD35</f>
        <v/>
      </c>
      <c r="AE52" s="3">
        <f>Paid!AE33+Legacy!AE35</f>
        <v/>
      </c>
      <c r="AF52" s="3">
        <f>Paid!AF33+Legacy!AF35</f>
        <v/>
      </c>
      <c r="AG52" s="3">
        <f>Paid!AG33+Legacy!AG35</f>
        <v/>
      </c>
      <c r="AH52" s="3">
        <f>Paid!AH33+Legacy!AH35</f>
        <v/>
      </c>
      <c r="AI52" s="3">
        <f>Paid!AI33+Legacy!AI35</f>
        <v/>
      </c>
      <c r="AJ52" s="3">
        <f>Paid!AJ33+Legacy!AJ35</f>
        <v/>
      </c>
      <c r="AK52" s="3">
        <f>Paid!AK33+Legacy!AK35</f>
        <v/>
      </c>
      <c r="AL52" s="3">
        <f>Paid!AL33+Legacy!AL35</f>
        <v/>
      </c>
      <c r="AM52" s="3">
        <f>Paid!AM33+Legacy!AM35</f>
        <v/>
      </c>
      <c r="AN52" s="3">
        <f>Paid!AN33+Legacy!AN35</f>
        <v/>
      </c>
      <c r="AO52" s="3">
        <f>Paid!AO33+Legacy!AO35</f>
        <v/>
      </c>
      <c r="AP52" s="3">
        <f>Paid!AP33+Legacy!AP35</f>
        <v/>
      </c>
      <c r="AQ52" s="3">
        <f>Paid!AQ33+Legacy!AQ35</f>
        <v/>
      </c>
      <c r="AR52" s="3">
        <f>Paid!AR33+Legacy!AR35</f>
        <v/>
      </c>
      <c r="AS52" s="3">
        <f>Paid!AS33+Legacy!AS35</f>
        <v/>
      </c>
      <c r="AT52" s="3">
        <f>Paid!AT33+Legacy!AT35</f>
        <v/>
      </c>
      <c r="AU52" s="3">
        <f>Paid!AU33+Legacy!AU35</f>
        <v/>
      </c>
      <c r="AV52" s="3">
        <f>Paid!AV33+Legacy!AV35</f>
        <v/>
      </c>
      <c r="AW52" s="3">
        <f>Paid!AW33+Legacy!AW35</f>
        <v/>
      </c>
      <c r="AX52" s="3">
        <f>Paid!AX33+Legacy!AX35</f>
        <v/>
      </c>
      <c r="AY52" s="3">
        <f>Paid!AY33+Legacy!AY35</f>
        <v/>
      </c>
      <c r="AZ52" s="3">
        <f>Paid!AZ33+Legacy!AZ35</f>
        <v/>
      </c>
      <c r="BA52" s="3">
        <f>Paid!BA33+Legacy!BA35</f>
        <v/>
      </c>
      <c r="BB52" s="3">
        <f>Paid!BB33+Legacy!BB35</f>
        <v/>
      </c>
      <c r="BC52" s="3">
        <f>Paid!BC33+Legacy!BC35</f>
        <v/>
      </c>
      <c r="BD52" s="3">
        <f>Paid!BD33+Legacy!BD35</f>
        <v/>
      </c>
      <c r="BE52" s="3">
        <f>Paid!BE33+Legacy!BE35</f>
        <v/>
      </c>
      <c r="BF52" s="3">
        <f>Paid!BF33+Legacy!BF35</f>
        <v/>
      </c>
      <c r="BG52" s="3">
        <f>Paid!BG33+Legacy!BG35</f>
        <v/>
      </c>
      <c r="BH52" s="3">
        <f>Paid!BH33+Legacy!BH35</f>
        <v/>
      </c>
      <c r="BI52" s="3">
        <f>Paid!BI33+Legacy!BI35</f>
        <v/>
      </c>
      <c r="BJ52" s="3">
        <f>Paid!BJ33+Legacy!BJ35</f>
        <v/>
      </c>
      <c r="BK52" s="3">
        <f>Paid!BK33+Legacy!BK35</f>
        <v/>
      </c>
      <c r="BL52" s="3">
        <f>Paid!BL33+Legacy!BL35</f>
        <v/>
      </c>
      <c r="BM52" s="3">
        <f>Paid!BM33+Legacy!BM35</f>
        <v/>
      </c>
      <c r="BN52" s="3">
        <f>Paid!BN33+Legacy!BN35</f>
        <v/>
      </c>
      <c r="BO52" s="3">
        <f>Paid!BO33+Legacy!BO35</f>
        <v/>
      </c>
      <c r="BP52" s="3">
        <f>Paid!BP33+Legacy!BP35</f>
        <v/>
      </c>
      <c r="BQ52" s="3">
        <f>Paid!BQ33+Legacy!BQ35</f>
        <v/>
      </c>
      <c r="BR52" s="3">
        <f>Paid!BR33+Legacy!BR35</f>
        <v/>
      </c>
      <c r="BS52" s="3">
        <f>Paid!BS33+Legacy!BS35</f>
        <v/>
      </c>
      <c r="BT52" s="3">
        <f>Paid!BT33+Legacy!BT35</f>
        <v/>
      </c>
      <c r="BU52" s="3">
        <f>Paid!BU33+Legacy!BU35</f>
        <v/>
      </c>
      <c r="BV52" s="3">
        <f>Paid!BV33+Legacy!BV35</f>
        <v/>
      </c>
    </row>
    <row r="53">
      <c r="A53" t="inlineStr">
        <is>
          <t>reactivations out</t>
        </is>
      </c>
      <c r="B53" t="inlineStr">
        <is>
          <t>EUROPE|BASIC_A</t>
        </is>
      </c>
      <c r="C53" s="3">
        <f>React!$C$52*Curves!$BV$19</f>
        <v/>
      </c>
      <c r="D53" s="3">
        <f>SUMPRODUCT(React!$C$52:$D$52,Curves!$BU$19:$BV$19)</f>
        <v/>
      </c>
      <c r="E53" s="3">
        <f>SUMPRODUCT(React!$C$52:$E$52,Curves!$BT$19:$BV$19)</f>
        <v/>
      </c>
      <c r="F53" s="3">
        <f>SUMPRODUCT(React!$C$52:$F$52,Curves!$BS$19:$BV$19)</f>
        <v/>
      </c>
      <c r="G53" s="3">
        <f>SUMPRODUCT(React!$C$52:$G$52,Curves!$BR$19:$BV$19)</f>
        <v/>
      </c>
      <c r="H53" s="3">
        <f>SUMPRODUCT(React!$C$52:$H$52,Curves!$BQ$19:$BV$19)</f>
        <v/>
      </c>
      <c r="I53" s="3">
        <f>SUMPRODUCT(React!$C$52:$I$52,Curves!$BP$19:$BV$19)</f>
        <v/>
      </c>
      <c r="J53" s="3">
        <f>SUMPRODUCT(React!$C$52:$J$52,Curves!$BO$19:$BV$19)</f>
        <v/>
      </c>
      <c r="K53" s="3">
        <f>SUMPRODUCT(React!$C$52:$K$52,Curves!$BN$19:$BV$19)</f>
        <v/>
      </c>
      <c r="L53" s="3">
        <f>SUMPRODUCT(React!$C$52:$L$52,Curves!$BM$19:$BV$19)</f>
        <v/>
      </c>
      <c r="M53" s="3">
        <f>SUMPRODUCT(React!$C$52:$M$52,Curves!$BL$19:$BV$19)</f>
        <v/>
      </c>
      <c r="N53" s="3">
        <f>SUMPRODUCT(React!$C$52:$N$52,Curves!$BK$19:$BV$19)</f>
        <v/>
      </c>
      <c r="O53" s="3">
        <f>SUMPRODUCT(React!$C$52:$O$52,Curves!$BJ$19:$BV$19)</f>
        <v/>
      </c>
      <c r="P53" s="3">
        <f>SUMPRODUCT(React!$C$52:$P$52,Curves!$BI$19:$BV$19)</f>
        <v/>
      </c>
      <c r="Q53" s="3">
        <f>SUMPRODUCT(React!$C$52:$Q$52,Curves!$BH$19:$BV$19)</f>
        <v/>
      </c>
      <c r="R53" s="3">
        <f>SUMPRODUCT(React!$C$52:$R$52,Curves!$BG$19:$BV$19)</f>
        <v/>
      </c>
      <c r="S53" s="3">
        <f>SUMPRODUCT(React!$C$52:$S$52,Curves!$BF$19:$BV$19)</f>
        <v/>
      </c>
      <c r="T53" s="3">
        <f>SUMPRODUCT(React!$C$52:$T$52,Curves!$BE$19:$BV$19)</f>
        <v/>
      </c>
      <c r="U53" s="3">
        <f>SUMPRODUCT(React!$C$52:$U$52,Curves!$BD$19:$BV$19)</f>
        <v/>
      </c>
      <c r="V53" s="3">
        <f>SUMPRODUCT(React!$C$52:$V$52,Curves!$BC$19:$BV$19)</f>
        <v/>
      </c>
      <c r="W53" s="3">
        <f>SUMPRODUCT(React!$C$52:$W$52,Curves!$BB$19:$BV$19)</f>
        <v/>
      </c>
      <c r="X53" s="3">
        <f>SUMPRODUCT(React!$C$52:$X$52,Curves!$BA$19:$BV$19)</f>
        <v/>
      </c>
      <c r="Y53" s="3">
        <f>SUMPRODUCT(React!$C$52:$Y$52,Curves!$AZ$19:$BV$19)</f>
        <v/>
      </c>
      <c r="Z53" s="3">
        <f>SUMPRODUCT(React!$C$52:$Z$52,Curves!$AY$19:$BV$19)</f>
        <v/>
      </c>
      <c r="AA53" s="3">
        <f>SUMPRODUCT(React!$C$52:$AA$52,Curves!$AX$19:$BV$19)</f>
        <v/>
      </c>
      <c r="AB53" s="3">
        <f>SUMPRODUCT(React!$C$52:$AB$52,Curves!$AW$19:$BV$19)</f>
        <v/>
      </c>
      <c r="AC53" s="3">
        <f>SUMPRODUCT(React!$C$52:$AC$52,Curves!$AV$19:$BV$19)</f>
        <v/>
      </c>
      <c r="AD53" s="3">
        <f>SUMPRODUCT(React!$C$52:$AD$52,Curves!$AU$19:$BV$19)</f>
        <v/>
      </c>
      <c r="AE53" s="3">
        <f>SUMPRODUCT(React!$C$52:$AE$52,Curves!$AT$19:$BV$19)</f>
        <v/>
      </c>
      <c r="AF53" s="3">
        <f>SUMPRODUCT(React!$C$52:$AF$52,Curves!$AS$19:$BV$19)</f>
        <v/>
      </c>
      <c r="AG53" s="3">
        <f>SUMPRODUCT(React!$C$52:$AG$52,Curves!$AR$19:$BV$19)</f>
        <v/>
      </c>
      <c r="AH53" s="3">
        <f>SUMPRODUCT(React!$C$52:$AH$52,Curves!$AQ$19:$BV$19)</f>
        <v/>
      </c>
      <c r="AI53" s="3">
        <f>SUMPRODUCT(React!$C$52:$AI$52,Curves!$AP$19:$BV$19)</f>
        <v/>
      </c>
      <c r="AJ53" s="3">
        <f>SUMPRODUCT(React!$C$52:$AJ$52,Curves!$AO$19:$BV$19)</f>
        <v/>
      </c>
      <c r="AK53" s="3">
        <f>SUMPRODUCT(React!$C$52:$AK$52,Curves!$AN$19:$BV$19)</f>
        <v/>
      </c>
      <c r="AL53" s="3">
        <f>SUMPRODUCT(React!$C$52:$AL$52,Curves!$AM$19:$BV$19)</f>
        <v/>
      </c>
      <c r="AM53" s="3">
        <f>SUMPRODUCT(React!$C$52:$AM$52,Curves!$AL$19:$BV$19)</f>
        <v/>
      </c>
      <c r="AN53" s="3">
        <f>SUMPRODUCT(React!$C$52:$AN$52,Curves!$AK$19:$BV$19)</f>
        <v/>
      </c>
      <c r="AO53" s="3">
        <f>SUMPRODUCT(React!$C$52:$AO$52,Curves!$AJ$19:$BV$19)</f>
        <v/>
      </c>
      <c r="AP53" s="3">
        <f>SUMPRODUCT(React!$C$52:$AP$52,Curves!$AI$19:$BV$19)</f>
        <v/>
      </c>
      <c r="AQ53" s="3">
        <f>SUMPRODUCT(React!$C$52:$AQ$52,Curves!$AH$19:$BV$19)</f>
        <v/>
      </c>
      <c r="AR53" s="3">
        <f>SUMPRODUCT(React!$C$52:$AR$52,Curves!$AG$19:$BV$19)</f>
        <v/>
      </c>
      <c r="AS53" s="3">
        <f>SUMPRODUCT(React!$C$52:$AS$52,Curves!$AF$19:$BV$19)</f>
        <v/>
      </c>
      <c r="AT53" s="3">
        <f>SUMPRODUCT(React!$C$52:$AT$52,Curves!$AE$19:$BV$19)</f>
        <v/>
      </c>
      <c r="AU53" s="3">
        <f>SUMPRODUCT(React!$C$52:$AU$52,Curves!$AD$19:$BV$19)</f>
        <v/>
      </c>
      <c r="AV53" s="3">
        <f>SUMPRODUCT(React!$C$52:$AV$52,Curves!$AC$19:$BV$19)</f>
        <v/>
      </c>
      <c r="AW53" s="3">
        <f>SUMPRODUCT(React!$C$52:$AW$52,Curves!$AB$19:$BV$19)</f>
        <v/>
      </c>
      <c r="AX53" s="3">
        <f>SUMPRODUCT(React!$C$52:$AX$52,Curves!$AA$19:$BV$19)</f>
        <v/>
      </c>
      <c r="AY53" s="3">
        <f>SUMPRODUCT(React!$C$52:$AY$52,Curves!$Z$19:$BV$19)</f>
        <v/>
      </c>
      <c r="AZ53" s="3">
        <f>SUMPRODUCT(React!$C$52:$AZ$52,Curves!$Y$19:$BV$19)</f>
        <v/>
      </c>
      <c r="BA53" s="3">
        <f>SUMPRODUCT(React!$C$52:$BA$52,Curves!$X$19:$BV$19)</f>
        <v/>
      </c>
      <c r="BB53" s="3">
        <f>SUMPRODUCT(React!$C$52:$BB$52,Curves!$W$19:$BV$19)</f>
        <v/>
      </c>
      <c r="BC53" s="3">
        <f>SUMPRODUCT(React!$C$52:$BC$52,Curves!$V$19:$BV$19)</f>
        <v/>
      </c>
      <c r="BD53" s="3">
        <f>SUMPRODUCT(React!$C$52:$BD$52,Curves!$U$19:$BV$19)</f>
        <v/>
      </c>
      <c r="BE53" s="3">
        <f>SUMPRODUCT(React!$C$52:$BE$52,Curves!$T$19:$BV$19)</f>
        <v/>
      </c>
      <c r="BF53" s="3">
        <f>SUMPRODUCT(React!$C$52:$BF$52,Curves!$S$19:$BV$19)</f>
        <v/>
      </c>
      <c r="BG53" s="3">
        <f>SUMPRODUCT(React!$C$52:$BG$52,Curves!$R$19:$BV$19)</f>
        <v/>
      </c>
      <c r="BH53" s="3">
        <f>SUMPRODUCT(React!$C$52:$BH$52,Curves!$Q$19:$BV$19)</f>
        <v/>
      </c>
      <c r="BI53" s="3">
        <f>SUMPRODUCT(React!$C$52:$BI$52,Curves!$P$19:$BV$19)</f>
        <v/>
      </c>
      <c r="BJ53" s="3">
        <f>SUMPRODUCT(React!$C$52:$BJ$52,Curves!$O$19:$BV$19)</f>
        <v/>
      </c>
      <c r="BK53" s="3">
        <f>SUMPRODUCT(React!$C$52:$BK$52,Curves!$N$19:$BV$19)</f>
        <v/>
      </c>
      <c r="BL53" s="3">
        <f>SUMPRODUCT(React!$C$52:$BL$52,Curves!$M$19:$BV$19)</f>
        <v/>
      </c>
      <c r="BM53" s="3">
        <f>SUMPRODUCT(React!$C$52:$BM$52,Curves!$L$19:$BV$19)</f>
        <v/>
      </c>
      <c r="BN53" s="3">
        <f>SUMPRODUCT(React!$C$52:$BN$52,Curves!$K$19:$BV$19)</f>
        <v/>
      </c>
      <c r="BO53" s="3">
        <f>SUMPRODUCT(React!$C$52:$BO$52,Curves!$J$19:$BV$19)</f>
        <v/>
      </c>
      <c r="BP53" s="3">
        <f>SUMPRODUCT(React!$C$52:$BP$52,Curves!$I$19:$BV$19)</f>
        <v/>
      </c>
      <c r="BQ53" s="3">
        <f>SUMPRODUCT(React!$C$52:$BQ$52,Curves!$H$19:$BV$19)</f>
        <v/>
      </c>
      <c r="BR53" s="3">
        <f>SUMPRODUCT(React!$C$52:$BR$52,Curves!$G$19:$BV$19)</f>
        <v/>
      </c>
      <c r="BS53" s="3">
        <f>SUMPRODUCT(React!$C$52:$BS$52,Curves!$F$19:$BV$19)</f>
        <v/>
      </c>
      <c r="BT53" s="3">
        <f>SUMPRODUCT(React!$C$52:$BT$52,Curves!$E$19:$BV$19)</f>
        <v/>
      </c>
      <c r="BU53" s="3">
        <f>SUMPRODUCT(React!$C$52:$BU$52,Curves!$D$19:$BV$19)</f>
        <v/>
      </c>
      <c r="BV53" s="3">
        <f>SUMPRODUCT(React!$C$52:$BV$52,Curves!$C$19:$BV$19)</f>
        <v/>
      </c>
    </row>
    <row r="54">
      <c r="A54" t="inlineStr">
        <is>
          <t>reactivated in</t>
        </is>
      </c>
      <c r="B54" t="inlineStr">
        <is>
          <t>EUROPE|BASIC_A</t>
        </is>
      </c>
      <c r="C54" s="3">
        <f>0</f>
        <v/>
      </c>
      <c r="D54" s="3">
        <f>0</f>
        <v/>
      </c>
      <c r="E54" s="3">
        <f>0</f>
        <v/>
      </c>
      <c r="F54" s="3">
        <f>0</f>
        <v/>
      </c>
      <c r="G54" s="3">
        <f>0</f>
        <v/>
      </c>
      <c r="H54" s="3">
        <f>0</f>
        <v/>
      </c>
      <c r="I54" s="3">
        <f>0</f>
        <v/>
      </c>
      <c r="J54" s="3">
        <f>0</f>
        <v/>
      </c>
      <c r="K54" s="3">
        <f>0</f>
        <v/>
      </c>
      <c r="L54" s="3">
        <f>0</f>
        <v/>
      </c>
      <c r="M54" s="3">
        <f>0</f>
        <v/>
      </c>
      <c r="N54" s="3">
        <f>0</f>
        <v/>
      </c>
      <c r="O54" s="3">
        <f>0</f>
        <v/>
      </c>
      <c r="P54" s="3">
        <f>0</f>
        <v/>
      </c>
      <c r="Q54" s="3">
        <f>0</f>
        <v/>
      </c>
      <c r="R54" s="3">
        <f>0</f>
        <v/>
      </c>
      <c r="S54" s="3">
        <f>0</f>
        <v/>
      </c>
      <c r="T54" s="3">
        <f>0</f>
        <v/>
      </c>
      <c r="U54" s="3">
        <f>0</f>
        <v/>
      </c>
      <c r="V54" s="3">
        <f>0</f>
        <v/>
      </c>
      <c r="W54" s="3">
        <f>0</f>
        <v/>
      </c>
      <c r="X54" s="3">
        <f>0</f>
        <v/>
      </c>
      <c r="Y54" s="3">
        <f>0</f>
        <v/>
      </c>
      <c r="Z54" s="3">
        <f>0</f>
        <v/>
      </c>
      <c r="AA54" s="3">
        <f>0</f>
        <v/>
      </c>
      <c r="AB54" s="3">
        <f>0</f>
        <v/>
      </c>
      <c r="AC54" s="3">
        <f>0</f>
        <v/>
      </c>
      <c r="AD54" s="3">
        <f>0</f>
        <v/>
      </c>
      <c r="AE54" s="3">
        <f>0</f>
        <v/>
      </c>
      <c r="AF54" s="3">
        <f>0</f>
        <v/>
      </c>
      <c r="AG54" s="3">
        <f>0</f>
        <v/>
      </c>
      <c r="AH54" s="3">
        <f>0</f>
        <v/>
      </c>
      <c r="AI54" s="3">
        <f>0</f>
        <v/>
      </c>
      <c r="AJ54" s="3">
        <f>0</f>
        <v/>
      </c>
      <c r="AK54" s="3">
        <f>0</f>
        <v/>
      </c>
      <c r="AL54" s="3">
        <f>0</f>
        <v/>
      </c>
      <c r="AM54" s="3">
        <f>0</f>
        <v/>
      </c>
      <c r="AN54" s="3">
        <f>0</f>
        <v/>
      </c>
      <c r="AO54" s="3">
        <f>0</f>
        <v/>
      </c>
      <c r="AP54" s="3">
        <f>0</f>
        <v/>
      </c>
      <c r="AQ54" s="3">
        <f>0</f>
        <v/>
      </c>
      <c r="AR54" s="3">
        <f>0</f>
        <v/>
      </c>
      <c r="AS54" s="3">
        <f>0</f>
        <v/>
      </c>
      <c r="AT54" s="3">
        <f>0</f>
        <v/>
      </c>
      <c r="AU54" s="3">
        <f>0</f>
        <v/>
      </c>
      <c r="AV54" s="3">
        <f>0</f>
        <v/>
      </c>
      <c r="AW54" s="3">
        <f>0</f>
        <v/>
      </c>
      <c r="AX54" s="3">
        <f>0</f>
        <v/>
      </c>
      <c r="AY54" s="3">
        <f>0</f>
        <v/>
      </c>
      <c r="AZ54" s="3">
        <f>0</f>
        <v/>
      </c>
      <c r="BA54" s="3">
        <f>0</f>
        <v/>
      </c>
      <c r="BB54" s="3">
        <f>0</f>
        <v/>
      </c>
      <c r="BC54" s="3">
        <f>0</f>
        <v/>
      </c>
      <c r="BD54" s="3">
        <f>0</f>
        <v/>
      </c>
      <c r="BE54" s="3">
        <f>0</f>
        <v/>
      </c>
      <c r="BF54" s="3">
        <f>0</f>
        <v/>
      </c>
      <c r="BG54" s="3">
        <f>0</f>
        <v/>
      </c>
      <c r="BH54" s="3">
        <f>0</f>
        <v/>
      </c>
      <c r="BI54" s="3">
        <f>0</f>
        <v/>
      </c>
      <c r="BJ54" s="3">
        <f>0</f>
        <v/>
      </c>
      <c r="BK54" s="3">
        <f>0</f>
        <v/>
      </c>
      <c r="BL54" s="3">
        <f>0</f>
        <v/>
      </c>
      <c r="BM54" s="3">
        <f>0</f>
        <v/>
      </c>
      <c r="BN54" s="3">
        <f>0</f>
        <v/>
      </c>
      <c r="BO54" s="3">
        <f>0</f>
        <v/>
      </c>
      <c r="BP54" s="3">
        <f>0</f>
        <v/>
      </c>
      <c r="BQ54" s="3">
        <f>0</f>
        <v/>
      </c>
      <c r="BR54" s="3">
        <f>0</f>
        <v/>
      </c>
      <c r="BS54" s="3">
        <f>0</f>
        <v/>
      </c>
      <c r="BT54" s="3">
        <f>0</f>
        <v/>
      </c>
      <c r="BU54" s="3">
        <f>0</f>
        <v/>
      </c>
      <c r="BV54" s="3">
        <f>0</f>
        <v/>
      </c>
    </row>
    <row r="55">
      <c r="A55" t="inlineStr">
        <is>
          <t>active</t>
        </is>
      </c>
      <c r="B55" t="inlineStr">
        <is>
          <t>EUROPE|BASIC_A</t>
        </is>
      </c>
      <c r="C55" s="3">
        <f>React!$C$54*Curves!$BV$17</f>
        <v/>
      </c>
      <c r="D55" s="3">
        <f>SUMPRODUCT(React!$C$54:$D$54,Curves!$BU$17:$BV$17)</f>
        <v/>
      </c>
      <c r="E55" s="3">
        <f>SUMPRODUCT(React!$C$54:$E$54,Curves!$BT$17:$BV$17)</f>
        <v/>
      </c>
      <c r="F55" s="3">
        <f>SUMPRODUCT(React!$C$54:$F$54,Curves!$BS$17:$BV$17)</f>
        <v/>
      </c>
      <c r="G55" s="3">
        <f>SUMPRODUCT(React!$C$54:$G$54,Curves!$BR$17:$BV$17)</f>
        <v/>
      </c>
      <c r="H55" s="3">
        <f>SUMPRODUCT(React!$C$54:$H$54,Curves!$BQ$17:$BV$17)</f>
        <v/>
      </c>
      <c r="I55" s="3">
        <f>SUMPRODUCT(React!$C$54:$I$54,Curves!$BP$17:$BV$17)</f>
        <v/>
      </c>
      <c r="J55" s="3">
        <f>SUMPRODUCT(React!$C$54:$J$54,Curves!$BO$17:$BV$17)</f>
        <v/>
      </c>
      <c r="K55" s="3">
        <f>SUMPRODUCT(React!$C$54:$K$54,Curves!$BN$17:$BV$17)</f>
        <v/>
      </c>
      <c r="L55" s="3">
        <f>SUMPRODUCT(React!$C$54:$L$54,Curves!$BM$17:$BV$17)</f>
        <v/>
      </c>
      <c r="M55" s="3">
        <f>SUMPRODUCT(React!$C$54:$M$54,Curves!$BL$17:$BV$17)</f>
        <v/>
      </c>
      <c r="N55" s="3">
        <f>SUMPRODUCT(React!$C$54:$N$54,Curves!$BK$17:$BV$17)</f>
        <v/>
      </c>
      <c r="O55" s="3">
        <f>SUMPRODUCT(React!$C$54:$O$54,Curves!$BJ$17:$BV$17)</f>
        <v/>
      </c>
      <c r="P55" s="3">
        <f>SUMPRODUCT(React!$C$54:$P$54,Curves!$BI$17:$BV$17)</f>
        <v/>
      </c>
      <c r="Q55" s="3">
        <f>SUMPRODUCT(React!$C$54:$Q$54,Curves!$BH$17:$BV$17)</f>
        <v/>
      </c>
      <c r="R55" s="3">
        <f>SUMPRODUCT(React!$C$54:$R$54,Curves!$BG$17:$BV$17)</f>
        <v/>
      </c>
      <c r="S55" s="3">
        <f>SUMPRODUCT(React!$C$54:$S$54,Curves!$BF$17:$BV$17)</f>
        <v/>
      </c>
      <c r="T55" s="3">
        <f>SUMPRODUCT(React!$C$54:$T$54,Curves!$BE$17:$BV$17)</f>
        <v/>
      </c>
      <c r="U55" s="3">
        <f>SUMPRODUCT(React!$C$54:$U$54,Curves!$BD$17:$BV$17)</f>
        <v/>
      </c>
      <c r="V55" s="3">
        <f>SUMPRODUCT(React!$C$54:$V$54,Curves!$BC$17:$BV$17)</f>
        <v/>
      </c>
      <c r="W55" s="3">
        <f>SUMPRODUCT(React!$C$54:$W$54,Curves!$BB$17:$BV$17)</f>
        <v/>
      </c>
      <c r="X55" s="3">
        <f>SUMPRODUCT(React!$C$54:$X$54,Curves!$BA$17:$BV$17)</f>
        <v/>
      </c>
      <c r="Y55" s="3">
        <f>SUMPRODUCT(React!$C$54:$Y$54,Curves!$AZ$17:$BV$17)</f>
        <v/>
      </c>
      <c r="Z55" s="3">
        <f>SUMPRODUCT(React!$C$54:$Z$54,Curves!$AY$17:$BV$17)</f>
        <v/>
      </c>
      <c r="AA55" s="3">
        <f>SUMPRODUCT(React!$C$54:$AA$54,Curves!$AX$17:$BV$17)</f>
        <v/>
      </c>
      <c r="AB55" s="3">
        <f>SUMPRODUCT(React!$C$54:$AB$54,Curves!$AW$17:$BV$17)</f>
        <v/>
      </c>
      <c r="AC55" s="3">
        <f>SUMPRODUCT(React!$C$54:$AC$54,Curves!$AV$17:$BV$17)</f>
        <v/>
      </c>
      <c r="AD55" s="3">
        <f>SUMPRODUCT(React!$C$54:$AD$54,Curves!$AU$17:$BV$17)</f>
        <v/>
      </c>
      <c r="AE55" s="3">
        <f>SUMPRODUCT(React!$C$54:$AE$54,Curves!$AT$17:$BV$17)</f>
        <v/>
      </c>
      <c r="AF55" s="3">
        <f>SUMPRODUCT(React!$C$54:$AF$54,Curves!$AS$17:$BV$17)</f>
        <v/>
      </c>
      <c r="AG55" s="3">
        <f>SUMPRODUCT(React!$C$54:$AG$54,Curves!$AR$17:$BV$17)</f>
        <v/>
      </c>
      <c r="AH55" s="3">
        <f>SUMPRODUCT(React!$C$54:$AH$54,Curves!$AQ$17:$BV$17)</f>
        <v/>
      </c>
      <c r="AI55" s="3">
        <f>SUMPRODUCT(React!$C$54:$AI$54,Curves!$AP$17:$BV$17)</f>
        <v/>
      </c>
      <c r="AJ55" s="3">
        <f>SUMPRODUCT(React!$C$54:$AJ$54,Curves!$AO$17:$BV$17)</f>
        <v/>
      </c>
      <c r="AK55" s="3">
        <f>SUMPRODUCT(React!$C$54:$AK$54,Curves!$AN$17:$BV$17)</f>
        <v/>
      </c>
      <c r="AL55" s="3">
        <f>SUMPRODUCT(React!$C$54:$AL$54,Curves!$AM$17:$BV$17)</f>
        <v/>
      </c>
      <c r="AM55" s="3">
        <f>SUMPRODUCT(React!$C$54:$AM$54,Curves!$AL$17:$BV$17)</f>
        <v/>
      </c>
      <c r="AN55" s="3">
        <f>SUMPRODUCT(React!$C$54:$AN$54,Curves!$AK$17:$BV$17)</f>
        <v/>
      </c>
      <c r="AO55" s="3">
        <f>SUMPRODUCT(React!$C$54:$AO$54,Curves!$AJ$17:$BV$17)</f>
        <v/>
      </c>
      <c r="AP55" s="3">
        <f>SUMPRODUCT(React!$C$54:$AP$54,Curves!$AI$17:$BV$17)</f>
        <v/>
      </c>
      <c r="AQ55" s="3">
        <f>SUMPRODUCT(React!$C$54:$AQ$54,Curves!$AH$17:$BV$17)</f>
        <v/>
      </c>
      <c r="AR55" s="3">
        <f>SUMPRODUCT(React!$C$54:$AR$54,Curves!$AG$17:$BV$17)</f>
        <v/>
      </c>
      <c r="AS55" s="3">
        <f>SUMPRODUCT(React!$C$54:$AS$54,Curves!$AF$17:$BV$17)</f>
        <v/>
      </c>
      <c r="AT55" s="3">
        <f>SUMPRODUCT(React!$C$54:$AT$54,Curves!$AE$17:$BV$17)</f>
        <v/>
      </c>
      <c r="AU55" s="3">
        <f>SUMPRODUCT(React!$C$54:$AU$54,Curves!$AD$17:$BV$17)</f>
        <v/>
      </c>
      <c r="AV55" s="3">
        <f>SUMPRODUCT(React!$C$54:$AV$54,Curves!$AC$17:$BV$17)</f>
        <v/>
      </c>
      <c r="AW55" s="3">
        <f>SUMPRODUCT(React!$C$54:$AW$54,Curves!$AB$17:$BV$17)</f>
        <v/>
      </c>
      <c r="AX55" s="3">
        <f>SUMPRODUCT(React!$C$54:$AX$54,Curves!$AA$17:$BV$17)</f>
        <v/>
      </c>
      <c r="AY55" s="3">
        <f>SUMPRODUCT(React!$C$54:$AY$54,Curves!$Z$17:$BV$17)</f>
        <v/>
      </c>
      <c r="AZ55" s="3">
        <f>SUMPRODUCT(React!$C$54:$AZ$54,Curves!$Y$17:$BV$17)</f>
        <v/>
      </c>
      <c r="BA55" s="3">
        <f>SUMPRODUCT(React!$C$54:$BA$54,Curves!$X$17:$BV$17)</f>
        <v/>
      </c>
      <c r="BB55" s="3">
        <f>SUMPRODUCT(React!$C$54:$BB$54,Curves!$W$17:$BV$17)</f>
        <v/>
      </c>
      <c r="BC55" s="3">
        <f>SUMPRODUCT(React!$C$54:$BC$54,Curves!$V$17:$BV$17)</f>
        <v/>
      </c>
      <c r="BD55" s="3">
        <f>SUMPRODUCT(React!$C$54:$BD$54,Curves!$U$17:$BV$17)</f>
        <v/>
      </c>
      <c r="BE55" s="3">
        <f>SUMPRODUCT(React!$C$54:$BE$54,Curves!$T$17:$BV$17)</f>
        <v/>
      </c>
      <c r="BF55" s="3">
        <f>SUMPRODUCT(React!$C$54:$BF$54,Curves!$S$17:$BV$17)</f>
        <v/>
      </c>
      <c r="BG55" s="3">
        <f>SUMPRODUCT(React!$C$54:$BG$54,Curves!$R$17:$BV$17)</f>
        <v/>
      </c>
      <c r="BH55" s="3">
        <f>SUMPRODUCT(React!$C$54:$BH$54,Curves!$Q$17:$BV$17)</f>
        <v/>
      </c>
      <c r="BI55" s="3">
        <f>SUMPRODUCT(React!$C$54:$BI$54,Curves!$P$17:$BV$17)</f>
        <v/>
      </c>
      <c r="BJ55" s="3">
        <f>SUMPRODUCT(React!$C$54:$BJ$54,Curves!$O$17:$BV$17)</f>
        <v/>
      </c>
      <c r="BK55" s="3">
        <f>SUMPRODUCT(React!$C$54:$BK$54,Curves!$N$17:$BV$17)</f>
        <v/>
      </c>
      <c r="BL55" s="3">
        <f>SUMPRODUCT(React!$C$54:$BL$54,Curves!$M$17:$BV$17)</f>
        <v/>
      </c>
      <c r="BM55" s="3">
        <f>SUMPRODUCT(React!$C$54:$BM$54,Curves!$L$17:$BV$17)</f>
        <v/>
      </c>
      <c r="BN55" s="3">
        <f>SUMPRODUCT(React!$C$54:$BN$54,Curves!$K$17:$BV$17)</f>
        <v/>
      </c>
      <c r="BO55" s="3">
        <f>SUMPRODUCT(React!$C$54:$BO$54,Curves!$J$17:$BV$17)</f>
        <v/>
      </c>
      <c r="BP55" s="3">
        <f>SUMPRODUCT(React!$C$54:$BP$54,Curves!$I$17:$BV$17)</f>
        <v/>
      </c>
      <c r="BQ55" s="3">
        <f>SUMPRODUCT(React!$C$54:$BQ$54,Curves!$H$17:$BV$17)</f>
        <v/>
      </c>
      <c r="BR55" s="3">
        <f>SUMPRODUCT(React!$C$54:$BR$54,Curves!$G$17:$BV$17)</f>
        <v/>
      </c>
      <c r="BS55" s="3">
        <f>SUMPRODUCT(React!$C$54:$BS$54,Curves!$F$17:$BV$17)</f>
        <v/>
      </c>
      <c r="BT55" s="3">
        <f>SUMPRODUCT(React!$C$54:$BT$54,Curves!$E$17:$BV$17)</f>
        <v/>
      </c>
      <c r="BU55" s="3">
        <f>SUMPRODUCT(React!$C$54:$BU$54,Curves!$D$17:$BV$17)</f>
        <v/>
      </c>
      <c r="BV55" s="3">
        <f>SUMPRODUCT(React!$C$54:$BV$54,Curves!$C$17:$BV$17)</f>
        <v/>
      </c>
    </row>
    <row r="56">
      <c r="A56" t="inlineStr">
        <is>
          <t>active yr 1</t>
        </is>
      </c>
      <c r="B56" t="inlineStr">
        <is>
          <t>EUROPE|BASIC_A</t>
        </is>
      </c>
      <c r="C56" s="3">
        <f>React!$C$54*Curves!$BV$22</f>
        <v/>
      </c>
      <c r="D56" s="3">
        <f>SUMPRODUCT(React!$C$54:$D$54,Curves!$BU$22:$BV$22)</f>
        <v/>
      </c>
      <c r="E56" s="3">
        <f>SUMPRODUCT(React!$C$54:$E$54,Curves!$BT$22:$BV$22)</f>
        <v/>
      </c>
      <c r="F56" s="3">
        <f>SUMPRODUCT(React!$C$54:$F$54,Curves!$BS$22:$BV$22)</f>
        <v/>
      </c>
      <c r="G56" s="3">
        <f>SUMPRODUCT(React!$C$54:$G$54,Curves!$BR$22:$BV$22)</f>
        <v/>
      </c>
      <c r="H56" s="3">
        <f>SUMPRODUCT(React!$C$54:$H$54,Curves!$BQ$22:$BV$22)</f>
        <v/>
      </c>
      <c r="I56" s="3">
        <f>SUMPRODUCT(React!$C$54:$I$54,Curves!$BP$22:$BV$22)</f>
        <v/>
      </c>
      <c r="J56" s="3">
        <f>SUMPRODUCT(React!$C$54:$J$54,Curves!$BO$22:$BV$22)</f>
        <v/>
      </c>
      <c r="K56" s="3">
        <f>SUMPRODUCT(React!$C$54:$K$54,Curves!$BN$22:$BV$22)</f>
        <v/>
      </c>
      <c r="L56" s="3">
        <f>SUMPRODUCT(React!$C$54:$L$54,Curves!$BM$22:$BV$22)</f>
        <v/>
      </c>
      <c r="M56" s="3">
        <f>SUMPRODUCT(React!$C$54:$M$54,Curves!$BL$22:$BV$22)</f>
        <v/>
      </c>
      <c r="N56" s="3">
        <f>SUMPRODUCT(React!$C$54:$N$54,Curves!$BK$22:$BV$22)</f>
        <v/>
      </c>
      <c r="O56" s="3">
        <f>SUMPRODUCT(React!$C$54:$O$54,Curves!$BJ$22:$BV$22)</f>
        <v/>
      </c>
      <c r="P56" s="3">
        <f>SUMPRODUCT(React!$C$54:$P$54,Curves!$BI$22:$BV$22)</f>
        <v/>
      </c>
      <c r="Q56" s="3">
        <f>SUMPRODUCT(React!$C$54:$Q$54,Curves!$BH$22:$BV$22)</f>
        <v/>
      </c>
      <c r="R56" s="3">
        <f>SUMPRODUCT(React!$C$54:$R$54,Curves!$BG$22:$BV$22)</f>
        <v/>
      </c>
      <c r="S56" s="3">
        <f>SUMPRODUCT(React!$C$54:$S$54,Curves!$BF$22:$BV$22)</f>
        <v/>
      </c>
      <c r="T56" s="3">
        <f>SUMPRODUCT(React!$C$54:$T$54,Curves!$BE$22:$BV$22)</f>
        <v/>
      </c>
      <c r="U56" s="3">
        <f>SUMPRODUCT(React!$C$54:$U$54,Curves!$BD$22:$BV$22)</f>
        <v/>
      </c>
      <c r="V56" s="3">
        <f>SUMPRODUCT(React!$C$54:$V$54,Curves!$BC$22:$BV$22)</f>
        <v/>
      </c>
      <c r="W56" s="3">
        <f>SUMPRODUCT(React!$C$54:$W$54,Curves!$BB$22:$BV$22)</f>
        <v/>
      </c>
      <c r="X56" s="3">
        <f>SUMPRODUCT(React!$C$54:$X$54,Curves!$BA$22:$BV$22)</f>
        <v/>
      </c>
      <c r="Y56" s="3">
        <f>SUMPRODUCT(React!$C$54:$Y$54,Curves!$AZ$22:$BV$22)</f>
        <v/>
      </c>
      <c r="Z56" s="3">
        <f>SUMPRODUCT(React!$C$54:$Z$54,Curves!$AY$22:$BV$22)</f>
        <v/>
      </c>
      <c r="AA56" s="3">
        <f>SUMPRODUCT(React!$C$54:$AA$54,Curves!$AX$22:$BV$22)</f>
        <v/>
      </c>
      <c r="AB56" s="3">
        <f>SUMPRODUCT(React!$C$54:$AB$54,Curves!$AW$22:$BV$22)</f>
        <v/>
      </c>
      <c r="AC56" s="3">
        <f>SUMPRODUCT(React!$C$54:$AC$54,Curves!$AV$22:$BV$22)</f>
        <v/>
      </c>
      <c r="AD56" s="3">
        <f>SUMPRODUCT(React!$C$54:$AD$54,Curves!$AU$22:$BV$22)</f>
        <v/>
      </c>
      <c r="AE56" s="3">
        <f>SUMPRODUCT(React!$C$54:$AE$54,Curves!$AT$22:$BV$22)</f>
        <v/>
      </c>
      <c r="AF56" s="3">
        <f>SUMPRODUCT(React!$C$54:$AF$54,Curves!$AS$22:$BV$22)</f>
        <v/>
      </c>
      <c r="AG56" s="3">
        <f>SUMPRODUCT(React!$C$54:$AG$54,Curves!$AR$22:$BV$22)</f>
        <v/>
      </c>
      <c r="AH56" s="3">
        <f>SUMPRODUCT(React!$C$54:$AH$54,Curves!$AQ$22:$BV$22)</f>
        <v/>
      </c>
      <c r="AI56" s="3">
        <f>SUMPRODUCT(React!$C$54:$AI$54,Curves!$AP$22:$BV$22)</f>
        <v/>
      </c>
      <c r="AJ56" s="3">
        <f>SUMPRODUCT(React!$C$54:$AJ$54,Curves!$AO$22:$BV$22)</f>
        <v/>
      </c>
      <c r="AK56" s="3">
        <f>SUMPRODUCT(React!$C$54:$AK$54,Curves!$AN$22:$BV$22)</f>
        <v/>
      </c>
      <c r="AL56" s="3">
        <f>SUMPRODUCT(React!$C$54:$AL$54,Curves!$AM$22:$BV$22)</f>
        <v/>
      </c>
      <c r="AM56" s="3">
        <f>SUMPRODUCT(React!$C$54:$AM$54,Curves!$AL$22:$BV$22)</f>
        <v/>
      </c>
      <c r="AN56" s="3">
        <f>SUMPRODUCT(React!$C$54:$AN$54,Curves!$AK$22:$BV$22)</f>
        <v/>
      </c>
      <c r="AO56" s="3">
        <f>SUMPRODUCT(React!$C$54:$AO$54,Curves!$AJ$22:$BV$22)</f>
        <v/>
      </c>
      <c r="AP56" s="3">
        <f>SUMPRODUCT(React!$C$54:$AP$54,Curves!$AI$22:$BV$22)</f>
        <v/>
      </c>
      <c r="AQ56" s="3">
        <f>SUMPRODUCT(React!$C$54:$AQ$54,Curves!$AH$22:$BV$22)</f>
        <v/>
      </c>
      <c r="AR56" s="3">
        <f>SUMPRODUCT(React!$C$54:$AR$54,Curves!$AG$22:$BV$22)</f>
        <v/>
      </c>
      <c r="AS56" s="3">
        <f>SUMPRODUCT(React!$C$54:$AS$54,Curves!$AF$22:$BV$22)</f>
        <v/>
      </c>
      <c r="AT56" s="3">
        <f>SUMPRODUCT(React!$C$54:$AT$54,Curves!$AE$22:$BV$22)</f>
        <v/>
      </c>
      <c r="AU56" s="3">
        <f>SUMPRODUCT(React!$C$54:$AU$54,Curves!$AD$22:$BV$22)</f>
        <v/>
      </c>
      <c r="AV56" s="3">
        <f>SUMPRODUCT(React!$C$54:$AV$54,Curves!$AC$22:$BV$22)</f>
        <v/>
      </c>
      <c r="AW56" s="3">
        <f>SUMPRODUCT(React!$C$54:$AW$54,Curves!$AB$22:$BV$22)</f>
        <v/>
      </c>
      <c r="AX56" s="3">
        <f>SUMPRODUCT(React!$C$54:$AX$54,Curves!$AA$22:$BV$22)</f>
        <v/>
      </c>
      <c r="AY56" s="3">
        <f>SUMPRODUCT(React!$C$54:$AY$54,Curves!$Z$22:$BV$22)</f>
        <v/>
      </c>
      <c r="AZ56" s="3">
        <f>SUMPRODUCT(React!$C$54:$AZ$54,Curves!$Y$22:$BV$22)</f>
        <v/>
      </c>
      <c r="BA56" s="3">
        <f>SUMPRODUCT(React!$C$54:$BA$54,Curves!$X$22:$BV$22)</f>
        <v/>
      </c>
      <c r="BB56" s="3">
        <f>SUMPRODUCT(React!$C$54:$BB$54,Curves!$W$22:$BV$22)</f>
        <v/>
      </c>
      <c r="BC56" s="3">
        <f>SUMPRODUCT(React!$C$54:$BC$54,Curves!$V$22:$BV$22)</f>
        <v/>
      </c>
      <c r="BD56" s="3">
        <f>SUMPRODUCT(React!$C$54:$BD$54,Curves!$U$22:$BV$22)</f>
        <v/>
      </c>
      <c r="BE56" s="3">
        <f>SUMPRODUCT(React!$C$54:$BE$54,Curves!$T$22:$BV$22)</f>
        <v/>
      </c>
      <c r="BF56" s="3">
        <f>SUMPRODUCT(React!$C$54:$BF$54,Curves!$S$22:$BV$22)</f>
        <v/>
      </c>
      <c r="BG56" s="3">
        <f>SUMPRODUCT(React!$C$54:$BG$54,Curves!$R$22:$BV$22)</f>
        <v/>
      </c>
      <c r="BH56" s="3">
        <f>SUMPRODUCT(React!$C$54:$BH$54,Curves!$Q$22:$BV$22)</f>
        <v/>
      </c>
      <c r="BI56" s="3">
        <f>SUMPRODUCT(React!$C$54:$BI$54,Curves!$P$22:$BV$22)</f>
        <v/>
      </c>
      <c r="BJ56" s="3">
        <f>SUMPRODUCT(React!$C$54:$BJ$54,Curves!$O$22:$BV$22)</f>
        <v/>
      </c>
      <c r="BK56" s="3">
        <f>SUMPRODUCT(React!$C$54:$BK$54,Curves!$N$22:$BV$22)</f>
        <v/>
      </c>
      <c r="BL56" s="3">
        <f>SUMPRODUCT(React!$C$54:$BL$54,Curves!$M$22:$BV$22)</f>
        <v/>
      </c>
      <c r="BM56" s="3">
        <f>SUMPRODUCT(React!$C$54:$BM$54,Curves!$L$22:$BV$22)</f>
        <v/>
      </c>
      <c r="BN56" s="3">
        <f>SUMPRODUCT(React!$C$54:$BN$54,Curves!$K$22:$BV$22)</f>
        <v/>
      </c>
      <c r="BO56" s="3">
        <f>SUMPRODUCT(React!$C$54:$BO$54,Curves!$J$22:$BV$22)</f>
        <v/>
      </c>
      <c r="BP56" s="3">
        <f>SUMPRODUCT(React!$C$54:$BP$54,Curves!$I$22:$BV$22)</f>
        <v/>
      </c>
      <c r="BQ56" s="3">
        <f>SUMPRODUCT(React!$C$54:$BQ$54,Curves!$H$22:$BV$22)</f>
        <v/>
      </c>
      <c r="BR56" s="3">
        <f>SUMPRODUCT(React!$C$54:$BR$54,Curves!$G$22:$BV$22)</f>
        <v/>
      </c>
      <c r="BS56" s="3">
        <f>SUMPRODUCT(React!$C$54:$BS$54,Curves!$F$22:$BV$22)</f>
        <v/>
      </c>
      <c r="BT56" s="3">
        <f>SUMPRODUCT(React!$C$54:$BT$54,Curves!$E$22:$BV$22)</f>
        <v/>
      </c>
      <c r="BU56" s="3">
        <f>SUMPRODUCT(React!$C$54:$BU$54,Curves!$D$22:$BV$22)</f>
        <v/>
      </c>
      <c r="BV56" s="3">
        <f>SUMPRODUCT(React!$C$54:$BV$54,Curves!$C$22:$BV$22)</f>
        <v/>
      </c>
    </row>
    <row r="57">
      <c r="A57" t="inlineStr">
        <is>
          <t>churned</t>
        </is>
      </c>
      <c r="B57" t="inlineStr">
        <is>
          <t>EUROPE|BASIC_A</t>
        </is>
      </c>
      <c r="C57" s="3">
        <f>React!$C$54*Curves!$BV$18</f>
        <v/>
      </c>
      <c r="D57" s="3">
        <f>SUMPRODUCT(React!$C$54:$D$54,Curves!$BU$18:$BV$18)</f>
        <v/>
      </c>
      <c r="E57" s="3">
        <f>SUMPRODUCT(React!$C$54:$E$54,Curves!$BT$18:$BV$18)</f>
        <v/>
      </c>
      <c r="F57" s="3">
        <f>SUMPRODUCT(React!$C$54:$F$54,Curves!$BS$18:$BV$18)</f>
        <v/>
      </c>
      <c r="G57" s="3">
        <f>SUMPRODUCT(React!$C$54:$G$54,Curves!$BR$18:$BV$18)</f>
        <v/>
      </c>
      <c r="H57" s="3">
        <f>SUMPRODUCT(React!$C$54:$H$54,Curves!$BQ$18:$BV$18)</f>
        <v/>
      </c>
      <c r="I57" s="3">
        <f>SUMPRODUCT(React!$C$54:$I$54,Curves!$BP$18:$BV$18)</f>
        <v/>
      </c>
      <c r="J57" s="3">
        <f>SUMPRODUCT(React!$C$54:$J$54,Curves!$BO$18:$BV$18)</f>
        <v/>
      </c>
      <c r="K57" s="3">
        <f>SUMPRODUCT(React!$C$54:$K$54,Curves!$BN$18:$BV$18)</f>
        <v/>
      </c>
      <c r="L57" s="3">
        <f>SUMPRODUCT(React!$C$54:$L$54,Curves!$BM$18:$BV$18)</f>
        <v/>
      </c>
      <c r="M57" s="3">
        <f>SUMPRODUCT(React!$C$54:$M$54,Curves!$BL$18:$BV$18)</f>
        <v/>
      </c>
      <c r="N57" s="3">
        <f>SUMPRODUCT(React!$C$54:$N$54,Curves!$BK$18:$BV$18)</f>
        <v/>
      </c>
      <c r="O57" s="3">
        <f>SUMPRODUCT(React!$C$54:$O$54,Curves!$BJ$18:$BV$18)</f>
        <v/>
      </c>
      <c r="P57" s="3">
        <f>SUMPRODUCT(React!$C$54:$P$54,Curves!$BI$18:$BV$18)</f>
        <v/>
      </c>
      <c r="Q57" s="3">
        <f>SUMPRODUCT(React!$C$54:$Q$54,Curves!$BH$18:$BV$18)</f>
        <v/>
      </c>
      <c r="R57" s="3">
        <f>SUMPRODUCT(React!$C$54:$R$54,Curves!$BG$18:$BV$18)</f>
        <v/>
      </c>
      <c r="S57" s="3">
        <f>SUMPRODUCT(React!$C$54:$S$54,Curves!$BF$18:$BV$18)</f>
        <v/>
      </c>
      <c r="T57" s="3">
        <f>SUMPRODUCT(React!$C$54:$T$54,Curves!$BE$18:$BV$18)</f>
        <v/>
      </c>
      <c r="U57" s="3">
        <f>SUMPRODUCT(React!$C$54:$U$54,Curves!$BD$18:$BV$18)</f>
        <v/>
      </c>
      <c r="V57" s="3">
        <f>SUMPRODUCT(React!$C$54:$V$54,Curves!$BC$18:$BV$18)</f>
        <v/>
      </c>
      <c r="W57" s="3">
        <f>SUMPRODUCT(React!$C$54:$W$54,Curves!$BB$18:$BV$18)</f>
        <v/>
      </c>
      <c r="X57" s="3">
        <f>SUMPRODUCT(React!$C$54:$X$54,Curves!$BA$18:$BV$18)</f>
        <v/>
      </c>
      <c r="Y57" s="3">
        <f>SUMPRODUCT(React!$C$54:$Y$54,Curves!$AZ$18:$BV$18)</f>
        <v/>
      </c>
      <c r="Z57" s="3">
        <f>SUMPRODUCT(React!$C$54:$Z$54,Curves!$AY$18:$BV$18)</f>
        <v/>
      </c>
      <c r="AA57" s="3">
        <f>SUMPRODUCT(React!$C$54:$AA$54,Curves!$AX$18:$BV$18)</f>
        <v/>
      </c>
      <c r="AB57" s="3">
        <f>SUMPRODUCT(React!$C$54:$AB$54,Curves!$AW$18:$BV$18)</f>
        <v/>
      </c>
      <c r="AC57" s="3">
        <f>SUMPRODUCT(React!$C$54:$AC$54,Curves!$AV$18:$BV$18)</f>
        <v/>
      </c>
      <c r="AD57" s="3">
        <f>SUMPRODUCT(React!$C$54:$AD$54,Curves!$AU$18:$BV$18)</f>
        <v/>
      </c>
      <c r="AE57" s="3">
        <f>SUMPRODUCT(React!$C$54:$AE$54,Curves!$AT$18:$BV$18)</f>
        <v/>
      </c>
      <c r="AF57" s="3">
        <f>SUMPRODUCT(React!$C$54:$AF$54,Curves!$AS$18:$BV$18)</f>
        <v/>
      </c>
      <c r="AG57" s="3">
        <f>SUMPRODUCT(React!$C$54:$AG$54,Curves!$AR$18:$BV$18)</f>
        <v/>
      </c>
      <c r="AH57" s="3">
        <f>SUMPRODUCT(React!$C$54:$AH$54,Curves!$AQ$18:$BV$18)</f>
        <v/>
      </c>
      <c r="AI57" s="3">
        <f>SUMPRODUCT(React!$C$54:$AI$54,Curves!$AP$18:$BV$18)</f>
        <v/>
      </c>
      <c r="AJ57" s="3">
        <f>SUMPRODUCT(React!$C$54:$AJ$54,Curves!$AO$18:$BV$18)</f>
        <v/>
      </c>
      <c r="AK57" s="3">
        <f>SUMPRODUCT(React!$C$54:$AK$54,Curves!$AN$18:$BV$18)</f>
        <v/>
      </c>
      <c r="AL57" s="3">
        <f>SUMPRODUCT(React!$C$54:$AL$54,Curves!$AM$18:$BV$18)</f>
        <v/>
      </c>
      <c r="AM57" s="3">
        <f>SUMPRODUCT(React!$C$54:$AM$54,Curves!$AL$18:$BV$18)</f>
        <v/>
      </c>
      <c r="AN57" s="3">
        <f>SUMPRODUCT(React!$C$54:$AN$54,Curves!$AK$18:$BV$18)</f>
        <v/>
      </c>
      <c r="AO57" s="3">
        <f>SUMPRODUCT(React!$C$54:$AO$54,Curves!$AJ$18:$BV$18)</f>
        <v/>
      </c>
      <c r="AP57" s="3">
        <f>SUMPRODUCT(React!$C$54:$AP$54,Curves!$AI$18:$BV$18)</f>
        <v/>
      </c>
      <c r="AQ57" s="3">
        <f>SUMPRODUCT(React!$C$54:$AQ$54,Curves!$AH$18:$BV$18)</f>
        <v/>
      </c>
      <c r="AR57" s="3">
        <f>SUMPRODUCT(React!$C$54:$AR$54,Curves!$AG$18:$BV$18)</f>
        <v/>
      </c>
      <c r="AS57" s="3">
        <f>SUMPRODUCT(React!$C$54:$AS$54,Curves!$AF$18:$BV$18)</f>
        <v/>
      </c>
      <c r="AT57" s="3">
        <f>SUMPRODUCT(React!$C$54:$AT$54,Curves!$AE$18:$BV$18)</f>
        <v/>
      </c>
      <c r="AU57" s="3">
        <f>SUMPRODUCT(React!$C$54:$AU$54,Curves!$AD$18:$BV$18)</f>
        <v/>
      </c>
      <c r="AV57" s="3">
        <f>SUMPRODUCT(React!$C$54:$AV$54,Curves!$AC$18:$BV$18)</f>
        <v/>
      </c>
      <c r="AW57" s="3">
        <f>SUMPRODUCT(React!$C$54:$AW$54,Curves!$AB$18:$BV$18)</f>
        <v/>
      </c>
      <c r="AX57" s="3">
        <f>SUMPRODUCT(React!$C$54:$AX$54,Curves!$AA$18:$BV$18)</f>
        <v/>
      </c>
      <c r="AY57" s="3">
        <f>SUMPRODUCT(React!$C$54:$AY$54,Curves!$Z$18:$BV$18)</f>
        <v/>
      </c>
      <c r="AZ57" s="3">
        <f>SUMPRODUCT(React!$C$54:$AZ$54,Curves!$Y$18:$BV$18)</f>
        <v/>
      </c>
      <c r="BA57" s="3">
        <f>SUMPRODUCT(React!$C$54:$BA$54,Curves!$X$18:$BV$18)</f>
        <v/>
      </c>
      <c r="BB57" s="3">
        <f>SUMPRODUCT(React!$C$54:$BB$54,Curves!$W$18:$BV$18)</f>
        <v/>
      </c>
      <c r="BC57" s="3">
        <f>SUMPRODUCT(React!$C$54:$BC$54,Curves!$V$18:$BV$18)</f>
        <v/>
      </c>
      <c r="BD57" s="3">
        <f>SUMPRODUCT(React!$C$54:$BD$54,Curves!$U$18:$BV$18)</f>
        <v/>
      </c>
      <c r="BE57" s="3">
        <f>SUMPRODUCT(React!$C$54:$BE$54,Curves!$T$18:$BV$18)</f>
        <v/>
      </c>
      <c r="BF57" s="3">
        <f>SUMPRODUCT(React!$C$54:$BF$54,Curves!$S$18:$BV$18)</f>
        <v/>
      </c>
      <c r="BG57" s="3">
        <f>SUMPRODUCT(React!$C$54:$BG$54,Curves!$R$18:$BV$18)</f>
        <v/>
      </c>
      <c r="BH57" s="3">
        <f>SUMPRODUCT(React!$C$54:$BH$54,Curves!$Q$18:$BV$18)</f>
        <v/>
      </c>
      <c r="BI57" s="3">
        <f>SUMPRODUCT(React!$C$54:$BI$54,Curves!$P$18:$BV$18)</f>
        <v/>
      </c>
      <c r="BJ57" s="3">
        <f>SUMPRODUCT(React!$C$54:$BJ$54,Curves!$O$18:$BV$18)</f>
        <v/>
      </c>
      <c r="BK57" s="3">
        <f>SUMPRODUCT(React!$C$54:$BK$54,Curves!$N$18:$BV$18)</f>
        <v/>
      </c>
      <c r="BL57" s="3">
        <f>SUMPRODUCT(React!$C$54:$BL$54,Curves!$M$18:$BV$18)</f>
        <v/>
      </c>
      <c r="BM57" s="3">
        <f>SUMPRODUCT(React!$C$54:$BM$54,Curves!$L$18:$BV$18)</f>
        <v/>
      </c>
      <c r="BN57" s="3">
        <f>SUMPRODUCT(React!$C$54:$BN$54,Curves!$K$18:$BV$18)</f>
        <v/>
      </c>
      <c r="BO57" s="3">
        <f>SUMPRODUCT(React!$C$54:$BO$54,Curves!$J$18:$BV$18)</f>
        <v/>
      </c>
      <c r="BP57" s="3">
        <f>SUMPRODUCT(React!$C$54:$BP$54,Curves!$I$18:$BV$18)</f>
        <v/>
      </c>
      <c r="BQ57" s="3">
        <f>SUMPRODUCT(React!$C$54:$BQ$54,Curves!$H$18:$BV$18)</f>
        <v/>
      </c>
      <c r="BR57" s="3">
        <f>SUMPRODUCT(React!$C$54:$BR$54,Curves!$G$18:$BV$18)</f>
        <v/>
      </c>
      <c r="BS57" s="3">
        <f>SUMPRODUCT(React!$C$54:$BS$54,Curves!$F$18:$BV$18)</f>
        <v/>
      </c>
      <c r="BT57" s="3">
        <f>SUMPRODUCT(React!$C$54:$BT$54,Curves!$E$18:$BV$18)</f>
        <v/>
      </c>
      <c r="BU57" s="3">
        <f>SUMPRODUCT(React!$C$54:$BU$54,Curves!$D$18:$BV$18)</f>
        <v/>
      </c>
      <c r="BV57" s="3">
        <f>SUMPRODUCT(React!$C$54:$BV$54,Curves!$C$18:$BV$18)</f>
        <v/>
      </c>
    </row>
    <row r="59">
      <c r="A59" t="inlineStr">
        <is>
          <t>churn pool inflow</t>
        </is>
      </c>
      <c r="B59" t="inlineStr">
        <is>
          <t>LATAM|NITRO_M</t>
        </is>
      </c>
      <c r="C59" s="3">
        <f>Paid!C37+Legacy!C39</f>
        <v/>
      </c>
      <c r="D59" s="3">
        <f>Paid!D37+Legacy!D39</f>
        <v/>
      </c>
      <c r="E59" s="3">
        <f>Paid!E37+Legacy!E39</f>
        <v/>
      </c>
      <c r="F59" s="3">
        <f>Paid!F37+Legacy!F39</f>
        <v/>
      </c>
      <c r="G59" s="3">
        <f>Paid!G37+Legacy!G39</f>
        <v/>
      </c>
      <c r="H59" s="3">
        <f>Paid!H37+Legacy!H39</f>
        <v/>
      </c>
      <c r="I59" s="3">
        <f>Paid!I37+Legacy!I39</f>
        <v/>
      </c>
      <c r="J59" s="3">
        <f>Paid!J37+Legacy!J39</f>
        <v/>
      </c>
      <c r="K59" s="3">
        <f>Paid!K37+Legacy!K39</f>
        <v/>
      </c>
      <c r="L59" s="3">
        <f>Paid!L37+Legacy!L39</f>
        <v/>
      </c>
      <c r="M59" s="3">
        <f>Paid!M37+Legacy!M39</f>
        <v/>
      </c>
      <c r="N59" s="3">
        <f>Paid!N37+Legacy!N39</f>
        <v/>
      </c>
      <c r="O59" s="3">
        <f>Paid!O37+Legacy!O39</f>
        <v/>
      </c>
      <c r="P59" s="3">
        <f>Paid!P37+Legacy!P39</f>
        <v/>
      </c>
      <c r="Q59" s="3">
        <f>Paid!Q37+Legacy!Q39</f>
        <v/>
      </c>
      <c r="R59" s="3">
        <f>Paid!R37+Legacy!R39</f>
        <v/>
      </c>
      <c r="S59" s="3">
        <f>Paid!S37+Legacy!S39</f>
        <v/>
      </c>
      <c r="T59" s="3">
        <f>Paid!T37+Legacy!T39</f>
        <v/>
      </c>
      <c r="U59" s="3">
        <f>Paid!U37+Legacy!U39</f>
        <v/>
      </c>
      <c r="V59" s="3">
        <f>Paid!V37+Legacy!V39</f>
        <v/>
      </c>
      <c r="W59" s="3">
        <f>Paid!W37+Legacy!W39</f>
        <v/>
      </c>
      <c r="X59" s="3">
        <f>Paid!X37+Legacy!X39</f>
        <v/>
      </c>
      <c r="Y59" s="3">
        <f>Paid!Y37+Legacy!Y39</f>
        <v/>
      </c>
      <c r="Z59" s="3">
        <f>Paid!Z37+Legacy!Z39</f>
        <v/>
      </c>
      <c r="AA59" s="3">
        <f>Paid!AA37+Legacy!AA39</f>
        <v/>
      </c>
      <c r="AB59" s="3">
        <f>Paid!AB37+Legacy!AB39</f>
        <v/>
      </c>
      <c r="AC59" s="3">
        <f>Paid!AC37+Legacy!AC39</f>
        <v/>
      </c>
      <c r="AD59" s="3">
        <f>Paid!AD37+Legacy!AD39</f>
        <v/>
      </c>
      <c r="AE59" s="3">
        <f>Paid!AE37+Legacy!AE39</f>
        <v/>
      </c>
      <c r="AF59" s="3">
        <f>Paid!AF37+Legacy!AF39</f>
        <v/>
      </c>
      <c r="AG59" s="3">
        <f>Paid!AG37+Legacy!AG39</f>
        <v/>
      </c>
      <c r="AH59" s="3">
        <f>Paid!AH37+Legacy!AH39</f>
        <v/>
      </c>
      <c r="AI59" s="3">
        <f>Paid!AI37+Legacy!AI39</f>
        <v/>
      </c>
      <c r="AJ59" s="3">
        <f>Paid!AJ37+Legacy!AJ39</f>
        <v/>
      </c>
      <c r="AK59" s="3">
        <f>Paid!AK37+Legacy!AK39</f>
        <v/>
      </c>
      <c r="AL59" s="3">
        <f>Paid!AL37+Legacy!AL39</f>
        <v/>
      </c>
      <c r="AM59" s="3">
        <f>Paid!AM37+Legacy!AM39</f>
        <v/>
      </c>
      <c r="AN59" s="3">
        <f>Paid!AN37+Legacy!AN39</f>
        <v/>
      </c>
      <c r="AO59" s="3">
        <f>Paid!AO37+Legacy!AO39</f>
        <v/>
      </c>
      <c r="AP59" s="3">
        <f>Paid!AP37+Legacy!AP39</f>
        <v/>
      </c>
      <c r="AQ59" s="3">
        <f>Paid!AQ37+Legacy!AQ39</f>
        <v/>
      </c>
      <c r="AR59" s="3">
        <f>Paid!AR37+Legacy!AR39</f>
        <v/>
      </c>
      <c r="AS59" s="3">
        <f>Paid!AS37+Legacy!AS39</f>
        <v/>
      </c>
      <c r="AT59" s="3">
        <f>Paid!AT37+Legacy!AT39</f>
        <v/>
      </c>
      <c r="AU59" s="3">
        <f>Paid!AU37+Legacy!AU39</f>
        <v/>
      </c>
      <c r="AV59" s="3">
        <f>Paid!AV37+Legacy!AV39</f>
        <v/>
      </c>
      <c r="AW59" s="3">
        <f>Paid!AW37+Legacy!AW39</f>
        <v/>
      </c>
      <c r="AX59" s="3">
        <f>Paid!AX37+Legacy!AX39</f>
        <v/>
      </c>
      <c r="AY59" s="3">
        <f>Paid!AY37+Legacy!AY39</f>
        <v/>
      </c>
      <c r="AZ59" s="3">
        <f>Paid!AZ37+Legacy!AZ39</f>
        <v/>
      </c>
      <c r="BA59" s="3">
        <f>Paid!BA37+Legacy!BA39</f>
        <v/>
      </c>
      <c r="BB59" s="3">
        <f>Paid!BB37+Legacy!BB39</f>
        <v/>
      </c>
      <c r="BC59" s="3">
        <f>Paid!BC37+Legacy!BC39</f>
        <v/>
      </c>
      <c r="BD59" s="3">
        <f>Paid!BD37+Legacy!BD39</f>
        <v/>
      </c>
      <c r="BE59" s="3">
        <f>Paid!BE37+Legacy!BE39</f>
        <v/>
      </c>
      <c r="BF59" s="3">
        <f>Paid!BF37+Legacy!BF39</f>
        <v/>
      </c>
      <c r="BG59" s="3">
        <f>Paid!BG37+Legacy!BG39</f>
        <v/>
      </c>
      <c r="BH59" s="3">
        <f>Paid!BH37+Legacy!BH39</f>
        <v/>
      </c>
      <c r="BI59" s="3">
        <f>Paid!BI37+Legacy!BI39</f>
        <v/>
      </c>
      <c r="BJ59" s="3">
        <f>Paid!BJ37+Legacy!BJ39</f>
        <v/>
      </c>
      <c r="BK59" s="3">
        <f>Paid!BK37+Legacy!BK39</f>
        <v/>
      </c>
      <c r="BL59" s="3">
        <f>Paid!BL37+Legacy!BL39</f>
        <v/>
      </c>
      <c r="BM59" s="3">
        <f>Paid!BM37+Legacy!BM39</f>
        <v/>
      </c>
      <c r="BN59" s="3">
        <f>Paid!BN37+Legacy!BN39</f>
        <v/>
      </c>
      <c r="BO59" s="3">
        <f>Paid!BO37+Legacy!BO39</f>
        <v/>
      </c>
      <c r="BP59" s="3">
        <f>Paid!BP37+Legacy!BP39</f>
        <v/>
      </c>
      <c r="BQ59" s="3">
        <f>Paid!BQ37+Legacy!BQ39</f>
        <v/>
      </c>
      <c r="BR59" s="3">
        <f>Paid!BR37+Legacy!BR39</f>
        <v/>
      </c>
      <c r="BS59" s="3">
        <f>Paid!BS37+Legacy!BS39</f>
        <v/>
      </c>
      <c r="BT59" s="3">
        <f>Paid!BT37+Legacy!BT39</f>
        <v/>
      </c>
      <c r="BU59" s="3">
        <f>Paid!BU37+Legacy!BU39</f>
        <v/>
      </c>
      <c r="BV59" s="3">
        <f>Paid!BV37+Legacy!BV39</f>
        <v/>
      </c>
    </row>
    <row r="60">
      <c r="A60" t="inlineStr">
        <is>
          <t>reactivations out</t>
        </is>
      </c>
      <c r="B60" t="inlineStr">
        <is>
          <t>LATAM|NITRO_M</t>
        </is>
      </c>
      <c r="C60" s="3">
        <f>React!$C$59*Curves!$BV$19</f>
        <v/>
      </c>
      <c r="D60" s="3">
        <f>SUMPRODUCT(React!$C$59:$D$59,Curves!$BU$19:$BV$19)</f>
        <v/>
      </c>
      <c r="E60" s="3">
        <f>SUMPRODUCT(React!$C$59:$E$59,Curves!$BT$19:$BV$19)</f>
        <v/>
      </c>
      <c r="F60" s="3">
        <f>SUMPRODUCT(React!$C$59:$F$59,Curves!$BS$19:$BV$19)</f>
        <v/>
      </c>
      <c r="G60" s="3">
        <f>SUMPRODUCT(React!$C$59:$G$59,Curves!$BR$19:$BV$19)</f>
        <v/>
      </c>
      <c r="H60" s="3">
        <f>SUMPRODUCT(React!$C$59:$H$59,Curves!$BQ$19:$BV$19)</f>
        <v/>
      </c>
      <c r="I60" s="3">
        <f>SUMPRODUCT(React!$C$59:$I$59,Curves!$BP$19:$BV$19)</f>
        <v/>
      </c>
      <c r="J60" s="3">
        <f>SUMPRODUCT(React!$C$59:$J$59,Curves!$BO$19:$BV$19)</f>
        <v/>
      </c>
      <c r="K60" s="3">
        <f>SUMPRODUCT(React!$C$59:$K$59,Curves!$BN$19:$BV$19)</f>
        <v/>
      </c>
      <c r="L60" s="3">
        <f>SUMPRODUCT(React!$C$59:$L$59,Curves!$BM$19:$BV$19)</f>
        <v/>
      </c>
      <c r="M60" s="3">
        <f>SUMPRODUCT(React!$C$59:$M$59,Curves!$BL$19:$BV$19)</f>
        <v/>
      </c>
      <c r="N60" s="3">
        <f>SUMPRODUCT(React!$C$59:$N$59,Curves!$BK$19:$BV$19)</f>
        <v/>
      </c>
      <c r="O60" s="3">
        <f>SUMPRODUCT(React!$C$59:$O$59,Curves!$BJ$19:$BV$19)</f>
        <v/>
      </c>
      <c r="P60" s="3">
        <f>SUMPRODUCT(React!$C$59:$P$59,Curves!$BI$19:$BV$19)</f>
        <v/>
      </c>
      <c r="Q60" s="3">
        <f>SUMPRODUCT(React!$C$59:$Q$59,Curves!$BH$19:$BV$19)</f>
        <v/>
      </c>
      <c r="R60" s="3">
        <f>SUMPRODUCT(React!$C$59:$R$59,Curves!$BG$19:$BV$19)</f>
        <v/>
      </c>
      <c r="S60" s="3">
        <f>SUMPRODUCT(React!$C$59:$S$59,Curves!$BF$19:$BV$19)</f>
        <v/>
      </c>
      <c r="T60" s="3">
        <f>SUMPRODUCT(React!$C$59:$T$59,Curves!$BE$19:$BV$19)</f>
        <v/>
      </c>
      <c r="U60" s="3">
        <f>SUMPRODUCT(React!$C$59:$U$59,Curves!$BD$19:$BV$19)</f>
        <v/>
      </c>
      <c r="V60" s="3">
        <f>SUMPRODUCT(React!$C$59:$V$59,Curves!$BC$19:$BV$19)</f>
        <v/>
      </c>
      <c r="W60" s="3">
        <f>SUMPRODUCT(React!$C$59:$W$59,Curves!$BB$19:$BV$19)</f>
        <v/>
      </c>
      <c r="X60" s="3">
        <f>SUMPRODUCT(React!$C$59:$X$59,Curves!$BA$19:$BV$19)</f>
        <v/>
      </c>
      <c r="Y60" s="3">
        <f>SUMPRODUCT(React!$C$59:$Y$59,Curves!$AZ$19:$BV$19)</f>
        <v/>
      </c>
      <c r="Z60" s="3">
        <f>SUMPRODUCT(React!$C$59:$Z$59,Curves!$AY$19:$BV$19)</f>
        <v/>
      </c>
      <c r="AA60" s="3">
        <f>SUMPRODUCT(React!$C$59:$AA$59,Curves!$AX$19:$BV$19)</f>
        <v/>
      </c>
      <c r="AB60" s="3">
        <f>SUMPRODUCT(React!$C$59:$AB$59,Curves!$AW$19:$BV$19)</f>
        <v/>
      </c>
      <c r="AC60" s="3">
        <f>SUMPRODUCT(React!$C$59:$AC$59,Curves!$AV$19:$BV$19)</f>
        <v/>
      </c>
      <c r="AD60" s="3">
        <f>SUMPRODUCT(React!$C$59:$AD$59,Curves!$AU$19:$BV$19)</f>
        <v/>
      </c>
      <c r="AE60" s="3">
        <f>SUMPRODUCT(React!$C$59:$AE$59,Curves!$AT$19:$BV$19)</f>
        <v/>
      </c>
      <c r="AF60" s="3">
        <f>SUMPRODUCT(React!$C$59:$AF$59,Curves!$AS$19:$BV$19)</f>
        <v/>
      </c>
      <c r="AG60" s="3">
        <f>SUMPRODUCT(React!$C$59:$AG$59,Curves!$AR$19:$BV$19)</f>
        <v/>
      </c>
      <c r="AH60" s="3">
        <f>SUMPRODUCT(React!$C$59:$AH$59,Curves!$AQ$19:$BV$19)</f>
        <v/>
      </c>
      <c r="AI60" s="3">
        <f>SUMPRODUCT(React!$C$59:$AI$59,Curves!$AP$19:$BV$19)</f>
        <v/>
      </c>
      <c r="AJ60" s="3">
        <f>SUMPRODUCT(React!$C$59:$AJ$59,Curves!$AO$19:$BV$19)</f>
        <v/>
      </c>
      <c r="AK60" s="3">
        <f>SUMPRODUCT(React!$C$59:$AK$59,Curves!$AN$19:$BV$19)</f>
        <v/>
      </c>
      <c r="AL60" s="3">
        <f>SUMPRODUCT(React!$C$59:$AL$59,Curves!$AM$19:$BV$19)</f>
        <v/>
      </c>
      <c r="AM60" s="3">
        <f>SUMPRODUCT(React!$C$59:$AM$59,Curves!$AL$19:$BV$19)</f>
        <v/>
      </c>
      <c r="AN60" s="3">
        <f>SUMPRODUCT(React!$C$59:$AN$59,Curves!$AK$19:$BV$19)</f>
        <v/>
      </c>
      <c r="AO60" s="3">
        <f>SUMPRODUCT(React!$C$59:$AO$59,Curves!$AJ$19:$BV$19)</f>
        <v/>
      </c>
      <c r="AP60" s="3">
        <f>SUMPRODUCT(React!$C$59:$AP$59,Curves!$AI$19:$BV$19)</f>
        <v/>
      </c>
      <c r="AQ60" s="3">
        <f>SUMPRODUCT(React!$C$59:$AQ$59,Curves!$AH$19:$BV$19)</f>
        <v/>
      </c>
      <c r="AR60" s="3">
        <f>SUMPRODUCT(React!$C$59:$AR$59,Curves!$AG$19:$BV$19)</f>
        <v/>
      </c>
      <c r="AS60" s="3">
        <f>SUMPRODUCT(React!$C$59:$AS$59,Curves!$AF$19:$BV$19)</f>
        <v/>
      </c>
      <c r="AT60" s="3">
        <f>SUMPRODUCT(React!$C$59:$AT$59,Curves!$AE$19:$BV$19)</f>
        <v/>
      </c>
      <c r="AU60" s="3">
        <f>SUMPRODUCT(React!$C$59:$AU$59,Curves!$AD$19:$BV$19)</f>
        <v/>
      </c>
      <c r="AV60" s="3">
        <f>SUMPRODUCT(React!$C$59:$AV$59,Curves!$AC$19:$BV$19)</f>
        <v/>
      </c>
      <c r="AW60" s="3">
        <f>SUMPRODUCT(React!$C$59:$AW$59,Curves!$AB$19:$BV$19)</f>
        <v/>
      </c>
      <c r="AX60" s="3">
        <f>SUMPRODUCT(React!$C$59:$AX$59,Curves!$AA$19:$BV$19)</f>
        <v/>
      </c>
      <c r="AY60" s="3">
        <f>SUMPRODUCT(React!$C$59:$AY$59,Curves!$Z$19:$BV$19)</f>
        <v/>
      </c>
      <c r="AZ60" s="3">
        <f>SUMPRODUCT(React!$C$59:$AZ$59,Curves!$Y$19:$BV$19)</f>
        <v/>
      </c>
      <c r="BA60" s="3">
        <f>SUMPRODUCT(React!$C$59:$BA$59,Curves!$X$19:$BV$19)</f>
        <v/>
      </c>
      <c r="BB60" s="3">
        <f>SUMPRODUCT(React!$C$59:$BB$59,Curves!$W$19:$BV$19)</f>
        <v/>
      </c>
      <c r="BC60" s="3">
        <f>SUMPRODUCT(React!$C$59:$BC$59,Curves!$V$19:$BV$19)</f>
        <v/>
      </c>
      <c r="BD60" s="3">
        <f>SUMPRODUCT(React!$C$59:$BD$59,Curves!$U$19:$BV$19)</f>
        <v/>
      </c>
      <c r="BE60" s="3">
        <f>SUMPRODUCT(React!$C$59:$BE$59,Curves!$T$19:$BV$19)</f>
        <v/>
      </c>
      <c r="BF60" s="3">
        <f>SUMPRODUCT(React!$C$59:$BF$59,Curves!$S$19:$BV$19)</f>
        <v/>
      </c>
      <c r="BG60" s="3">
        <f>SUMPRODUCT(React!$C$59:$BG$59,Curves!$R$19:$BV$19)</f>
        <v/>
      </c>
      <c r="BH60" s="3">
        <f>SUMPRODUCT(React!$C$59:$BH$59,Curves!$Q$19:$BV$19)</f>
        <v/>
      </c>
      <c r="BI60" s="3">
        <f>SUMPRODUCT(React!$C$59:$BI$59,Curves!$P$19:$BV$19)</f>
        <v/>
      </c>
      <c r="BJ60" s="3">
        <f>SUMPRODUCT(React!$C$59:$BJ$59,Curves!$O$19:$BV$19)</f>
        <v/>
      </c>
      <c r="BK60" s="3">
        <f>SUMPRODUCT(React!$C$59:$BK$59,Curves!$N$19:$BV$19)</f>
        <v/>
      </c>
      <c r="BL60" s="3">
        <f>SUMPRODUCT(React!$C$59:$BL$59,Curves!$M$19:$BV$19)</f>
        <v/>
      </c>
      <c r="BM60" s="3">
        <f>SUMPRODUCT(React!$C$59:$BM$59,Curves!$L$19:$BV$19)</f>
        <v/>
      </c>
      <c r="BN60" s="3">
        <f>SUMPRODUCT(React!$C$59:$BN$59,Curves!$K$19:$BV$19)</f>
        <v/>
      </c>
      <c r="BO60" s="3">
        <f>SUMPRODUCT(React!$C$59:$BO$59,Curves!$J$19:$BV$19)</f>
        <v/>
      </c>
      <c r="BP60" s="3">
        <f>SUMPRODUCT(React!$C$59:$BP$59,Curves!$I$19:$BV$19)</f>
        <v/>
      </c>
      <c r="BQ60" s="3">
        <f>SUMPRODUCT(React!$C$59:$BQ$59,Curves!$H$19:$BV$19)</f>
        <v/>
      </c>
      <c r="BR60" s="3">
        <f>SUMPRODUCT(React!$C$59:$BR$59,Curves!$G$19:$BV$19)</f>
        <v/>
      </c>
      <c r="BS60" s="3">
        <f>SUMPRODUCT(React!$C$59:$BS$59,Curves!$F$19:$BV$19)</f>
        <v/>
      </c>
      <c r="BT60" s="3">
        <f>SUMPRODUCT(React!$C$59:$BT$59,Curves!$E$19:$BV$19)</f>
        <v/>
      </c>
      <c r="BU60" s="3">
        <f>SUMPRODUCT(React!$C$59:$BU$59,Curves!$D$19:$BV$19)</f>
        <v/>
      </c>
      <c r="BV60" s="3">
        <f>SUMPRODUCT(React!$C$59:$BV$59,Curves!$C$19:$BV$19)</f>
        <v/>
      </c>
    </row>
    <row r="61">
      <c r="A61" t="inlineStr">
        <is>
          <t>reactivated in</t>
        </is>
      </c>
      <c r="B61" t="inlineStr">
        <is>
          <t>LATAM|NITRO_M</t>
        </is>
      </c>
      <c r="C61" s="3">
        <f>C60+C67</f>
        <v/>
      </c>
      <c r="D61" s="3">
        <f>D60+D67</f>
        <v/>
      </c>
      <c r="E61" s="3">
        <f>E60+E67</f>
        <v/>
      </c>
      <c r="F61" s="3">
        <f>F60+F67</f>
        <v/>
      </c>
      <c r="G61" s="3">
        <f>G60+G67</f>
        <v/>
      </c>
      <c r="H61" s="3">
        <f>H60+H67</f>
        <v/>
      </c>
      <c r="I61" s="3">
        <f>I60+I67</f>
        <v/>
      </c>
      <c r="J61" s="3">
        <f>J60+J67</f>
        <v/>
      </c>
      <c r="K61" s="3">
        <f>K60+K67</f>
        <v/>
      </c>
      <c r="L61" s="3">
        <f>L60+L67</f>
        <v/>
      </c>
      <c r="M61" s="3">
        <f>M60+M67</f>
        <v/>
      </c>
      <c r="N61" s="3">
        <f>N60+N67</f>
        <v/>
      </c>
      <c r="O61" s="3">
        <f>O60+O67</f>
        <v/>
      </c>
      <c r="P61" s="3">
        <f>P60+P67</f>
        <v/>
      </c>
      <c r="Q61" s="3">
        <f>Q60+Q67</f>
        <v/>
      </c>
      <c r="R61" s="3">
        <f>R60+R67</f>
        <v/>
      </c>
      <c r="S61" s="3">
        <f>S60+S67</f>
        <v/>
      </c>
      <c r="T61" s="3">
        <f>T60+T67</f>
        <v/>
      </c>
      <c r="U61" s="3">
        <f>U60+U67</f>
        <v/>
      </c>
      <c r="V61" s="3">
        <f>V60+V67</f>
        <v/>
      </c>
      <c r="W61" s="3">
        <f>W60+W67</f>
        <v/>
      </c>
      <c r="X61" s="3">
        <f>X60+X67</f>
        <v/>
      </c>
      <c r="Y61" s="3">
        <f>Y60+Y67</f>
        <v/>
      </c>
      <c r="Z61" s="3">
        <f>Z60+Z67</f>
        <v/>
      </c>
      <c r="AA61" s="3">
        <f>AA60+AA67</f>
        <v/>
      </c>
      <c r="AB61" s="3">
        <f>AB60+AB67</f>
        <v/>
      </c>
      <c r="AC61" s="3">
        <f>AC60+AC67</f>
        <v/>
      </c>
      <c r="AD61" s="3">
        <f>AD60+AD67</f>
        <v/>
      </c>
      <c r="AE61" s="3">
        <f>AE60+AE67</f>
        <v/>
      </c>
      <c r="AF61" s="3">
        <f>AF60+AF67</f>
        <v/>
      </c>
      <c r="AG61" s="3">
        <f>AG60+AG67</f>
        <v/>
      </c>
      <c r="AH61" s="3">
        <f>AH60+AH67</f>
        <v/>
      </c>
      <c r="AI61" s="3">
        <f>AI60+AI67</f>
        <v/>
      </c>
      <c r="AJ61" s="3">
        <f>AJ60+AJ67</f>
        <v/>
      </c>
      <c r="AK61" s="3">
        <f>AK60+AK67</f>
        <v/>
      </c>
      <c r="AL61" s="3">
        <f>AL60+AL67</f>
        <v/>
      </c>
      <c r="AM61" s="3">
        <f>AM60+AM67</f>
        <v/>
      </c>
      <c r="AN61" s="3">
        <f>AN60+AN67</f>
        <v/>
      </c>
      <c r="AO61" s="3">
        <f>AO60+AO67</f>
        <v/>
      </c>
      <c r="AP61" s="3">
        <f>AP60+AP67</f>
        <v/>
      </c>
      <c r="AQ61" s="3">
        <f>AQ60+AQ67</f>
        <v/>
      </c>
      <c r="AR61" s="3">
        <f>AR60+AR67</f>
        <v/>
      </c>
      <c r="AS61" s="3">
        <f>AS60+AS67</f>
        <v/>
      </c>
      <c r="AT61" s="3">
        <f>AT60+AT67</f>
        <v/>
      </c>
      <c r="AU61" s="3">
        <f>AU60+AU67</f>
        <v/>
      </c>
      <c r="AV61" s="3">
        <f>AV60+AV67</f>
        <v/>
      </c>
      <c r="AW61" s="3">
        <f>AW60+AW67</f>
        <v/>
      </c>
      <c r="AX61" s="3">
        <f>AX60+AX67</f>
        <v/>
      </c>
      <c r="AY61" s="3">
        <f>AY60+AY67</f>
        <v/>
      </c>
      <c r="AZ61" s="3">
        <f>AZ60+AZ67</f>
        <v/>
      </c>
      <c r="BA61" s="3">
        <f>BA60+BA67</f>
        <v/>
      </c>
      <c r="BB61" s="3">
        <f>BB60+BB67</f>
        <v/>
      </c>
      <c r="BC61" s="3">
        <f>BC60+BC67</f>
        <v/>
      </c>
      <c r="BD61" s="3">
        <f>BD60+BD67</f>
        <v/>
      </c>
      <c r="BE61" s="3">
        <f>BE60+BE67</f>
        <v/>
      </c>
      <c r="BF61" s="3">
        <f>BF60+BF67</f>
        <v/>
      </c>
      <c r="BG61" s="3">
        <f>BG60+BG67</f>
        <v/>
      </c>
      <c r="BH61" s="3">
        <f>BH60+BH67</f>
        <v/>
      </c>
      <c r="BI61" s="3">
        <f>BI60+BI67</f>
        <v/>
      </c>
      <c r="BJ61" s="3">
        <f>BJ60+BJ67</f>
        <v/>
      </c>
      <c r="BK61" s="3">
        <f>BK60+BK67</f>
        <v/>
      </c>
      <c r="BL61" s="3">
        <f>BL60+BL67</f>
        <v/>
      </c>
      <c r="BM61" s="3">
        <f>BM60+BM67</f>
        <v/>
      </c>
      <c r="BN61" s="3">
        <f>BN60+BN67</f>
        <v/>
      </c>
      <c r="BO61" s="3">
        <f>BO60+BO67</f>
        <v/>
      </c>
      <c r="BP61" s="3">
        <f>BP60+BP67</f>
        <v/>
      </c>
      <c r="BQ61" s="3">
        <f>BQ60+BQ67</f>
        <v/>
      </c>
      <c r="BR61" s="3">
        <f>BR60+BR67</f>
        <v/>
      </c>
      <c r="BS61" s="3">
        <f>BS60+BS67</f>
        <v/>
      </c>
      <c r="BT61" s="3">
        <f>BT60+BT67</f>
        <v/>
      </c>
      <c r="BU61" s="3">
        <f>BU60+BU67</f>
        <v/>
      </c>
      <c r="BV61" s="3">
        <f>BV60+BV67</f>
        <v/>
      </c>
    </row>
    <row r="62">
      <c r="A62" t="inlineStr">
        <is>
          <t>active</t>
        </is>
      </c>
      <c r="B62" t="inlineStr">
        <is>
          <t>LATAM|NITRO_M</t>
        </is>
      </c>
      <c r="C62" s="3">
        <f>React!$C$61*Curves!$BV$17</f>
        <v/>
      </c>
      <c r="D62" s="3">
        <f>SUMPRODUCT(React!$C$61:$D$61,Curves!$BU$17:$BV$17)</f>
        <v/>
      </c>
      <c r="E62" s="3">
        <f>SUMPRODUCT(React!$C$61:$E$61,Curves!$BT$17:$BV$17)</f>
        <v/>
      </c>
      <c r="F62" s="3">
        <f>SUMPRODUCT(React!$C$61:$F$61,Curves!$BS$17:$BV$17)</f>
        <v/>
      </c>
      <c r="G62" s="3">
        <f>SUMPRODUCT(React!$C$61:$G$61,Curves!$BR$17:$BV$17)</f>
        <v/>
      </c>
      <c r="H62" s="3">
        <f>SUMPRODUCT(React!$C$61:$H$61,Curves!$BQ$17:$BV$17)</f>
        <v/>
      </c>
      <c r="I62" s="3">
        <f>SUMPRODUCT(React!$C$61:$I$61,Curves!$BP$17:$BV$17)</f>
        <v/>
      </c>
      <c r="J62" s="3">
        <f>SUMPRODUCT(React!$C$61:$J$61,Curves!$BO$17:$BV$17)</f>
        <v/>
      </c>
      <c r="K62" s="3">
        <f>SUMPRODUCT(React!$C$61:$K$61,Curves!$BN$17:$BV$17)</f>
        <v/>
      </c>
      <c r="L62" s="3">
        <f>SUMPRODUCT(React!$C$61:$L$61,Curves!$BM$17:$BV$17)</f>
        <v/>
      </c>
      <c r="M62" s="3">
        <f>SUMPRODUCT(React!$C$61:$M$61,Curves!$BL$17:$BV$17)</f>
        <v/>
      </c>
      <c r="N62" s="3">
        <f>SUMPRODUCT(React!$C$61:$N$61,Curves!$BK$17:$BV$17)</f>
        <v/>
      </c>
      <c r="O62" s="3">
        <f>SUMPRODUCT(React!$C$61:$O$61,Curves!$BJ$17:$BV$17)</f>
        <v/>
      </c>
      <c r="P62" s="3">
        <f>SUMPRODUCT(React!$C$61:$P$61,Curves!$BI$17:$BV$17)</f>
        <v/>
      </c>
      <c r="Q62" s="3">
        <f>SUMPRODUCT(React!$C$61:$Q$61,Curves!$BH$17:$BV$17)</f>
        <v/>
      </c>
      <c r="R62" s="3">
        <f>SUMPRODUCT(React!$C$61:$R$61,Curves!$BG$17:$BV$17)</f>
        <v/>
      </c>
      <c r="S62" s="3">
        <f>SUMPRODUCT(React!$C$61:$S$61,Curves!$BF$17:$BV$17)</f>
        <v/>
      </c>
      <c r="T62" s="3">
        <f>SUMPRODUCT(React!$C$61:$T$61,Curves!$BE$17:$BV$17)</f>
        <v/>
      </c>
      <c r="U62" s="3">
        <f>SUMPRODUCT(React!$C$61:$U$61,Curves!$BD$17:$BV$17)</f>
        <v/>
      </c>
      <c r="V62" s="3">
        <f>SUMPRODUCT(React!$C$61:$V$61,Curves!$BC$17:$BV$17)</f>
        <v/>
      </c>
      <c r="W62" s="3">
        <f>SUMPRODUCT(React!$C$61:$W$61,Curves!$BB$17:$BV$17)</f>
        <v/>
      </c>
      <c r="X62" s="3">
        <f>SUMPRODUCT(React!$C$61:$X$61,Curves!$BA$17:$BV$17)</f>
        <v/>
      </c>
      <c r="Y62" s="3">
        <f>SUMPRODUCT(React!$C$61:$Y$61,Curves!$AZ$17:$BV$17)</f>
        <v/>
      </c>
      <c r="Z62" s="3">
        <f>SUMPRODUCT(React!$C$61:$Z$61,Curves!$AY$17:$BV$17)</f>
        <v/>
      </c>
      <c r="AA62" s="3">
        <f>SUMPRODUCT(React!$C$61:$AA$61,Curves!$AX$17:$BV$17)</f>
        <v/>
      </c>
      <c r="AB62" s="3">
        <f>SUMPRODUCT(React!$C$61:$AB$61,Curves!$AW$17:$BV$17)</f>
        <v/>
      </c>
      <c r="AC62" s="3">
        <f>SUMPRODUCT(React!$C$61:$AC$61,Curves!$AV$17:$BV$17)</f>
        <v/>
      </c>
      <c r="AD62" s="3">
        <f>SUMPRODUCT(React!$C$61:$AD$61,Curves!$AU$17:$BV$17)</f>
        <v/>
      </c>
      <c r="AE62" s="3">
        <f>SUMPRODUCT(React!$C$61:$AE$61,Curves!$AT$17:$BV$17)</f>
        <v/>
      </c>
      <c r="AF62" s="3">
        <f>SUMPRODUCT(React!$C$61:$AF$61,Curves!$AS$17:$BV$17)</f>
        <v/>
      </c>
      <c r="AG62" s="3">
        <f>SUMPRODUCT(React!$C$61:$AG$61,Curves!$AR$17:$BV$17)</f>
        <v/>
      </c>
      <c r="AH62" s="3">
        <f>SUMPRODUCT(React!$C$61:$AH$61,Curves!$AQ$17:$BV$17)</f>
        <v/>
      </c>
      <c r="AI62" s="3">
        <f>SUMPRODUCT(React!$C$61:$AI$61,Curves!$AP$17:$BV$17)</f>
        <v/>
      </c>
      <c r="AJ62" s="3">
        <f>SUMPRODUCT(React!$C$61:$AJ$61,Curves!$AO$17:$BV$17)</f>
        <v/>
      </c>
      <c r="AK62" s="3">
        <f>SUMPRODUCT(React!$C$61:$AK$61,Curves!$AN$17:$BV$17)</f>
        <v/>
      </c>
      <c r="AL62" s="3">
        <f>SUMPRODUCT(React!$C$61:$AL$61,Curves!$AM$17:$BV$17)</f>
        <v/>
      </c>
      <c r="AM62" s="3">
        <f>SUMPRODUCT(React!$C$61:$AM$61,Curves!$AL$17:$BV$17)</f>
        <v/>
      </c>
      <c r="AN62" s="3">
        <f>SUMPRODUCT(React!$C$61:$AN$61,Curves!$AK$17:$BV$17)</f>
        <v/>
      </c>
      <c r="AO62" s="3">
        <f>SUMPRODUCT(React!$C$61:$AO$61,Curves!$AJ$17:$BV$17)</f>
        <v/>
      </c>
      <c r="AP62" s="3">
        <f>SUMPRODUCT(React!$C$61:$AP$61,Curves!$AI$17:$BV$17)</f>
        <v/>
      </c>
      <c r="AQ62" s="3">
        <f>SUMPRODUCT(React!$C$61:$AQ$61,Curves!$AH$17:$BV$17)</f>
        <v/>
      </c>
      <c r="AR62" s="3">
        <f>SUMPRODUCT(React!$C$61:$AR$61,Curves!$AG$17:$BV$17)</f>
        <v/>
      </c>
      <c r="AS62" s="3">
        <f>SUMPRODUCT(React!$C$61:$AS$61,Curves!$AF$17:$BV$17)</f>
        <v/>
      </c>
      <c r="AT62" s="3">
        <f>SUMPRODUCT(React!$C$61:$AT$61,Curves!$AE$17:$BV$17)</f>
        <v/>
      </c>
      <c r="AU62" s="3">
        <f>SUMPRODUCT(React!$C$61:$AU$61,Curves!$AD$17:$BV$17)</f>
        <v/>
      </c>
      <c r="AV62" s="3">
        <f>SUMPRODUCT(React!$C$61:$AV$61,Curves!$AC$17:$BV$17)</f>
        <v/>
      </c>
      <c r="AW62" s="3">
        <f>SUMPRODUCT(React!$C$61:$AW$61,Curves!$AB$17:$BV$17)</f>
        <v/>
      </c>
      <c r="AX62" s="3">
        <f>SUMPRODUCT(React!$C$61:$AX$61,Curves!$AA$17:$BV$17)</f>
        <v/>
      </c>
      <c r="AY62" s="3">
        <f>SUMPRODUCT(React!$C$61:$AY$61,Curves!$Z$17:$BV$17)</f>
        <v/>
      </c>
      <c r="AZ62" s="3">
        <f>SUMPRODUCT(React!$C$61:$AZ$61,Curves!$Y$17:$BV$17)</f>
        <v/>
      </c>
      <c r="BA62" s="3">
        <f>SUMPRODUCT(React!$C$61:$BA$61,Curves!$X$17:$BV$17)</f>
        <v/>
      </c>
      <c r="BB62" s="3">
        <f>SUMPRODUCT(React!$C$61:$BB$61,Curves!$W$17:$BV$17)</f>
        <v/>
      </c>
      <c r="BC62" s="3">
        <f>SUMPRODUCT(React!$C$61:$BC$61,Curves!$V$17:$BV$17)</f>
        <v/>
      </c>
      <c r="BD62" s="3">
        <f>SUMPRODUCT(React!$C$61:$BD$61,Curves!$U$17:$BV$17)</f>
        <v/>
      </c>
      <c r="BE62" s="3">
        <f>SUMPRODUCT(React!$C$61:$BE$61,Curves!$T$17:$BV$17)</f>
        <v/>
      </c>
      <c r="BF62" s="3">
        <f>SUMPRODUCT(React!$C$61:$BF$61,Curves!$S$17:$BV$17)</f>
        <v/>
      </c>
      <c r="BG62" s="3">
        <f>SUMPRODUCT(React!$C$61:$BG$61,Curves!$R$17:$BV$17)</f>
        <v/>
      </c>
      <c r="BH62" s="3">
        <f>SUMPRODUCT(React!$C$61:$BH$61,Curves!$Q$17:$BV$17)</f>
        <v/>
      </c>
      <c r="BI62" s="3">
        <f>SUMPRODUCT(React!$C$61:$BI$61,Curves!$P$17:$BV$17)</f>
        <v/>
      </c>
      <c r="BJ62" s="3">
        <f>SUMPRODUCT(React!$C$61:$BJ$61,Curves!$O$17:$BV$17)</f>
        <v/>
      </c>
      <c r="BK62" s="3">
        <f>SUMPRODUCT(React!$C$61:$BK$61,Curves!$N$17:$BV$17)</f>
        <v/>
      </c>
      <c r="BL62" s="3">
        <f>SUMPRODUCT(React!$C$61:$BL$61,Curves!$M$17:$BV$17)</f>
        <v/>
      </c>
      <c r="BM62" s="3">
        <f>SUMPRODUCT(React!$C$61:$BM$61,Curves!$L$17:$BV$17)</f>
        <v/>
      </c>
      <c r="BN62" s="3">
        <f>SUMPRODUCT(React!$C$61:$BN$61,Curves!$K$17:$BV$17)</f>
        <v/>
      </c>
      <c r="BO62" s="3">
        <f>SUMPRODUCT(React!$C$61:$BO$61,Curves!$J$17:$BV$17)</f>
        <v/>
      </c>
      <c r="BP62" s="3">
        <f>SUMPRODUCT(React!$C$61:$BP$61,Curves!$I$17:$BV$17)</f>
        <v/>
      </c>
      <c r="BQ62" s="3">
        <f>SUMPRODUCT(React!$C$61:$BQ$61,Curves!$H$17:$BV$17)</f>
        <v/>
      </c>
      <c r="BR62" s="3">
        <f>SUMPRODUCT(React!$C$61:$BR$61,Curves!$G$17:$BV$17)</f>
        <v/>
      </c>
      <c r="BS62" s="3">
        <f>SUMPRODUCT(React!$C$61:$BS$61,Curves!$F$17:$BV$17)</f>
        <v/>
      </c>
      <c r="BT62" s="3">
        <f>SUMPRODUCT(React!$C$61:$BT$61,Curves!$E$17:$BV$17)</f>
        <v/>
      </c>
      <c r="BU62" s="3">
        <f>SUMPRODUCT(React!$C$61:$BU$61,Curves!$D$17:$BV$17)</f>
        <v/>
      </c>
      <c r="BV62" s="3">
        <f>SUMPRODUCT(React!$C$61:$BV$61,Curves!$C$17:$BV$17)</f>
        <v/>
      </c>
    </row>
    <row r="63">
      <c r="A63" t="inlineStr">
        <is>
          <t>active yr 1</t>
        </is>
      </c>
      <c r="B63" t="inlineStr">
        <is>
          <t>LATAM|NITRO_M</t>
        </is>
      </c>
      <c r="C63" s="3">
        <f>React!$C$61*Curves!$BV$22</f>
        <v/>
      </c>
      <c r="D63" s="3">
        <f>SUMPRODUCT(React!$C$61:$D$61,Curves!$BU$22:$BV$22)</f>
        <v/>
      </c>
      <c r="E63" s="3">
        <f>SUMPRODUCT(React!$C$61:$E$61,Curves!$BT$22:$BV$22)</f>
        <v/>
      </c>
      <c r="F63" s="3">
        <f>SUMPRODUCT(React!$C$61:$F$61,Curves!$BS$22:$BV$22)</f>
        <v/>
      </c>
      <c r="G63" s="3">
        <f>SUMPRODUCT(React!$C$61:$G$61,Curves!$BR$22:$BV$22)</f>
        <v/>
      </c>
      <c r="H63" s="3">
        <f>SUMPRODUCT(React!$C$61:$H$61,Curves!$BQ$22:$BV$22)</f>
        <v/>
      </c>
      <c r="I63" s="3">
        <f>SUMPRODUCT(React!$C$61:$I$61,Curves!$BP$22:$BV$22)</f>
        <v/>
      </c>
      <c r="J63" s="3">
        <f>SUMPRODUCT(React!$C$61:$J$61,Curves!$BO$22:$BV$22)</f>
        <v/>
      </c>
      <c r="K63" s="3">
        <f>SUMPRODUCT(React!$C$61:$K$61,Curves!$BN$22:$BV$22)</f>
        <v/>
      </c>
      <c r="L63" s="3">
        <f>SUMPRODUCT(React!$C$61:$L$61,Curves!$BM$22:$BV$22)</f>
        <v/>
      </c>
      <c r="M63" s="3">
        <f>SUMPRODUCT(React!$C$61:$M$61,Curves!$BL$22:$BV$22)</f>
        <v/>
      </c>
      <c r="N63" s="3">
        <f>SUMPRODUCT(React!$C$61:$N$61,Curves!$BK$22:$BV$22)</f>
        <v/>
      </c>
      <c r="O63" s="3">
        <f>SUMPRODUCT(React!$C$61:$O$61,Curves!$BJ$22:$BV$22)</f>
        <v/>
      </c>
      <c r="P63" s="3">
        <f>SUMPRODUCT(React!$C$61:$P$61,Curves!$BI$22:$BV$22)</f>
        <v/>
      </c>
      <c r="Q63" s="3">
        <f>SUMPRODUCT(React!$C$61:$Q$61,Curves!$BH$22:$BV$22)</f>
        <v/>
      </c>
      <c r="R63" s="3">
        <f>SUMPRODUCT(React!$C$61:$R$61,Curves!$BG$22:$BV$22)</f>
        <v/>
      </c>
      <c r="S63" s="3">
        <f>SUMPRODUCT(React!$C$61:$S$61,Curves!$BF$22:$BV$22)</f>
        <v/>
      </c>
      <c r="T63" s="3">
        <f>SUMPRODUCT(React!$C$61:$T$61,Curves!$BE$22:$BV$22)</f>
        <v/>
      </c>
      <c r="U63" s="3">
        <f>SUMPRODUCT(React!$C$61:$U$61,Curves!$BD$22:$BV$22)</f>
        <v/>
      </c>
      <c r="V63" s="3">
        <f>SUMPRODUCT(React!$C$61:$V$61,Curves!$BC$22:$BV$22)</f>
        <v/>
      </c>
      <c r="W63" s="3">
        <f>SUMPRODUCT(React!$C$61:$W$61,Curves!$BB$22:$BV$22)</f>
        <v/>
      </c>
      <c r="X63" s="3">
        <f>SUMPRODUCT(React!$C$61:$X$61,Curves!$BA$22:$BV$22)</f>
        <v/>
      </c>
      <c r="Y63" s="3">
        <f>SUMPRODUCT(React!$C$61:$Y$61,Curves!$AZ$22:$BV$22)</f>
        <v/>
      </c>
      <c r="Z63" s="3">
        <f>SUMPRODUCT(React!$C$61:$Z$61,Curves!$AY$22:$BV$22)</f>
        <v/>
      </c>
      <c r="AA63" s="3">
        <f>SUMPRODUCT(React!$C$61:$AA$61,Curves!$AX$22:$BV$22)</f>
        <v/>
      </c>
      <c r="AB63" s="3">
        <f>SUMPRODUCT(React!$C$61:$AB$61,Curves!$AW$22:$BV$22)</f>
        <v/>
      </c>
      <c r="AC63" s="3">
        <f>SUMPRODUCT(React!$C$61:$AC$61,Curves!$AV$22:$BV$22)</f>
        <v/>
      </c>
      <c r="AD63" s="3">
        <f>SUMPRODUCT(React!$C$61:$AD$61,Curves!$AU$22:$BV$22)</f>
        <v/>
      </c>
      <c r="AE63" s="3">
        <f>SUMPRODUCT(React!$C$61:$AE$61,Curves!$AT$22:$BV$22)</f>
        <v/>
      </c>
      <c r="AF63" s="3">
        <f>SUMPRODUCT(React!$C$61:$AF$61,Curves!$AS$22:$BV$22)</f>
        <v/>
      </c>
      <c r="AG63" s="3">
        <f>SUMPRODUCT(React!$C$61:$AG$61,Curves!$AR$22:$BV$22)</f>
        <v/>
      </c>
      <c r="AH63" s="3">
        <f>SUMPRODUCT(React!$C$61:$AH$61,Curves!$AQ$22:$BV$22)</f>
        <v/>
      </c>
      <c r="AI63" s="3">
        <f>SUMPRODUCT(React!$C$61:$AI$61,Curves!$AP$22:$BV$22)</f>
        <v/>
      </c>
      <c r="AJ63" s="3">
        <f>SUMPRODUCT(React!$C$61:$AJ$61,Curves!$AO$22:$BV$22)</f>
        <v/>
      </c>
      <c r="AK63" s="3">
        <f>SUMPRODUCT(React!$C$61:$AK$61,Curves!$AN$22:$BV$22)</f>
        <v/>
      </c>
      <c r="AL63" s="3">
        <f>SUMPRODUCT(React!$C$61:$AL$61,Curves!$AM$22:$BV$22)</f>
        <v/>
      </c>
      <c r="AM63" s="3">
        <f>SUMPRODUCT(React!$C$61:$AM$61,Curves!$AL$22:$BV$22)</f>
        <v/>
      </c>
      <c r="AN63" s="3">
        <f>SUMPRODUCT(React!$C$61:$AN$61,Curves!$AK$22:$BV$22)</f>
        <v/>
      </c>
      <c r="AO63" s="3">
        <f>SUMPRODUCT(React!$C$61:$AO$61,Curves!$AJ$22:$BV$22)</f>
        <v/>
      </c>
      <c r="AP63" s="3">
        <f>SUMPRODUCT(React!$C$61:$AP$61,Curves!$AI$22:$BV$22)</f>
        <v/>
      </c>
      <c r="AQ63" s="3">
        <f>SUMPRODUCT(React!$C$61:$AQ$61,Curves!$AH$22:$BV$22)</f>
        <v/>
      </c>
      <c r="AR63" s="3">
        <f>SUMPRODUCT(React!$C$61:$AR$61,Curves!$AG$22:$BV$22)</f>
        <v/>
      </c>
      <c r="AS63" s="3">
        <f>SUMPRODUCT(React!$C$61:$AS$61,Curves!$AF$22:$BV$22)</f>
        <v/>
      </c>
      <c r="AT63" s="3">
        <f>SUMPRODUCT(React!$C$61:$AT$61,Curves!$AE$22:$BV$22)</f>
        <v/>
      </c>
      <c r="AU63" s="3">
        <f>SUMPRODUCT(React!$C$61:$AU$61,Curves!$AD$22:$BV$22)</f>
        <v/>
      </c>
      <c r="AV63" s="3">
        <f>SUMPRODUCT(React!$C$61:$AV$61,Curves!$AC$22:$BV$22)</f>
        <v/>
      </c>
      <c r="AW63" s="3">
        <f>SUMPRODUCT(React!$C$61:$AW$61,Curves!$AB$22:$BV$22)</f>
        <v/>
      </c>
      <c r="AX63" s="3">
        <f>SUMPRODUCT(React!$C$61:$AX$61,Curves!$AA$22:$BV$22)</f>
        <v/>
      </c>
      <c r="AY63" s="3">
        <f>SUMPRODUCT(React!$C$61:$AY$61,Curves!$Z$22:$BV$22)</f>
        <v/>
      </c>
      <c r="AZ63" s="3">
        <f>SUMPRODUCT(React!$C$61:$AZ$61,Curves!$Y$22:$BV$22)</f>
        <v/>
      </c>
      <c r="BA63" s="3">
        <f>SUMPRODUCT(React!$C$61:$BA$61,Curves!$X$22:$BV$22)</f>
        <v/>
      </c>
      <c r="BB63" s="3">
        <f>SUMPRODUCT(React!$C$61:$BB$61,Curves!$W$22:$BV$22)</f>
        <v/>
      </c>
      <c r="BC63" s="3">
        <f>SUMPRODUCT(React!$C$61:$BC$61,Curves!$V$22:$BV$22)</f>
        <v/>
      </c>
      <c r="BD63" s="3">
        <f>SUMPRODUCT(React!$C$61:$BD$61,Curves!$U$22:$BV$22)</f>
        <v/>
      </c>
      <c r="BE63" s="3">
        <f>SUMPRODUCT(React!$C$61:$BE$61,Curves!$T$22:$BV$22)</f>
        <v/>
      </c>
      <c r="BF63" s="3">
        <f>SUMPRODUCT(React!$C$61:$BF$61,Curves!$S$22:$BV$22)</f>
        <v/>
      </c>
      <c r="BG63" s="3">
        <f>SUMPRODUCT(React!$C$61:$BG$61,Curves!$R$22:$BV$22)</f>
        <v/>
      </c>
      <c r="BH63" s="3">
        <f>SUMPRODUCT(React!$C$61:$BH$61,Curves!$Q$22:$BV$22)</f>
        <v/>
      </c>
      <c r="BI63" s="3">
        <f>SUMPRODUCT(React!$C$61:$BI$61,Curves!$P$22:$BV$22)</f>
        <v/>
      </c>
      <c r="BJ63" s="3">
        <f>SUMPRODUCT(React!$C$61:$BJ$61,Curves!$O$22:$BV$22)</f>
        <v/>
      </c>
      <c r="BK63" s="3">
        <f>SUMPRODUCT(React!$C$61:$BK$61,Curves!$N$22:$BV$22)</f>
        <v/>
      </c>
      <c r="BL63" s="3">
        <f>SUMPRODUCT(React!$C$61:$BL$61,Curves!$M$22:$BV$22)</f>
        <v/>
      </c>
      <c r="BM63" s="3">
        <f>SUMPRODUCT(React!$C$61:$BM$61,Curves!$L$22:$BV$22)</f>
        <v/>
      </c>
      <c r="BN63" s="3">
        <f>SUMPRODUCT(React!$C$61:$BN$61,Curves!$K$22:$BV$22)</f>
        <v/>
      </c>
      <c r="BO63" s="3">
        <f>SUMPRODUCT(React!$C$61:$BO$61,Curves!$J$22:$BV$22)</f>
        <v/>
      </c>
      <c r="BP63" s="3">
        <f>SUMPRODUCT(React!$C$61:$BP$61,Curves!$I$22:$BV$22)</f>
        <v/>
      </c>
      <c r="BQ63" s="3">
        <f>SUMPRODUCT(React!$C$61:$BQ$61,Curves!$H$22:$BV$22)</f>
        <v/>
      </c>
      <c r="BR63" s="3">
        <f>SUMPRODUCT(React!$C$61:$BR$61,Curves!$G$22:$BV$22)</f>
        <v/>
      </c>
      <c r="BS63" s="3">
        <f>SUMPRODUCT(React!$C$61:$BS$61,Curves!$F$22:$BV$22)</f>
        <v/>
      </c>
      <c r="BT63" s="3">
        <f>SUMPRODUCT(React!$C$61:$BT$61,Curves!$E$22:$BV$22)</f>
        <v/>
      </c>
      <c r="BU63" s="3">
        <f>SUMPRODUCT(React!$C$61:$BU$61,Curves!$D$22:$BV$22)</f>
        <v/>
      </c>
      <c r="BV63" s="3">
        <f>SUMPRODUCT(React!$C$61:$BV$61,Curves!$C$22:$BV$22)</f>
        <v/>
      </c>
    </row>
    <row r="64">
      <c r="A64" t="inlineStr">
        <is>
          <t>churned</t>
        </is>
      </c>
      <c r="B64" t="inlineStr">
        <is>
          <t>LATAM|NITRO_M</t>
        </is>
      </c>
      <c r="C64" s="3">
        <f>React!$C$61*Curves!$BV$18</f>
        <v/>
      </c>
      <c r="D64" s="3">
        <f>SUMPRODUCT(React!$C$61:$D$61,Curves!$BU$18:$BV$18)</f>
        <v/>
      </c>
      <c r="E64" s="3">
        <f>SUMPRODUCT(React!$C$61:$E$61,Curves!$BT$18:$BV$18)</f>
        <v/>
      </c>
      <c r="F64" s="3">
        <f>SUMPRODUCT(React!$C$61:$F$61,Curves!$BS$18:$BV$18)</f>
        <v/>
      </c>
      <c r="G64" s="3">
        <f>SUMPRODUCT(React!$C$61:$G$61,Curves!$BR$18:$BV$18)</f>
        <v/>
      </c>
      <c r="H64" s="3">
        <f>SUMPRODUCT(React!$C$61:$H$61,Curves!$BQ$18:$BV$18)</f>
        <v/>
      </c>
      <c r="I64" s="3">
        <f>SUMPRODUCT(React!$C$61:$I$61,Curves!$BP$18:$BV$18)</f>
        <v/>
      </c>
      <c r="J64" s="3">
        <f>SUMPRODUCT(React!$C$61:$J$61,Curves!$BO$18:$BV$18)</f>
        <v/>
      </c>
      <c r="K64" s="3">
        <f>SUMPRODUCT(React!$C$61:$K$61,Curves!$BN$18:$BV$18)</f>
        <v/>
      </c>
      <c r="L64" s="3">
        <f>SUMPRODUCT(React!$C$61:$L$61,Curves!$BM$18:$BV$18)</f>
        <v/>
      </c>
      <c r="M64" s="3">
        <f>SUMPRODUCT(React!$C$61:$M$61,Curves!$BL$18:$BV$18)</f>
        <v/>
      </c>
      <c r="N64" s="3">
        <f>SUMPRODUCT(React!$C$61:$N$61,Curves!$BK$18:$BV$18)</f>
        <v/>
      </c>
      <c r="O64" s="3">
        <f>SUMPRODUCT(React!$C$61:$O$61,Curves!$BJ$18:$BV$18)</f>
        <v/>
      </c>
      <c r="P64" s="3">
        <f>SUMPRODUCT(React!$C$61:$P$61,Curves!$BI$18:$BV$18)</f>
        <v/>
      </c>
      <c r="Q64" s="3">
        <f>SUMPRODUCT(React!$C$61:$Q$61,Curves!$BH$18:$BV$18)</f>
        <v/>
      </c>
      <c r="R64" s="3">
        <f>SUMPRODUCT(React!$C$61:$R$61,Curves!$BG$18:$BV$18)</f>
        <v/>
      </c>
      <c r="S64" s="3">
        <f>SUMPRODUCT(React!$C$61:$S$61,Curves!$BF$18:$BV$18)</f>
        <v/>
      </c>
      <c r="T64" s="3">
        <f>SUMPRODUCT(React!$C$61:$T$61,Curves!$BE$18:$BV$18)</f>
        <v/>
      </c>
      <c r="U64" s="3">
        <f>SUMPRODUCT(React!$C$61:$U$61,Curves!$BD$18:$BV$18)</f>
        <v/>
      </c>
      <c r="V64" s="3">
        <f>SUMPRODUCT(React!$C$61:$V$61,Curves!$BC$18:$BV$18)</f>
        <v/>
      </c>
      <c r="W64" s="3">
        <f>SUMPRODUCT(React!$C$61:$W$61,Curves!$BB$18:$BV$18)</f>
        <v/>
      </c>
      <c r="X64" s="3">
        <f>SUMPRODUCT(React!$C$61:$X$61,Curves!$BA$18:$BV$18)</f>
        <v/>
      </c>
      <c r="Y64" s="3">
        <f>SUMPRODUCT(React!$C$61:$Y$61,Curves!$AZ$18:$BV$18)</f>
        <v/>
      </c>
      <c r="Z64" s="3">
        <f>SUMPRODUCT(React!$C$61:$Z$61,Curves!$AY$18:$BV$18)</f>
        <v/>
      </c>
      <c r="AA64" s="3">
        <f>SUMPRODUCT(React!$C$61:$AA$61,Curves!$AX$18:$BV$18)</f>
        <v/>
      </c>
      <c r="AB64" s="3">
        <f>SUMPRODUCT(React!$C$61:$AB$61,Curves!$AW$18:$BV$18)</f>
        <v/>
      </c>
      <c r="AC64" s="3">
        <f>SUMPRODUCT(React!$C$61:$AC$61,Curves!$AV$18:$BV$18)</f>
        <v/>
      </c>
      <c r="AD64" s="3">
        <f>SUMPRODUCT(React!$C$61:$AD$61,Curves!$AU$18:$BV$18)</f>
        <v/>
      </c>
      <c r="AE64" s="3">
        <f>SUMPRODUCT(React!$C$61:$AE$61,Curves!$AT$18:$BV$18)</f>
        <v/>
      </c>
      <c r="AF64" s="3">
        <f>SUMPRODUCT(React!$C$61:$AF$61,Curves!$AS$18:$BV$18)</f>
        <v/>
      </c>
      <c r="AG64" s="3">
        <f>SUMPRODUCT(React!$C$61:$AG$61,Curves!$AR$18:$BV$18)</f>
        <v/>
      </c>
      <c r="AH64" s="3">
        <f>SUMPRODUCT(React!$C$61:$AH$61,Curves!$AQ$18:$BV$18)</f>
        <v/>
      </c>
      <c r="AI64" s="3">
        <f>SUMPRODUCT(React!$C$61:$AI$61,Curves!$AP$18:$BV$18)</f>
        <v/>
      </c>
      <c r="AJ64" s="3">
        <f>SUMPRODUCT(React!$C$61:$AJ$61,Curves!$AO$18:$BV$18)</f>
        <v/>
      </c>
      <c r="AK64" s="3">
        <f>SUMPRODUCT(React!$C$61:$AK$61,Curves!$AN$18:$BV$18)</f>
        <v/>
      </c>
      <c r="AL64" s="3">
        <f>SUMPRODUCT(React!$C$61:$AL$61,Curves!$AM$18:$BV$18)</f>
        <v/>
      </c>
      <c r="AM64" s="3">
        <f>SUMPRODUCT(React!$C$61:$AM$61,Curves!$AL$18:$BV$18)</f>
        <v/>
      </c>
      <c r="AN64" s="3">
        <f>SUMPRODUCT(React!$C$61:$AN$61,Curves!$AK$18:$BV$18)</f>
        <v/>
      </c>
      <c r="AO64" s="3">
        <f>SUMPRODUCT(React!$C$61:$AO$61,Curves!$AJ$18:$BV$18)</f>
        <v/>
      </c>
      <c r="AP64" s="3">
        <f>SUMPRODUCT(React!$C$61:$AP$61,Curves!$AI$18:$BV$18)</f>
        <v/>
      </c>
      <c r="AQ64" s="3">
        <f>SUMPRODUCT(React!$C$61:$AQ$61,Curves!$AH$18:$BV$18)</f>
        <v/>
      </c>
      <c r="AR64" s="3">
        <f>SUMPRODUCT(React!$C$61:$AR$61,Curves!$AG$18:$BV$18)</f>
        <v/>
      </c>
      <c r="AS64" s="3">
        <f>SUMPRODUCT(React!$C$61:$AS$61,Curves!$AF$18:$BV$18)</f>
        <v/>
      </c>
      <c r="AT64" s="3">
        <f>SUMPRODUCT(React!$C$61:$AT$61,Curves!$AE$18:$BV$18)</f>
        <v/>
      </c>
      <c r="AU64" s="3">
        <f>SUMPRODUCT(React!$C$61:$AU$61,Curves!$AD$18:$BV$18)</f>
        <v/>
      </c>
      <c r="AV64" s="3">
        <f>SUMPRODUCT(React!$C$61:$AV$61,Curves!$AC$18:$BV$18)</f>
        <v/>
      </c>
      <c r="AW64" s="3">
        <f>SUMPRODUCT(React!$C$61:$AW$61,Curves!$AB$18:$BV$18)</f>
        <v/>
      </c>
      <c r="AX64" s="3">
        <f>SUMPRODUCT(React!$C$61:$AX$61,Curves!$AA$18:$BV$18)</f>
        <v/>
      </c>
      <c r="AY64" s="3">
        <f>SUMPRODUCT(React!$C$61:$AY$61,Curves!$Z$18:$BV$18)</f>
        <v/>
      </c>
      <c r="AZ64" s="3">
        <f>SUMPRODUCT(React!$C$61:$AZ$61,Curves!$Y$18:$BV$18)</f>
        <v/>
      </c>
      <c r="BA64" s="3">
        <f>SUMPRODUCT(React!$C$61:$BA$61,Curves!$X$18:$BV$18)</f>
        <v/>
      </c>
      <c r="BB64" s="3">
        <f>SUMPRODUCT(React!$C$61:$BB$61,Curves!$W$18:$BV$18)</f>
        <v/>
      </c>
      <c r="BC64" s="3">
        <f>SUMPRODUCT(React!$C$61:$BC$61,Curves!$V$18:$BV$18)</f>
        <v/>
      </c>
      <c r="BD64" s="3">
        <f>SUMPRODUCT(React!$C$61:$BD$61,Curves!$U$18:$BV$18)</f>
        <v/>
      </c>
      <c r="BE64" s="3">
        <f>SUMPRODUCT(React!$C$61:$BE$61,Curves!$T$18:$BV$18)</f>
        <v/>
      </c>
      <c r="BF64" s="3">
        <f>SUMPRODUCT(React!$C$61:$BF$61,Curves!$S$18:$BV$18)</f>
        <v/>
      </c>
      <c r="BG64" s="3">
        <f>SUMPRODUCT(React!$C$61:$BG$61,Curves!$R$18:$BV$18)</f>
        <v/>
      </c>
      <c r="BH64" s="3">
        <f>SUMPRODUCT(React!$C$61:$BH$61,Curves!$Q$18:$BV$18)</f>
        <v/>
      </c>
      <c r="BI64" s="3">
        <f>SUMPRODUCT(React!$C$61:$BI$61,Curves!$P$18:$BV$18)</f>
        <v/>
      </c>
      <c r="BJ64" s="3">
        <f>SUMPRODUCT(React!$C$61:$BJ$61,Curves!$O$18:$BV$18)</f>
        <v/>
      </c>
      <c r="BK64" s="3">
        <f>SUMPRODUCT(React!$C$61:$BK$61,Curves!$N$18:$BV$18)</f>
        <v/>
      </c>
      <c r="BL64" s="3">
        <f>SUMPRODUCT(React!$C$61:$BL$61,Curves!$M$18:$BV$18)</f>
        <v/>
      </c>
      <c r="BM64" s="3">
        <f>SUMPRODUCT(React!$C$61:$BM$61,Curves!$L$18:$BV$18)</f>
        <v/>
      </c>
      <c r="BN64" s="3">
        <f>SUMPRODUCT(React!$C$61:$BN$61,Curves!$K$18:$BV$18)</f>
        <v/>
      </c>
      <c r="BO64" s="3">
        <f>SUMPRODUCT(React!$C$61:$BO$61,Curves!$J$18:$BV$18)</f>
        <v/>
      </c>
      <c r="BP64" s="3">
        <f>SUMPRODUCT(React!$C$61:$BP$61,Curves!$I$18:$BV$18)</f>
        <v/>
      </c>
      <c r="BQ64" s="3">
        <f>SUMPRODUCT(React!$C$61:$BQ$61,Curves!$H$18:$BV$18)</f>
        <v/>
      </c>
      <c r="BR64" s="3">
        <f>SUMPRODUCT(React!$C$61:$BR$61,Curves!$G$18:$BV$18)</f>
        <v/>
      </c>
      <c r="BS64" s="3">
        <f>SUMPRODUCT(React!$C$61:$BS$61,Curves!$F$18:$BV$18)</f>
        <v/>
      </c>
      <c r="BT64" s="3">
        <f>SUMPRODUCT(React!$C$61:$BT$61,Curves!$E$18:$BV$18)</f>
        <v/>
      </c>
      <c r="BU64" s="3">
        <f>SUMPRODUCT(React!$C$61:$BU$61,Curves!$D$18:$BV$18)</f>
        <v/>
      </c>
      <c r="BV64" s="3">
        <f>SUMPRODUCT(React!$C$61:$BV$61,Curves!$C$18:$BV$18)</f>
        <v/>
      </c>
    </row>
    <row r="66">
      <c r="A66" t="inlineStr">
        <is>
          <t>churn pool inflow</t>
        </is>
      </c>
      <c r="B66" t="inlineStr">
        <is>
          <t>LATAM|NITRO_A</t>
        </is>
      </c>
      <c r="C66" s="3">
        <f>Paid!C41+Legacy!C43</f>
        <v/>
      </c>
      <c r="D66" s="3">
        <f>Paid!D41+Legacy!D43</f>
        <v/>
      </c>
      <c r="E66" s="3">
        <f>Paid!E41+Legacy!E43</f>
        <v/>
      </c>
      <c r="F66" s="3">
        <f>Paid!F41+Legacy!F43</f>
        <v/>
      </c>
      <c r="G66" s="3">
        <f>Paid!G41+Legacy!G43</f>
        <v/>
      </c>
      <c r="H66" s="3">
        <f>Paid!H41+Legacy!H43</f>
        <v/>
      </c>
      <c r="I66" s="3">
        <f>Paid!I41+Legacy!I43</f>
        <v/>
      </c>
      <c r="J66" s="3">
        <f>Paid!J41+Legacy!J43</f>
        <v/>
      </c>
      <c r="K66" s="3">
        <f>Paid!K41+Legacy!K43</f>
        <v/>
      </c>
      <c r="L66" s="3">
        <f>Paid!L41+Legacy!L43</f>
        <v/>
      </c>
      <c r="M66" s="3">
        <f>Paid!M41+Legacy!M43</f>
        <v/>
      </c>
      <c r="N66" s="3">
        <f>Paid!N41+Legacy!N43</f>
        <v/>
      </c>
      <c r="O66" s="3">
        <f>Paid!O41+Legacy!O43</f>
        <v/>
      </c>
      <c r="P66" s="3">
        <f>Paid!P41+Legacy!P43</f>
        <v/>
      </c>
      <c r="Q66" s="3">
        <f>Paid!Q41+Legacy!Q43</f>
        <v/>
      </c>
      <c r="R66" s="3">
        <f>Paid!R41+Legacy!R43</f>
        <v/>
      </c>
      <c r="S66" s="3">
        <f>Paid!S41+Legacy!S43</f>
        <v/>
      </c>
      <c r="T66" s="3">
        <f>Paid!T41+Legacy!T43</f>
        <v/>
      </c>
      <c r="U66" s="3">
        <f>Paid!U41+Legacy!U43</f>
        <v/>
      </c>
      <c r="V66" s="3">
        <f>Paid!V41+Legacy!V43</f>
        <v/>
      </c>
      <c r="W66" s="3">
        <f>Paid!W41+Legacy!W43</f>
        <v/>
      </c>
      <c r="X66" s="3">
        <f>Paid!X41+Legacy!X43</f>
        <v/>
      </c>
      <c r="Y66" s="3">
        <f>Paid!Y41+Legacy!Y43</f>
        <v/>
      </c>
      <c r="Z66" s="3">
        <f>Paid!Z41+Legacy!Z43</f>
        <v/>
      </c>
      <c r="AA66" s="3">
        <f>Paid!AA41+Legacy!AA43</f>
        <v/>
      </c>
      <c r="AB66" s="3">
        <f>Paid!AB41+Legacy!AB43</f>
        <v/>
      </c>
      <c r="AC66" s="3">
        <f>Paid!AC41+Legacy!AC43</f>
        <v/>
      </c>
      <c r="AD66" s="3">
        <f>Paid!AD41+Legacy!AD43</f>
        <v/>
      </c>
      <c r="AE66" s="3">
        <f>Paid!AE41+Legacy!AE43</f>
        <v/>
      </c>
      <c r="AF66" s="3">
        <f>Paid!AF41+Legacy!AF43</f>
        <v/>
      </c>
      <c r="AG66" s="3">
        <f>Paid!AG41+Legacy!AG43</f>
        <v/>
      </c>
      <c r="AH66" s="3">
        <f>Paid!AH41+Legacy!AH43</f>
        <v/>
      </c>
      <c r="AI66" s="3">
        <f>Paid!AI41+Legacy!AI43</f>
        <v/>
      </c>
      <c r="AJ66" s="3">
        <f>Paid!AJ41+Legacy!AJ43</f>
        <v/>
      </c>
      <c r="AK66" s="3">
        <f>Paid!AK41+Legacy!AK43</f>
        <v/>
      </c>
      <c r="AL66" s="3">
        <f>Paid!AL41+Legacy!AL43</f>
        <v/>
      </c>
      <c r="AM66" s="3">
        <f>Paid!AM41+Legacy!AM43</f>
        <v/>
      </c>
      <c r="AN66" s="3">
        <f>Paid!AN41+Legacy!AN43</f>
        <v/>
      </c>
      <c r="AO66" s="3">
        <f>Paid!AO41+Legacy!AO43</f>
        <v/>
      </c>
      <c r="AP66" s="3">
        <f>Paid!AP41+Legacy!AP43</f>
        <v/>
      </c>
      <c r="AQ66" s="3">
        <f>Paid!AQ41+Legacy!AQ43</f>
        <v/>
      </c>
      <c r="AR66" s="3">
        <f>Paid!AR41+Legacy!AR43</f>
        <v/>
      </c>
      <c r="AS66" s="3">
        <f>Paid!AS41+Legacy!AS43</f>
        <v/>
      </c>
      <c r="AT66" s="3">
        <f>Paid!AT41+Legacy!AT43</f>
        <v/>
      </c>
      <c r="AU66" s="3">
        <f>Paid!AU41+Legacy!AU43</f>
        <v/>
      </c>
      <c r="AV66" s="3">
        <f>Paid!AV41+Legacy!AV43</f>
        <v/>
      </c>
      <c r="AW66" s="3">
        <f>Paid!AW41+Legacy!AW43</f>
        <v/>
      </c>
      <c r="AX66" s="3">
        <f>Paid!AX41+Legacy!AX43</f>
        <v/>
      </c>
      <c r="AY66" s="3">
        <f>Paid!AY41+Legacy!AY43</f>
        <v/>
      </c>
      <c r="AZ66" s="3">
        <f>Paid!AZ41+Legacy!AZ43</f>
        <v/>
      </c>
      <c r="BA66" s="3">
        <f>Paid!BA41+Legacy!BA43</f>
        <v/>
      </c>
      <c r="BB66" s="3">
        <f>Paid!BB41+Legacy!BB43</f>
        <v/>
      </c>
      <c r="BC66" s="3">
        <f>Paid!BC41+Legacy!BC43</f>
        <v/>
      </c>
      <c r="BD66" s="3">
        <f>Paid!BD41+Legacy!BD43</f>
        <v/>
      </c>
      <c r="BE66" s="3">
        <f>Paid!BE41+Legacy!BE43</f>
        <v/>
      </c>
      <c r="BF66" s="3">
        <f>Paid!BF41+Legacy!BF43</f>
        <v/>
      </c>
      <c r="BG66" s="3">
        <f>Paid!BG41+Legacy!BG43</f>
        <v/>
      </c>
      <c r="BH66" s="3">
        <f>Paid!BH41+Legacy!BH43</f>
        <v/>
      </c>
      <c r="BI66" s="3">
        <f>Paid!BI41+Legacy!BI43</f>
        <v/>
      </c>
      <c r="BJ66" s="3">
        <f>Paid!BJ41+Legacy!BJ43</f>
        <v/>
      </c>
      <c r="BK66" s="3">
        <f>Paid!BK41+Legacy!BK43</f>
        <v/>
      </c>
      <c r="BL66" s="3">
        <f>Paid!BL41+Legacy!BL43</f>
        <v/>
      </c>
      <c r="BM66" s="3">
        <f>Paid!BM41+Legacy!BM43</f>
        <v/>
      </c>
      <c r="BN66" s="3">
        <f>Paid!BN41+Legacy!BN43</f>
        <v/>
      </c>
      <c r="BO66" s="3">
        <f>Paid!BO41+Legacy!BO43</f>
        <v/>
      </c>
      <c r="BP66" s="3">
        <f>Paid!BP41+Legacy!BP43</f>
        <v/>
      </c>
      <c r="BQ66" s="3">
        <f>Paid!BQ41+Legacy!BQ43</f>
        <v/>
      </c>
      <c r="BR66" s="3">
        <f>Paid!BR41+Legacy!BR43</f>
        <v/>
      </c>
      <c r="BS66" s="3">
        <f>Paid!BS41+Legacy!BS43</f>
        <v/>
      </c>
      <c r="BT66" s="3">
        <f>Paid!BT41+Legacy!BT43</f>
        <v/>
      </c>
      <c r="BU66" s="3">
        <f>Paid!BU41+Legacy!BU43</f>
        <v/>
      </c>
      <c r="BV66" s="3">
        <f>Paid!BV41+Legacy!BV43</f>
        <v/>
      </c>
    </row>
    <row r="67">
      <c r="A67" t="inlineStr">
        <is>
          <t>reactivations out</t>
        </is>
      </c>
      <c r="B67" t="inlineStr">
        <is>
          <t>LATAM|NITRO_A</t>
        </is>
      </c>
      <c r="C67" s="3">
        <f>React!$C$66*Curves!$BV$19</f>
        <v/>
      </c>
      <c r="D67" s="3">
        <f>SUMPRODUCT(React!$C$66:$D$66,Curves!$BU$19:$BV$19)</f>
        <v/>
      </c>
      <c r="E67" s="3">
        <f>SUMPRODUCT(React!$C$66:$E$66,Curves!$BT$19:$BV$19)</f>
        <v/>
      </c>
      <c r="F67" s="3">
        <f>SUMPRODUCT(React!$C$66:$F$66,Curves!$BS$19:$BV$19)</f>
        <v/>
      </c>
      <c r="G67" s="3">
        <f>SUMPRODUCT(React!$C$66:$G$66,Curves!$BR$19:$BV$19)</f>
        <v/>
      </c>
      <c r="H67" s="3">
        <f>SUMPRODUCT(React!$C$66:$H$66,Curves!$BQ$19:$BV$19)</f>
        <v/>
      </c>
      <c r="I67" s="3">
        <f>SUMPRODUCT(React!$C$66:$I$66,Curves!$BP$19:$BV$19)</f>
        <v/>
      </c>
      <c r="J67" s="3">
        <f>SUMPRODUCT(React!$C$66:$J$66,Curves!$BO$19:$BV$19)</f>
        <v/>
      </c>
      <c r="K67" s="3">
        <f>SUMPRODUCT(React!$C$66:$K$66,Curves!$BN$19:$BV$19)</f>
        <v/>
      </c>
      <c r="L67" s="3">
        <f>SUMPRODUCT(React!$C$66:$L$66,Curves!$BM$19:$BV$19)</f>
        <v/>
      </c>
      <c r="M67" s="3">
        <f>SUMPRODUCT(React!$C$66:$M$66,Curves!$BL$19:$BV$19)</f>
        <v/>
      </c>
      <c r="N67" s="3">
        <f>SUMPRODUCT(React!$C$66:$N$66,Curves!$BK$19:$BV$19)</f>
        <v/>
      </c>
      <c r="O67" s="3">
        <f>SUMPRODUCT(React!$C$66:$O$66,Curves!$BJ$19:$BV$19)</f>
        <v/>
      </c>
      <c r="P67" s="3">
        <f>SUMPRODUCT(React!$C$66:$P$66,Curves!$BI$19:$BV$19)</f>
        <v/>
      </c>
      <c r="Q67" s="3">
        <f>SUMPRODUCT(React!$C$66:$Q$66,Curves!$BH$19:$BV$19)</f>
        <v/>
      </c>
      <c r="R67" s="3">
        <f>SUMPRODUCT(React!$C$66:$R$66,Curves!$BG$19:$BV$19)</f>
        <v/>
      </c>
      <c r="S67" s="3">
        <f>SUMPRODUCT(React!$C$66:$S$66,Curves!$BF$19:$BV$19)</f>
        <v/>
      </c>
      <c r="T67" s="3">
        <f>SUMPRODUCT(React!$C$66:$T$66,Curves!$BE$19:$BV$19)</f>
        <v/>
      </c>
      <c r="U67" s="3">
        <f>SUMPRODUCT(React!$C$66:$U$66,Curves!$BD$19:$BV$19)</f>
        <v/>
      </c>
      <c r="V67" s="3">
        <f>SUMPRODUCT(React!$C$66:$V$66,Curves!$BC$19:$BV$19)</f>
        <v/>
      </c>
      <c r="W67" s="3">
        <f>SUMPRODUCT(React!$C$66:$W$66,Curves!$BB$19:$BV$19)</f>
        <v/>
      </c>
      <c r="X67" s="3">
        <f>SUMPRODUCT(React!$C$66:$X$66,Curves!$BA$19:$BV$19)</f>
        <v/>
      </c>
      <c r="Y67" s="3">
        <f>SUMPRODUCT(React!$C$66:$Y$66,Curves!$AZ$19:$BV$19)</f>
        <v/>
      </c>
      <c r="Z67" s="3">
        <f>SUMPRODUCT(React!$C$66:$Z$66,Curves!$AY$19:$BV$19)</f>
        <v/>
      </c>
      <c r="AA67" s="3">
        <f>SUMPRODUCT(React!$C$66:$AA$66,Curves!$AX$19:$BV$19)</f>
        <v/>
      </c>
      <c r="AB67" s="3">
        <f>SUMPRODUCT(React!$C$66:$AB$66,Curves!$AW$19:$BV$19)</f>
        <v/>
      </c>
      <c r="AC67" s="3">
        <f>SUMPRODUCT(React!$C$66:$AC$66,Curves!$AV$19:$BV$19)</f>
        <v/>
      </c>
      <c r="AD67" s="3">
        <f>SUMPRODUCT(React!$C$66:$AD$66,Curves!$AU$19:$BV$19)</f>
        <v/>
      </c>
      <c r="AE67" s="3">
        <f>SUMPRODUCT(React!$C$66:$AE$66,Curves!$AT$19:$BV$19)</f>
        <v/>
      </c>
      <c r="AF67" s="3">
        <f>SUMPRODUCT(React!$C$66:$AF$66,Curves!$AS$19:$BV$19)</f>
        <v/>
      </c>
      <c r="AG67" s="3">
        <f>SUMPRODUCT(React!$C$66:$AG$66,Curves!$AR$19:$BV$19)</f>
        <v/>
      </c>
      <c r="AH67" s="3">
        <f>SUMPRODUCT(React!$C$66:$AH$66,Curves!$AQ$19:$BV$19)</f>
        <v/>
      </c>
      <c r="AI67" s="3">
        <f>SUMPRODUCT(React!$C$66:$AI$66,Curves!$AP$19:$BV$19)</f>
        <v/>
      </c>
      <c r="AJ67" s="3">
        <f>SUMPRODUCT(React!$C$66:$AJ$66,Curves!$AO$19:$BV$19)</f>
        <v/>
      </c>
      <c r="AK67" s="3">
        <f>SUMPRODUCT(React!$C$66:$AK$66,Curves!$AN$19:$BV$19)</f>
        <v/>
      </c>
      <c r="AL67" s="3">
        <f>SUMPRODUCT(React!$C$66:$AL$66,Curves!$AM$19:$BV$19)</f>
        <v/>
      </c>
      <c r="AM67" s="3">
        <f>SUMPRODUCT(React!$C$66:$AM$66,Curves!$AL$19:$BV$19)</f>
        <v/>
      </c>
      <c r="AN67" s="3">
        <f>SUMPRODUCT(React!$C$66:$AN$66,Curves!$AK$19:$BV$19)</f>
        <v/>
      </c>
      <c r="AO67" s="3">
        <f>SUMPRODUCT(React!$C$66:$AO$66,Curves!$AJ$19:$BV$19)</f>
        <v/>
      </c>
      <c r="AP67" s="3">
        <f>SUMPRODUCT(React!$C$66:$AP$66,Curves!$AI$19:$BV$19)</f>
        <v/>
      </c>
      <c r="AQ67" s="3">
        <f>SUMPRODUCT(React!$C$66:$AQ$66,Curves!$AH$19:$BV$19)</f>
        <v/>
      </c>
      <c r="AR67" s="3">
        <f>SUMPRODUCT(React!$C$66:$AR$66,Curves!$AG$19:$BV$19)</f>
        <v/>
      </c>
      <c r="AS67" s="3">
        <f>SUMPRODUCT(React!$C$66:$AS$66,Curves!$AF$19:$BV$19)</f>
        <v/>
      </c>
      <c r="AT67" s="3">
        <f>SUMPRODUCT(React!$C$66:$AT$66,Curves!$AE$19:$BV$19)</f>
        <v/>
      </c>
      <c r="AU67" s="3">
        <f>SUMPRODUCT(React!$C$66:$AU$66,Curves!$AD$19:$BV$19)</f>
        <v/>
      </c>
      <c r="AV67" s="3">
        <f>SUMPRODUCT(React!$C$66:$AV$66,Curves!$AC$19:$BV$19)</f>
        <v/>
      </c>
      <c r="AW67" s="3">
        <f>SUMPRODUCT(React!$C$66:$AW$66,Curves!$AB$19:$BV$19)</f>
        <v/>
      </c>
      <c r="AX67" s="3">
        <f>SUMPRODUCT(React!$C$66:$AX$66,Curves!$AA$19:$BV$19)</f>
        <v/>
      </c>
      <c r="AY67" s="3">
        <f>SUMPRODUCT(React!$C$66:$AY$66,Curves!$Z$19:$BV$19)</f>
        <v/>
      </c>
      <c r="AZ67" s="3">
        <f>SUMPRODUCT(React!$C$66:$AZ$66,Curves!$Y$19:$BV$19)</f>
        <v/>
      </c>
      <c r="BA67" s="3">
        <f>SUMPRODUCT(React!$C$66:$BA$66,Curves!$X$19:$BV$19)</f>
        <v/>
      </c>
      <c r="BB67" s="3">
        <f>SUMPRODUCT(React!$C$66:$BB$66,Curves!$W$19:$BV$19)</f>
        <v/>
      </c>
      <c r="BC67" s="3">
        <f>SUMPRODUCT(React!$C$66:$BC$66,Curves!$V$19:$BV$19)</f>
        <v/>
      </c>
      <c r="BD67" s="3">
        <f>SUMPRODUCT(React!$C$66:$BD$66,Curves!$U$19:$BV$19)</f>
        <v/>
      </c>
      <c r="BE67" s="3">
        <f>SUMPRODUCT(React!$C$66:$BE$66,Curves!$T$19:$BV$19)</f>
        <v/>
      </c>
      <c r="BF67" s="3">
        <f>SUMPRODUCT(React!$C$66:$BF$66,Curves!$S$19:$BV$19)</f>
        <v/>
      </c>
      <c r="BG67" s="3">
        <f>SUMPRODUCT(React!$C$66:$BG$66,Curves!$R$19:$BV$19)</f>
        <v/>
      </c>
      <c r="BH67" s="3">
        <f>SUMPRODUCT(React!$C$66:$BH$66,Curves!$Q$19:$BV$19)</f>
        <v/>
      </c>
      <c r="BI67" s="3">
        <f>SUMPRODUCT(React!$C$66:$BI$66,Curves!$P$19:$BV$19)</f>
        <v/>
      </c>
      <c r="BJ67" s="3">
        <f>SUMPRODUCT(React!$C$66:$BJ$66,Curves!$O$19:$BV$19)</f>
        <v/>
      </c>
      <c r="BK67" s="3">
        <f>SUMPRODUCT(React!$C$66:$BK$66,Curves!$N$19:$BV$19)</f>
        <v/>
      </c>
      <c r="BL67" s="3">
        <f>SUMPRODUCT(React!$C$66:$BL$66,Curves!$M$19:$BV$19)</f>
        <v/>
      </c>
      <c r="BM67" s="3">
        <f>SUMPRODUCT(React!$C$66:$BM$66,Curves!$L$19:$BV$19)</f>
        <v/>
      </c>
      <c r="BN67" s="3">
        <f>SUMPRODUCT(React!$C$66:$BN$66,Curves!$K$19:$BV$19)</f>
        <v/>
      </c>
      <c r="BO67" s="3">
        <f>SUMPRODUCT(React!$C$66:$BO$66,Curves!$J$19:$BV$19)</f>
        <v/>
      </c>
      <c r="BP67" s="3">
        <f>SUMPRODUCT(React!$C$66:$BP$66,Curves!$I$19:$BV$19)</f>
        <v/>
      </c>
      <c r="BQ67" s="3">
        <f>SUMPRODUCT(React!$C$66:$BQ$66,Curves!$H$19:$BV$19)</f>
        <v/>
      </c>
      <c r="BR67" s="3">
        <f>SUMPRODUCT(React!$C$66:$BR$66,Curves!$G$19:$BV$19)</f>
        <v/>
      </c>
      <c r="BS67" s="3">
        <f>SUMPRODUCT(React!$C$66:$BS$66,Curves!$F$19:$BV$19)</f>
        <v/>
      </c>
      <c r="BT67" s="3">
        <f>SUMPRODUCT(React!$C$66:$BT$66,Curves!$E$19:$BV$19)</f>
        <v/>
      </c>
      <c r="BU67" s="3">
        <f>SUMPRODUCT(React!$C$66:$BU$66,Curves!$D$19:$BV$19)</f>
        <v/>
      </c>
      <c r="BV67" s="3">
        <f>SUMPRODUCT(React!$C$66:$BV$66,Curves!$C$19:$BV$19)</f>
        <v/>
      </c>
    </row>
    <row r="68">
      <c r="A68" t="inlineStr">
        <is>
          <t>reactivated in</t>
        </is>
      </c>
      <c r="B68" t="inlineStr">
        <is>
          <t>LATAM|NITRO_A</t>
        </is>
      </c>
      <c r="C68" s="3">
        <f>0</f>
        <v/>
      </c>
      <c r="D68" s="3">
        <f>0</f>
        <v/>
      </c>
      <c r="E68" s="3">
        <f>0</f>
        <v/>
      </c>
      <c r="F68" s="3">
        <f>0</f>
        <v/>
      </c>
      <c r="G68" s="3">
        <f>0</f>
        <v/>
      </c>
      <c r="H68" s="3">
        <f>0</f>
        <v/>
      </c>
      <c r="I68" s="3">
        <f>0</f>
        <v/>
      </c>
      <c r="J68" s="3">
        <f>0</f>
        <v/>
      </c>
      <c r="K68" s="3">
        <f>0</f>
        <v/>
      </c>
      <c r="L68" s="3">
        <f>0</f>
        <v/>
      </c>
      <c r="M68" s="3">
        <f>0</f>
        <v/>
      </c>
      <c r="N68" s="3">
        <f>0</f>
        <v/>
      </c>
      <c r="O68" s="3">
        <f>0</f>
        <v/>
      </c>
      <c r="P68" s="3">
        <f>0</f>
        <v/>
      </c>
      <c r="Q68" s="3">
        <f>0</f>
        <v/>
      </c>
      <c r="R68" s="3">
        <f>0</f>
        <v/>
      </c>
      <c r="S68" s="3">
        <f>0</f>
        <v/>
      </c>
      <c r="T68" s="3">
        <f>0</f>
        <v/>
      </c>
      <c r="U68" s="3">
        <f>0</f>
        <v/>
      </c>
      <c r="V68" s="3">
        <f>0</f>
        <v/>
      </c>
      <c r="W68" s="3">
        <f>0</f>
        <v/>
      </c>
      <c r="X68" s="3">
        <f>0</f>
        <v/>
      </c>
      <c r="Y68" s="3">
        <f>0</f>
        <v/>
      </c>
      <c r="Z68" s="3">
        <f>0</f>
        <v/>
      </c>
      <c r="AA68" s="3">
        <f>0</f>
        <v/>
      </c>
      <c r="AB68" s="3">
        <f>0</f>
        <v/>
      </c>
      <c r="AC68" s="3">
        <f>0</f>
        <v/>
      </c>
      <c r="AD68" s="3">
        <f>0</f>
        <v/>
      </c>
      <c r="AE68" s="3">
        <f>0</f>
        <v/>
      </c>
      <c r="AF68" s="3">
        <f>0</f>
        <v/>
      </c>
      <c r="AG68" s="3">
        <f>0</f>
        <v/>
      </c>
      <c r="AH68" s="3">
        <f>0</f>
        <v/>
      </c>
      <c r="AI68" s="3">
        <f>0</f>
        <v/>
      </c>
      <c r="AJ68" s="3">
        <f>0</f>
        <v/>
      </c>
      <c r="AK68" s="3">
        <f>0</f>
        <v/>
      </c>
      <c r="AL68" s="3">
        <f>0</f>
        <v/>
      </c>
      <c r="AM68" s="3">
        <f>0</f>
        <v/>
      </c>
      <c r="AN68" s="3">
        <f>0</f>
        <v/>
      </c>
      <c r="AO68" s="3">
        <f>0</f>
        <v/>
      </c>
      <c r="AP68" s="3">
        <f>0</f>
        <v/>
      </c>
      <c r="AQ68" s="3">
        <f>0</f>
        <v/>
      </c>
      <c r="AR68" s="3">
        <f>0</f>
        <v/>
      </c>
      <c r="AS68" s="3">
        <f>0</f>
        <v/>
      </c>
      <c r="AT68" s="3">
        <f>0</f>
        <v/>
      </c>
      <c r="AU68" s="3">
        <f>0</f>
        <v/>
      </c>
      <c r="AV68" s="3">
        <f>0</f>
        <v/>
      </c>
      <c r="AW68" s="3">
        <f>0</f>
        <v/>
      </c>
      <c r="AX68" s="3">
        <f>0</f>
        <v/>
      </c>
      <c r="AY68" s="3">
        <f>0</f>
        <v/>
      </c>
      <c r="AZ68" s="3">
        <f>0</f>
        <v/>
      </c>
      <c r="BA68" s="3">
        <f>0</f>
        <v/>
      </c>
      <c r="BB68" s="3">
        <f>0</f>
        <v/>
      </c>
      <c r="BC68" s="3">
        <f>0</f>
        <v/>
      </c>
      <c r="BD68" s="3">
        <f>0</f>
        <v/>
      </c>
      <c r="BE68" s="3">
        <f>0</f>
        <v/>
      </c>
      <c r="BF68" s="3">
        <f>0</f>
        <v/>
      </c>
      <c r="BG68" s="3">
        <f>0</f>
        <v/>
      </c>
      <c r="BH68" s="3">
        <f>0</f>
        <v/>
      </c>
      <c r="BI68" s="3">
        <f>0</f>
        <v/>
      </c>
      <c r="BJ68" s="3">
        <f>0</f>
        <v/>
      </c>
      <c r="BK68" s="3">
        <f>0</f>
        <v/>
      </c>
      <c r="BL68" s="3">
        <f>0</f>
        <v/>
      </c>
      <c r="BM68" s="3">
        <f>0</f>
        <v/>
      </c>
      <c r="BN68" s="3">
        <f>0</f>
        <v/>
      </c>
      <c r="BO68" s="3">
        <f>0</f>
        <v/>
      </c>
      <c r="BP68" s="3">
        <f>0</f>
        <v/>
      </c>
      <c r="BQ68" s="3">
        <f>0</f>
        <v/>
      </c>
      <c r="BR68" s="3">
        <f>0</f>
        <v/>
      </c>
      <c r="BS68" s="3">
        <f>0</f>
        <v/>
      </c>
      <c r="BT68" s="3">
        <f>0</f>
        <v/>
      </c>
      <c r="BU68" s="3">
        <f>0</f>
        <v/>
      </c>
      <c r="BV68" s="3">
        <f>0</f>
        <v/>
      </c>
    </row>
    <row r="69">
      <c r="A69" t="inlineStr">
        <is>
          <t>active</t>
        </is>
      </c>
      <c r="B69" t="inlineStr">
        <is>
          <t>LATAM|NITRO_A</t>
        </is>
      </c>
      <c r="C69" s="3">
        <f>React!$C$68*Curves!$BV$17</f>
        <v/>
      </c>
      <c r="D69" s="3">
        <f>SUMPRODUCT(React!$C$68:$D$68,Curves!$BU$17:$BV$17)</f>
        <v/>
      </c>
      <c r="E69" s="3">
        <f>SUMPRODUCT(React!$C$68:$E$68,Curves!$BT$17:$BV$17)</f>
        <v/>
      </c>
      <c r="F69" s="3">
        <f>SUMPRODUCT(React!$C$68:$F$68,Curves!$BS$17:$BV$17)</f>
        <v/>
      </c>
      <c r="G69" s="3">
        <f>SUMPRODUCT(React!$C$68:$G$68,Curves!$BR$17:$BV$17)</f>
        <v/>
      </c>
      <c r="H69" s="3">
        <f>SUMPRODUCT(React!$C$68:$H$68,Curves!$BQ$17:$BV$17)</f>
        <v/>
      </c>
      <c r="I69" s="3">
        <f>SUMPRODUCT(React!$C$68:$I$68,Curves!$BP$17:$BV$17)</f>
        <v/>
      </c>
      <c r="J69" s="3">
        <f>SUMPRODUCT(React!$C$68:$J$68,Curves!$BO$17:$BV$17)</f>
        <v/>
      </c>
      <c r="K69" s="3">
        <f>SUMPRODUCT(React!$C$68:$K$68,Curves!$BN$17:$BV$17)</f>
        <v/>
      </c>
      <c r="L69" s="3">
        <f>SUMPRODUCT(React!$C$68:$L$68,Curves!$BM$17:$BV$17)</f>
        <v/>
      </c>
      <c r="M69" s="3">
        <f>SUMPRODUCT(React!$C$68:$M$68,Curves!$BL$17:$BV$17)</f>
        <v/>
      </c>
      <c r="N69" s="3">
        <f>SUMPRODUCT(React!$C$68:$N$68,Curves!$BK$17:$BV$17)</f>
        <v/>
      </c>
      <c r="O69" s="3">
        <f>SUMPRODUCT(React!$C$68:$O$68,Curves!$BJ$17:$BV$17)</f>
        <v/>
      </c>
      <c r="P69" s="3">
        <f>SUMPRODUCT(React!$C$68:$P$68,Curves!$BI$17:$BV$17)</f>
        <v/>
      </c>
      <c r="Q69" s="3">
        <f>SUMPRODUCT(React!$C$68:$Q$68,Curves!$BH$17:$BV$17)</f>
        <v/>
      </c>
      <c r="R69" s="3">
        <f>SUMPRODUCT(React!$C$68:$R$68,Curves!$BG$17:$BV$17)</f>
        <v/>
      </c>
      <c r="S69" s="3">
        <f>SUMPRODUCT(React!$C$68:$S$68,Curves!$BF$17:$BV$17)</f>
        <v/>
      </c>
      <c r="T69" s="3">
        <f>SUMPRODUCT(React!$C$68:$T$68,Curves!$BE$17:$BV$17)</f>
        <v/>
      </c>
      <c r="U69" s="3">
        <f>SUMPRODUCT(React!$C$68:$U$68,Curves!$BD$17:$BV$17)</f>
        <v/>
      </c>
      <c r="V69" s="3">
        <f>SUMPRODUCT(React!$C$68:$V$68,Curves!$BC$17:$BV$17)</f>
        <v/>
      </c>
      <c r="W69" s="3">
        <f>SUMPRODUCT(React!$C$68:$W$68,Curves!$BB$17:$BV$17)</f>
        <v/>
      </c>
      <c r="X69" s="3">
        <f>SUMPRODUCT(React!$C$68:$X$68,Curves!$BA$17:$BV$17)</f>
        <v/>
      </c>
      <c r="Y69" s="3">
        <f>SUMPRODUCT(React!$C$68:$Y$68,Curves!$AZ$17:$BV$17)</f>
        <v/>
      </c>
      <c r="Z69" s="3">
        <f>SUMPRODUCT(React!$C$68:$Z$68,Curves!$AY$17:$BV$17)</f>
        <v/>
      </c>
      <c r="AA69" s="3">
        <f>SUMPRODUCT(React!$C$68:$AA$68,Curves!$AX$17:$BV$17)</f>
        <v/>
      </c>
      <c r="AB69" s="3">
        <f>SUMPRODUCT(React!$C$68:$AB$68,Curves!$AW$17:$BV$17)</f>
        <v/>
      </c>
      <c r="AC69" s="3">
        <f>SUMPRODUCT(React!$C$68:$AC$68,Curves!$AV$17:$BV$17)</f>
        <v/>
      </c>
      <c r="AD69" s="3">
        <f>SUMPRODUCT(React!$C$68:$AD$68,Curves!$AU$17:$BV$17)</f>
        <v/>
      </c>
      <c r="AE69" s="3">
        <f>SUMPRODUCT(React!$C$68:$AE$68,Curves!$AT$17:$BV$17)</f>
        <v/>
      </c>
      <c r="AF69" s="3">
        <f>SUMPRODUCT(React!$C$68:$AF$68,Curves!$AS$17:$BV$17)</f>
        <v/>
      </c>
      <c r="AG69" s="3">
        <f>SUMPRODUCT(React!$C$68:$AG$68,Curves!$AR$17:$BV$17)</f>
        <v/>
      </c>
      <c r="AH69" s="3">
        <f>SUMPRODUCT(React!$C$68:$AH$68,Curves!$AQ$17:$BV$17)</f>
        <v/>
      </c>
      <c r="AI69" s="3">
        <f>SUMPRODUCT(React!$C$68:$AI$68,Curves!$AP$17:$BV$17)</f>
        <v/>
      </c>
      <c r="AJ69" s="3">
        <f>SUMPRODUCT(React!$C$68:$AJ$68,Curves!$AO$17:$BV$17)</f>
        <v/>
      </c>
      <c r="AK69" s="3">
        <f>SUMPRODUCT(React!$C$68:$AK$68,Curves!$AN$17:$BV$17)</f>
        <v/>
      </c>
      <c r="AL69" s="3">
        <f>SUMPRODUCT(React!$C$68:$AL$68,Curves!$AM$17:$BV$17)</f>
        <v/>
      </c>
      <c r="AM69" s="3">
        <f>SUMPRODUCT(React!$C$68:$AM$68,Curves!$AL$17:$BV$17)</f>
        <v/>
      </c>
      <c r="AN69" s="3">
        <f>SUMPRODUCT(React!$C$68:$AN$68,Curves!$AK$17:$BV$17)</f>
        <v/>
      </c>
      <c r="AO69" s="3">
        <f>SUMPRODUCT(React!$C$68:$AO$68,Curves!$AJ$17:$BV$17)</f>
        <v/>
      </c>
      <c r="AP69" s="3">
        <f>SUMPRODUCT(React!$C$68:$AP$68,Curves!$AI$17:$BV$17)</f>
        <v/>
      </c>
      <c r="AQ69" s="3">
        <f>SUMPRODUCT(React!$C$68:$AQ$68,Curves!$AH$17:$BV$17)</f>
        <v/>
      </c>
      <c r="AR69" s="3">
        <f>SUMPRODUCT(React!$C$68:$AR$68,Curves!$AG$17:$BV$17)</f>
        <v/>
      </c>
      <c r="AS69" s="3">
        <f>SUMPRODUCT(React!$C$68:$AS$68,Curves!$AF$17:$BV$17)</f>
        <v/>
      </c>
      <c r="AT69" s="3">
        <f>SUMPRODUCT(React!$C$68:$AT$68,Curves!$AE$17:$BV$17)</f>
        <v/>
      </c>
      <c r="AU69" s="3">
        <f>SUMPRODUCT(React!$C$68:$AU$68,Curves!$AD$17:$BV$17)</f>
        <v/>
      </c>
      <c r="AV69" s="3">
        <f>SUMPRODUCT(React!$C$68:$AV$68,Curves!$AC$17:$BV$17)</f>
        <v/>
      </c>
      <c r="AW69" s="3">
        <f>SUMPRODUCT(React!$C$68:$AW$68,Curves!$AB$17:$BV$17)</f>
        <v/>
      </c>
      <c r="AX69" s="3">
        <f>SUMPRODUCT(React!$C$68:$AX$68,Curves!$AA$17:$BV$17)</f>
        <v/>
      </c>
      <c r="AY69" s="3">
        <f>SUMPRODUCT(React!$C$68:$AY$68,Curves!$Z$17:$BV$17)</f>
        <v/>
      </c>
      <c r="AZ69" s="3">
        <f>SUMPRODUCT(React!$C$68:$AZ$68,Curves!$Y$17:$BV$17)</f>
        <v/>
      </c>
      <c r="BA69" s="3">
        <f>SUMPRODUCT(React!$C$68:$BA$68,Curves!$X$17:$BV$17)</f>
        <v/>
      </c>
      <c r="BB69" s="3">
        <f>SUMPRODUCT(React!$C$68:$BB$68,Curves!$W$17:$BV$17)</f>
        <v/>
      </c>
      <c r="BC69" s="3">
        <f>SUMPRODUCT(React!$C$68:$BC$68,Curves!$V$17:$BV$17)</f>
        <v/>
      </c>
      <c r="BD69" s="3">
        <f>SUMPRODUCT(React!$C$68:$BD$68,Curves!$U$17:$BV$17)</f>
        <v/>
      </c>
      <c r="BE69" s="3">
        <f>SUMPRODUCT(React!$C$68:$BE$68,Curves!$T$17:$BV$17)</f>
        <v/>
      </c>
      <c r="BF69" s="3">
        <f>SUMPRODUCT(React!$C$68:$BF$68,Curves!$S$17:$BV$17)</f>
        <v/>
      </c>
      <c r="BG69" s="3">
        <f>SUMPRODUCT(React!$C$68:$BG$68,Curves!$R$17:$BV$17)</f>
        <v/>
      </c>
      <c r="BH69" s="3">
        <f>SUMPRODUCT(React!$C$68:$BH$68,Curves!$Q$17:$BV$17)</f>
        <v/>
      </c>
      <c r="BI69" s="3">
        <f>SUMPRODUCT(React!$C$68:$BI$68,Curves!$P$17:$BV$17)</f>
        <v/>
      </c>
      <c r="BJ69" s="3">
        <f>SUMPRODUCT(React!$C$68:$BJ$68,Curves!$O$17:$BV$17)</f>
        <v/>
      </c>
      <c r="BK69" s="3">
        <f>SUMPRODUCT(React!$C$68:$BK$68,Curves!$N$17:$BV$17)</f>
        <v/>
      </c>
      <c r="BL69" s="3">
        <f>SUMPRODUCT(React!$C$68:$BL$68,Curves!$M$17:$BV$17)</f>
        <v/>
      </c>
      <c r="BM69" s="3">
        <f>SUMPRODUCT(React!$C$68:$BM$68,Curves!$L$17:$BV$17)</f>
        <v/>
      </c>
      <c r="BN69" s="3">
        <f>SUMPRODUCT(React!$C$68:$BN$68,Curves!$K$17:$BV$17)</f>
        <v/>
      </c>
      <c r="BO69" s="3">
        <f>SUMPRODUCT(React!$C$68:$BO$68,Curves!$J$17:$BV$17)</f>
        <v/>
      </c>
      <c r="BP69" s="3">
        <f>SUMPRODUCT(React!$C$68:$BP$68,Curves!$I$17:$BV$17)</f>
        <v/>
      </c>
      <c r="BQ69" s="3">
        <f>SUMPRODUCT(React!$C$68:$BQ$68,Curves!$H$17:$BV$17)</f>
        <v/>
      </c>
      <c r="BR69" s="3">
        <f>SUMPRODUCT(React!$C$68:$BR$68,Curves!$G$17:$BV$17)</f>
        <v/>
      </c>
      <c r="BS69" s="3">
        <f>SUMPRODUCT(React!$C$68:$BS$68,Curves!$F$17:$BV$17)</f>
        <v/>
      </c>
      <c r="BT69" s="3">
        <f>SUMPRODUCT(React!$C$68:$BT$68,Curves!$E$17:$BV$17)</f>
        <v/>
      </c>
      <c r="BU69" s="3">
        <f>SUMPRODUCT(React!$C$68:$BU$68,Curves!$D$17:$BV$17)</f>
        <v/>
      </c>
      <c r="BV69" s="3">
        <f>SUMPRODUCT(React!$C$68:$BV$68,Curves!$C$17:$BV$17)</f>
        <v/>
      </c>
    </row>
    <row r="70">
      <c r="A70" t="inlineStr">
        <is>
          <t>active yr 1</t>
        </is>
      </c>
      <c r="B70" t="inlineStr">
        <is>
          <t>LATAM|NITRO_A</t>
        </is>
      </c>
      <c r="C70" s="3">
        <f>React!$C$68*Curves!$BV$22</f>
        <v/>
      </c>
      <c r="D70" s="3">
        <f>SUMPRODUCT(React!$C$68:$D$68,Curves!$BU$22:$BV$22)</f>
        <v/>
      </c>
      <c r="E70" s="3">
        <f>SUMPRODUCT(React!$C$68:$E$68,Curves!$BT$22:$BV$22)</f>
        <v/>
      </c>
      <c r="F70" s="3">
        <f>SUMPRODUCT(React!$C$68:$F$68,Curves!$BS$22:$BV$22)</f>
        <v/>
      </c>
      <c r="G70" s="3">
        <f>SUMPRODUCT(React!$C$68:$G$68,Curves!$BR$22:$BV$22)</f>
        <v/>
      </c>
      <c r="H70" s="3">
        <f>SUMPRODUCT(React!$C$68:$H$68,Curves!$BQ$22:$BV$22)</f>
        <v/>
      </c>
      <c r="I70" s="3">
        <f>SUMPRODUCT(React!$C$68:$I$68,Curves!$BP$22:$BV$22)</f>
        <v/>
      </c>
      <c r="J70" s="3">
        <f>SUMPRODUCT(React!$C$68:$J$68,Curves!$BO$22:$BV$22)</f>
        <v/>
      </c>
      <c r="K70" s="3">
        <f>SUMPRODUCT(React!$C$68:$K$68,Curves!$BN$22:$BV$22)</f>
        <v/>
      </c>
      <c r="L70" s="3">
        <f>SUMPRODUCT(React!$C$68:$L$68,Curves!$BM$22:$BV$22)</f>
        <v/>
      </c>
      <c r="M70" s="3">
        <f>SUMPRODUCT(React!$C$68:$M$68,Curves!$BL$22:$BV$22)</f>
        <v/>
      </c>
      <c r="N70" s="3">
        <f>SUMPRODUCT(React!$C$68:$N$68,Curves!$BK$22:$BV$22)</f>
        <v/>
      </c>
      <c r="O70" s="3">
        <f>SUMPRODUCT(React!$C$68:$O$68,Curves!$BJ$22:$BV$22)</f>
        <v/>
      </c>
      <c r="P70" s="3">
        <f>SUMPRODUCT(React!$C$68:$P$68,Curves!$BI$22:$BV$22)</f>
        <v/>
      </c>
      <c r="Q70" s="3">
        <f>SUMPRODUCT(React!$C$68:$Q$68,Curves!$BH$22:$BV$22)</f>
        <v/>
      </c>
      <c r="R70" s="3">
        <f>SUMPRODUCT(React!$C$68:$R$68,Curves!$BG$22:$BV$22)</f>
        <v/>
      </c>
      <c r="S70" s="3">
        <f>SUMPRODUCT(React!$C$68:$S$68,Curves!$BF$22:$BV$22)</f>
        <v/>
      </c>
      <c r="T70" s="3">
        <f>SUMPRODUCT(React!$C$68:$T$68,Curves!$BE$22:$BV$22)</f>
        <v/>
      </c>
      <c r="U70" s="3">
        <f>SUMPRODUCT(React!$C$68:$U$68,Curves!$BD$22:$BV$22)</f>
        <v/>
      </c>
      <c r="V70" s="3">
        <f>SUMPRODUCT(React!$C$68:$V$68,Curves!$BC$22:$BV$22)</f>
        <v/>
      </c>
      <c r="W70" s="3">
        <f>SUMPRODUCT(React!$C$68:$W$68,Curves!$BB$22:$BV$22)</f>
        <v/>
      </c>
      <c r="X70" s="3">
        <f>SUMPRODUCT(React!$C$68:$X$68,Curves!$BA$22:$BV$22)</f>
        <v/>
      </c>
      <c r="Y70" s="3">
        <f>SUMPRODUCT(React!$C$68:$Y$68,Curves!$AZ$22:$BV$22)</f>
        <v/>
      </c>
      <c r="Z70" s="3">
        <f>SUMPRODUCT(React!$C$68:$Z$68,Curves!$AY$22:$BV$22)</f>
        <v/>
      </c>
      <c r="AA70" s="3">
        <f>SUMPRODUCT(React!$C$68:$AA$68,Curves!$AX$22:$BV$22)</f>
        <v/>
      </c>
      <c r="AB70" s="3">
        <f>SUMPRODUCT(React!$C$68:$AB$68,Curves!$AW$22:$BV$22)</f>
        <v/>
      </c>
      <c r="AC70" s="3">
        <f>SUMPRODUCT(React!$C$68:$AC$68,Curves!$AV$22:$BV$22)</f>
        <v/>
      </c>
      <c r="AD70" s="3">
        <f>SUMPRODUCT(React!$C$68:$AD$68,Curves!$AU$22:$BV$22)</f>
        <v/>
      </c>
      <c r="AE70" s="3">
        <f>SUMPRODUCT(React!$C$68:$AE$68,Curves!$AT$22:$BV$22)</f>
        <v/>
      </c>
      <c r="AF70" s="3">
        <f>SUMPRODUCT(React!$C$68:$AF$68,Curves!$AS$22:$BV$22)</f>
        <v/>
      </c>
      <c r="AG70" s="3">
        <f>SUMPRODUCT(React!$C$68:$AG$68,Curves!$AR$22:$BV$22)</f>
        <v/>
      </c>
      <c r="AH70" s="3">
        <f>SUMPRODUCT(React!$C$68:$AH$68,Curves!$AQ$22:$BV$22)</f>
        <v/>
      </c>
      <c r="AI70" s="3">
        <f>SUMPRODUCT(React!$C$68:$AI$68,Curves!$AP$22:$BV$22)</f>
        <v/>
      </c>
      <c r="AJ70" s="3">
        <f>SUMPRODUCT(React!$C$68:$AJ$68,Curves!$AO$22:$BV$22)</f>
        <v/>
      </c>
      <c r="AK70" s="3">
        <f>SUMPRODUCT(React!$C$68:$AK$68,Curves!$AN$22:$BV$22)</f>
        <v/>
      </c>
      <c r="AL70" s="3">
        <f>SUMPRODUCT(React!$C$68:$AL$68,Curves!$AM$22:$BV$22)</f>
        <v/>
      </c>
      <c r="AM70" s="3">
        <f>SUMPRODUCT(React!$C$68:$AM$68,Curves!$AL$22:$BV$22)</f>
        <v/>
      </c>
      <c r="AN70" s="3">
        <f>SUMPRODUCT(React!$C$68:$AN$68,Curves!$AK$22:$BV$22)</f>
        <v/>
      </c>
      <c r="AO70" s="3">
        <f>SUMPRODUCT(React!$C$68:$AO$68,Curves!$AJ$22:$BV$22)</f>
        <v/>
      </c>
      <c r="AP70" s="3">
        <f>SUMPRODUCT(React!$C$68:$AP$68,Curves!$AI$22:$BV$22)</f>
        <v/>
      </c>
      <c r="AQ70" s="3">
        <f>SUMPRODUCT(React!$C$68:$AQ$68,Curves!$AH$22:$BV$22)</f>
        <v/>
      </c>
      <c r="AR70" s="3">
        <f>SUMPRODUCT(React!$C$68:$AR$68,Curves!$AG$22:$BV$22)</f>
        <v/>
      </c>
      <c r="AS70" s="3">
        <f>SUMPRODUCT(React!$C$68:$AS$68,Curves!$AF$22:$BV$22)</f>
        <v/>
      </c>
      <c r="AT70" s="3">
        <f>SUMPRODUCT(React!$C$68:$AT$68,Curves!$AE$22:$BV$22)</f>
        <v/>
      </c>
      <c r="AU70" s="3">
        <f>SUMPRODUCT(React!$C$68:$AU$68,Curves!$AD$22:$BV$22)</f>
        <v/>
      </c>
      <c r="AV70" s="3">
        <f>SUMPRODUCT(React!$C$68:$AV$68,Curves!$AC$22:$BV$22)</f>
        <v/>
      </c>
      <c r="AW70" s="3">
        <f>SUMPRODUCT(React!$C$68:$AW$68,Curves!$AB$22:$BV$22)</f>
        <v/>
      </c>
      <c r="AX70" s="3">
        <f>SUMPRODUCT(React!$C$68:$AX$68,Curves!$AA$22:$BV$22)</f>
        <v/>
      </c>
      <c r="AY70" s="3">
        <f>SUMPRODUCT(React!$C$68:$AY$68,Curves!$Z$22:$BV$22)</f>
        <v/>
      </c>
      <c r="AZ70" s="3">
        <f>SUMPRODUCT(React!$C$68:$AZ$68,Curves!$Y$22:$BV$22)</f>
        <v/>
      </c>
      <c r="BA70" s="3">
        <f>SUMPRODUCT(React!$C$68:$BA$68,Curves!$X$22:$BV$22)</f>
        <v/>
      </c>
      <c r="BB70" s="3">
        <f>SUMPRODUCT(React!$C$68:$BB$68,Curves!$W$22:$BV$22)</f>
        <v/>
      </c>
      <c r="BC70" s="3">
        <f>SUMPRODUCT(React!$C$68:$BC$68,Curves!$V$22:$BV$22)</f>
        <v/>
      </c>
      <c r="BD70" s="3">
        <f>SUMPRODUCT(React!$C$68:$BD$68,Curves!$U$22:$BV$22)</f>
        <v/>
      </c>
      <c r="BE70" s="3">
        <f>SUMPRODUCT(React!$C$68:$BE$68,Curves!$T$22:$BV$22)</f>
        <v/>
      </c>
      <c r="BF70" s="3">
        <f>SUMPRODUCT(React!$C$68:$BF$68,Curves!$S$22:$BV$22)</f>
        <v/>
      </c>
      <c r="BG70" s="3">
        <f>SUMPRODUCT(React!$C$68:$BG$68,Curves!$R$22:$BV$22)</f>
        <v/>
      </c>
      <c r="BH70" s="3">
        <f>SUMPRODUCT(React!$C$68:$BH$68,Curves!$Q$22:$BV$22)</f>
        <v/>
      </c>
      <c r="BI70" s="3">
        <f>SUMPRODUCT(React!$C$68:$BI$68,Curves!$P$22:$BV$22)</f>
        <v/>
      </c>
      <c r="BJ70" s="3">
        <f>SUMPRODUCT(React!$C$68:$BJ$68,Curves!$O$22:$BV$22)</f>
        <v/>
      </c>
      <c r="BK70" s="3">
        <f>SUMPRODUCT(React!$C$68:$BK$68,Curves!$N$22:$BV$22)</f>
        <v/>
      </c>
      <c r="BL70" s="3">
        <f>SUMPRODUCT(React!$C$68:$BL$68,Curves!$M$22:$BV$22)</f>
        <v/>
      </c>
      <c r="BM70" s="3">
        <f>SUMPRODUCT(React!$C$68:$BM$68,Curves!$L$22:$BV$22)</f>
        <v/>
      </c>
      <c r="BN70" s="3">
        <f>SUMPRODUCT(React!$C$68:$BN$68,Curves!$K$22:$BV$22)</f>
        <v/>
      </c>
      <c r="BO70" s="3">
        <f>SUMPRODUCT(React!$C$68:$BO$68,Curves!$J$22:$BV$22)</f>
        <v/>
      </c>
      <c r="BP70" s="3">
        <f>SUMPRODUCT(React!$C$68:$BP$68,Curves!$I$22:$BV$22)</f>
        <v/>
      </c>
      <c r="BQ70" s="3">
        <f>SUMPRODUCT(React!$C$68:$BQ$68,Curves!$H$22:$BV$22)</f>
        <v/>
      </c>
      <c r="BR70" s="3">
        <f>SUMPRODUCT(React!$C$68:$BR$68,Curves!$G$22:$BV$22)</f>
        <v/>
      </c>
      <c r="BS70" s="3">
        <f>SUMPRODUCT(React!$C$68:$BS$68,Curves!$F$22:$BV$22)</f>
        <v/>
      </c>
      <c r="BT70" s="3">
        <f>SUMPRODUCT(React!$C$68:$BT$68,Curves!$E$22:$BV$22)</f>
        <v/>
      </c>
      <c r="BU70" s="3">
        <f>SUMPRODUCT(React!$C$68:$BU$68,Curves!$D$22:$BV$22)</f>
        <v/>
      </c>
      <c r="BV70" s="3">
        <f>SUMPRODUCT(React!$C$68:$BV$68,Curves!$C$22:$BV$22)</f>
        <v/>
      </c>
    </row>
    <row r="71">
      <c r="A71" t="inlineStr">
        <is>
          <t>churned</t>
        </is>
      </c>
      <c r="B71" t="inlineStr">
        <is>
          <t>LATAM|NITRO_A</t>
        </is>
      </c>
      <c r="C71" s="3">
        <f>React!$C$68*Curves!$BV$18</f>
        <v/>
      </c>
      <c r="D71" s="3">
        <f>SUMPRODUCT(React!$C$68:$D$68,Curves!$BU$18:$BV$18)</f>
        <v/>
      </c>
      <c r="E71" s="3">
        <f>SUMPRODUCT(React!$C$68:$E$68,Curves!$BT$18:$BV$18)</f>
        <v/>
      </c>
      <c r="F71" s="3">
        <f>SUMPRODUCT(React!$C$68:$F$68,Curves!$BS$18:$BV$18)</f>
        <v/>
      </c>
      <c r="G71" s="3">
        <f>SUMPRODUCT(React!$C$68:$G$68,Curves!$BR$18:$BV$18)</f>
        <v/>
      </c>
      <c r="H71" s="3">
        <f>SUMPRODUCT(React!$C$68:$H$68,Curves!$BQ$18:$BV$18)</f>
        <v/>
      </c>
      <c r="I71" s="3">
        <f>SUMPRODUCT(React!$C$68:$I$68,Curves!$BP$18:$BV$18)</f>
        <v/>
      </c>
      <c r="J71" s="3">
        <f>SUMPRODUCT(React!$C$68:$J$68,Curves!$BO$18:$BV$18)</f>
        <v/>
      </c>
      <c r="K71" s="3">
        <f>SUMPRODUCT(React!$C$68:$K$68,Curves!$BN$18:$BV$18)</f>
        <v/>
      </c>
      <c r="L71" s="3">
        <f>SUMPRODUCT(React!$C$68:$L$68,Curves!$BM$18:$BV$18)</f>
        <v/>
      </c>
      <c r="M71" s="3">
        <f>SUMPRODUCT(React!$C$68:$M$68,Curves!$BL$18:$BV$18)</f>
        <v/>
      </c>
      <c r="N71" s="3">
        <f>SUMPRODUCT(React!$C$68:$N$68,Curves!$BK$18:$BV$18)</f>
        <v/>
      </c>
      <c r="O71" s="3">
        <f>SUMPRODUCT(React!$C$68:$O$68,Curves!$BJ$18:$BV$18)</f>
        <v/>
      </c>
      <c r="P71" s="3">
        <f>SUMPRODUCT(React!$C$68:$P$68,Curves!$BI$18:$BV$18)</f>
        <v/>
      </c>
      <c r="Q71" s="3">
        <f>SUMPRODUCT(React!$C$68:$Q$68,Curves!$BH$18:$BV$18)</f>
        <v/>
      </c>
      <c r="R71" s="3">
        <f>SUMPRODUCT(React!$C$68:$R$68,Curves!$BG$18:$BV$18)</f>
        <v/>
      </c>
      <c r="S71" s="3">
        <f>SUMPRODUCT(React!$C$68:$S$68,Curves!$BF$18:$BV$18)</f>
        <v/>
      </c>
      <c r="T71" s="3">
        <f>SUMPRODUCT(React!$C$68:$T$68,Curves!$BE$18:$BV$18)</f>
        <v/>
      </c>
      <c r="U71" s="3">
        <f>SUMPRODUCT(React!$C$68:$U$68,Curves!$BD$18:$BV$18)</f>
        <v/>
      </c>
      <c r="V71" s="3">
        <f>SUMPRODUCT(React!$C$68:$V$68,Curves!$BC$18:$BV$18)</f>
        <v/>
      </c>
      <c r="W71" s="3">
        <f>SUMPRODUCT(React!$C$68:$W$68,Curves!$BB$18:$BV$18)</f>
        <v/>
      </c>
      <c r="X71" s="3">
        <f>SUMPRODUCT(React!$C$68:$X$68,Curves!$BA$18:$BV$18)</f>
        <v/>
      </c>
      <c r="Y71" s="3">
        <f>SUMPRODUCT(React!$C$68:$Y$68,Curves!$AZ$18:$BV$18)</f>
        <v/>
      </c>
      <c r="Z71" s="3">
        <f>SUMPRODUCT(React!$C$68:$Z$68,Curves!$AY$18:$BV$18)</f>
        <v/>
      </c>
      <c r="AA71" s="3">
        <f>SUMPRODUCT(React!$C$68:$AA$68,Curves!$AX$18:$BV$18)</f>
        <v/>
      </c>
      <c r="AB71" s="3">
        <f>SUMPRODUCT(React!$C$68:$AB$68,Curves!$AW$18:$BV$18)</f>
        <v/>
      </c>
      <c r="AC71" s="3">
        <f>SUMPRODUCT(React!$C$68:$AC$68,Curves!$AV$18:$BV$18)</f>
        <v/>
      </c>
      <c r="AD71" s="3">
        <f>SUMPRODUCT(React!$C$68:$AD$68,Curves!$AU$18:$BV$18)</f>
        <v/>
      </c>
      <c r="AE71" s="3">
        <f>SUMPRODUCT(React!$C$68:$AE$68,Curves!$AT$18:$BV$18)</f>
        <v/>
      </c>
      <c r="AF71" s="3">
        <f>SUMPRODUCT(React!$C$68:$AF$68,Curves!$AS$18:$BV$18)</f>
        <v/>
      </c>
      <c r="AG71" s="3">
        <f>SUMPRODUCT(React!$C$68:$AG$68,Curves!$AR$18:$BV$18)</f>
        <v/>
      </c>
      <c r="AH71" s="3">
        <f>SUMPRODUCT(React!$C$68:$AH$68,Curves!$AQ$18:$BV$18)</f>
        <v/>
      </c>
      <c r="AI71" s="3">
        <f>SUMPRODUCT(React!$C$68:$AI$68,Curves!$AP$18:$BV$18)</f>
        <v/>
      </c>
      <c r="AJ71" s="3">
        <f>SUMPRODUCT(React!$C$68:$AJ$68,Curves!$AO$18:$BV$18)</f>
        <v/>
      </c>
      <c r="AK71" s="3">
        <f>SUMPRODUCT(React!$C$68:$AK$68,Curves!$AN$18:$BV$18)</f>
        <v/>
      </c>
      <c r="AL71" s="3">
        <f>SUMPRODUCT(React!$C$68:$AL$68,Curves!$AM$18:$BV$18)</f>
        <v/>
      </c>
      <c r="AM71" s="3">
        <f>SUMPRODUCT(React!$C$68:$AM$68,Curves!$AL$18:$BV$18)</f>
        <v/>
      </c>
      <c r="AN71" s="3">
        <f>SUMPRODUCT(React!$C$68:$AN$68,Curves!$AK$18:$BV$18)</f>
        <v/>
      </c>
      <c r="AO71" s="3">
        <f>SUMPRODUCT(React!$C$68:$AO$68,Curves!$AJ$18:$BV$18)</f>
        <v/>
      </c>
      <c r="AP71" s="3">
        <f>SUMPRODUCT(React!$C$68:$AP$68,Curves!$AI$18:$BV$18)</f>
        <v/>
      </c>
      <c r="AQ71" s="3">
        <f>SUMPRODUCT(React!$C$68:$AQ$68,Curves!$AH$18:$BV$18)</f>
        <v/>
      </c>
      <c r="AR71" s="3">
        <f>SUMPRODUCT(React!$C$68:$AR$68,Curves!$AG$18:$BV$18)</f>
        <v/>
      </c>
      <c r="AS71" s="3">
        <f>SUMPRODUCT(React!$C$68:$AS$68,Curves!$AF$18:$BV$18)</f>
        <v/>
      </c>
      <c r="AT71" s="3">
        <f>SUMPRODUCT(React!$C$68:$AT$68,Curves!$AE$18:$BV$18)</f>
        <v/>
      </c>
      <c r="AU71" s="3">
        <f>SUMPRODUCT(React!$C$68:$AU$68,Curves!$AD$18:$BV$18)</f>
        <v/>
      </c>
      <c r="AV71" s="3">
        <f>SUMPRODUCT(React!$C$68:$AV$68,Curves!$AC$18:$BV$18)</f>
        <v/>
      </c>
      <c r="AW71" s="3">
        <f>SUMPRODUCT(React!$C$68:$AW$68,Curves!$AB$18:$BV$18)</f>
        <v/>
      </c>
      <c r="AX71" s="3">
        <f>SUMPRODUCT(React!$C$68:$AX$68,Curves!$AA$18:$BV$18)</f>
        <v/>
      </c>
      <c r="AY71" s="3">
        <f>SUMPRODUCT(React!$C$68:$AY$68,Curves!$Z$18:$BV$18)</f>
        <v/>
      </c>
      <c r="AZ71" s="3">
        <f>SUMPRODUCT(React!$C$68:$AZ$68,Curves!$Y$18:$BV$18)</f>
        <v/>
      </c>
      <c r="BA71" s="3">
        <f>SUMPRODUCT(React!$C$68:$BA$68,Curves!$X$18:$BV$18)</f>
        <v/>
      </c>
      <c r="BB71" s="3">
        <f>SUMPRODUCT(React!$C$68:$BB$68,Curves!$W$18:$BV$18)</f>
        <v/>
      </c>
      <c r="BC71" s="3">
        <f>SUMPRODUCT(React!$C$68:$BC$68,Curves!$V$18:$BV$18)</f>
        <v/>
      </c>
      <c r="BD71" s="3">
        <f>SUMPRODUCT(React!$C$68:$BD$68,Curves!$U$18:$BV$18)</f>
        <v/>
      </c>
      <c r="BE71" s="3">
        <f>SUMPRODUCT(React!$C$68:$BE$68,Curves!$T$18:$BV$18)</f>
        <v/>
      </c>
      <c r="BF71" s="3">
        <f>SUMPRODUCT(React!$C$68:$BF$68,Curves!$S$18:$BV$18)</f>
        <v/>
      </c>
      <c r="BG71" s="3">
        <f>SUMPRODUCT(React!$C$68:$BG$68,Curves!$R$18:$BV$18)</f>
        <v/>
      </c>
      <c r="BH71" s="3">
        <f>SUMPRODUCT(React!$C$68:$BH$68,Curves!$Q$18:$BV$18)</f>
        <v/>
      </c>
      <c r="BI71" s="3">
        <f>SUMPRODUCT(React!$C$68:$BI$68,Curves!$P$18:$BV$18)</f>
        <v/>
      </c>
      <c r="BJ71" s="3">
        <f>SUMPRODUCT(React!$C$68:$BJ$68,Curves!$O$18:$BV$18)</f>
        <v/>
      </c>
      <c r="BK71" s="3">
        <f>SUMPRODUCT(React!$C$68:$BK$68,Curves!$N$18:$BV$18)</f>
        <v/>
      </c>
      <c r="BL71" s="3">
        <f>SUMPRODUCT(React!$C$68:$BL$68,Curves!$M$18:$BV$18)</f>
        <v/>
      </c>
      <c r="BM71" s="3">
        <f>SUMPRODUCT(React!$C$68:$BM$68,Curves!$L$18:$BV$18)</f>
        <v/>
      </c>
      <c r="BN71" s="3">
        <f>SUMPRODUCT(React!$C$68:$BN$68,Curves!$K$18:$BV$18)</f>
        <v/>
      </c>
      <c r="BO71" s="3">
        <f>SUMPRODUCT(React!$C$68:$BO$68,Curves!$J$18:$BV$18)</f>
        <v/>
      </c>
      <c r="BP71" s="3">
        <f>SUMPRODUCT(React!$C$68:$BP$68,Curves!$I$18:$BV$18)</f>
        <v/>
      </c>
      <c r="BQ71" s="3">
        <f>SUMPRODUCT(React!$C$68:$BQ$68,Curves!$H$18:$BV$18)</f>
        <v/>
      </c>
      <c r="BR71" s="3">
        <f>SUMPRODUCT(React!$C$68:$BR$68,Curves!$G$18:$BV$18)</f>
        <v/>
      </c>
      <c r="BS71" s="3">
        <f>SUMPRODUCT(React!$C$68:$BS$68,Curves!$F$18:$BV$18)</f>
        <v/>
      </c>
      <c r="BT71" s="3">
        <f>SUMPRODUCT(React!$C$68:$BT$68,Curves!$E$18:$BV$18)</f>
        <v/>
      </c>
      <c r="BU71" s="3">
        <f>SUMPRODUCT(React!$C$68:$BU$68,Curves!$D$18:$BV$18)</f>
        <v/>
      </c>
      <c r="BV71" s="3">
        <f>SUMPRODUCT(React!$C$68:$BV$68,Curves!$C$18:$BV$18)</f>
        <v/>
      </c>
    </row>
    <row r="73">
      <c r="A73" t="inlineStr">
        <is>
          <t>churn pool inflow</t>
        </is>
      </c>
      <c r="B73" t="inlineStr">
        <is>
          <t>LATAM|BASIC_M</t>
        </is>
      </c>
      <c r="C73" s="3">
        <f>Paid!C45+Legacy!C47</f>
        <v/>
      </c>
      <c r="D73" s="3">
        <f>Paid!D45+Legacy!D47</f>
        <v/>
      </c>
      <c r="E73" s="3">
        <f>Paid!E45+Legacy!E47</f>
        <v/>
      </c>
      <c r="F73" s="3">
        <f>Paid!F45+Legacy!F47</f>
        <v/>
      </c>
      <c r="G73" s="3">
        <f>Paid!G45+Legacy!G47</f>
        <v/>
      </c>
      <c r="H73" s="3">
        <f>Paid!H45+Legacy!H47</f>
        <v/>
      </c>
      <c r="I73" s="3">
        <f>Paid!I45+Legacy!I47</f>
        <v/>
      </c>
      <c r="J73" s="3">
        <f>Paid!J45+Legacy!J47</f>
        <v/>
      </c>
      <c r="K73" s="3">
        <f>Paid!K45+Legacy!K47</f>
        <v/>
      </c>
      <c r="L73" s="3">
        <f>Paid!L45+Legacy!L47</f>
        <v/>
      </c>
      <c r="M73" s="3">
        <f>Paid!M45+Legacy!M47</f>
        <v/>
      </c>
      <c r="N73" s="3">
        <f>Paid!N45+Legacy!N47</f>
        <v/>
      </c>
      <c r="O73" s="3">
        <f>Paid!O45+Legacy!O47</f>
        <v/>
      </c>
      <c r="P73" s="3">
        <f>Paid!P45+Legacy!P47</f>
        <v/>
      </c>
      <c r="Q73" s="3">
        <f>Paid!Q45+Legacy!Q47</f>
        <v/>
      </c>
      <c r="R73" s="3">
        <f>Paid!R45+Legacy!R47</f>
        <v/>
      </c>
      <c r="S73" s="3">
        <f>Paid!S45+Legacy!S47</f>
        <v/>
      </c>
      <c r="T73" s="3">
        <f>Paid!T45+Legacy!T47</f>
        <v/>
      </c>
      <c r="U73" s="3">
        <f>Paid!U45+Legacy!U47</f>
        <v/>
      </c>
      <c r="V73" s="3">
        <f>Paid!V45+Legacy!V47</f>
        <v/>
      </c>
      <c r="W73" s="3">
        <f>Paid!W45+Legacy!W47</f>
        <v/>
      </c>
      <c r="X73" s="3">
        <f>Paid!X45+Legacy!X47</f>
        <v/>
      </c>
      <c r="Y73" s="3">
        <f>Paid!Y45+Legacy!Y47</f>
        <v/>
      </c>
      <c r="Z73" s="3">
        <f>Paid!Z45+Legacy!Z47</f>
        <v/>
      </c>
      <c r="AA73" s="3">
        <f>Paid!AA45+Legacy!AA47</f>
        <v/>
      </c>
      <c r="AB73" s="3">
        <f>Paid!AB45+Legacy!AB47</f>
        <v/>
      </c>
      <c r="AC73" s="3">
        <f>Paid!AC45+Legacy!AC47</f>
        <v/>
      </c>
      <c r="AD73" s="3">
        <f>Paid!AD45+Legacy!AD47</f>
        <v/>
      </c>
      <c r="AE73" s="3">
        <f>Paid!AE45+Legacy!AE47</f>
        <v/>
      </c>
      <c r="AF73" s="3">
        <f>Paid!AF45+Legacy!AF47</f>
        <v/>
      </c>
      <c r="AG73" s="3">
        <f>Paid!AG45+Legacy!AG47</f>
        <v/>
      </c>
      <c r="AH73" s="3">
        <f>Paid!AH45+Legacy!AH47</f>
        <v/>
      </c>
      <c r="AI73" s="3">
        <f>Paid!AI45+Legacy!AI47</f>
        <v/>
      </c>
      <c r="AJ73" s="3">
        <f>Paid!AJ45+Legacy!AJ47</f>
        <v/>
      </c>
      <c r="AK73" s="3">
        <f>Paid!AK45+Legacy!AK47</f>
        <v/>
      </c>
      <c r="AL73" s="3">
        <f>Paid!AL45+Legacy!AL47</f>
        <v/>
      </c>
      <c r="AM73" s="3">
        <f>Paid!AM45+Legacy!AM47</f>
        <v/>
      </c>
      <c r="AN73" s="3">
        <f>Paid!AN45+Legacy!AN47</f>
        <v/>
      </c>
      <c r="AO73" s="3">
        <f>Paid!AO45+Legacy!AO47</f>
        <v/>
      </c>
      <c r="AP73" s="3">
        <f>Paid!AP45+Legacy!AP47</f>
        <v/>
      </c>
      <c r="AQ73" s="3">
        <f>Paid!AQ45+Legacy!AQ47</f>
        <v/>
      </c>
      <c r="AR73" s="3">
        <f>Paid!AR45+Legacy!AR47</f>
        <v/>
      </c>
      <c r="AS73" s="3">
        <f>Paid!AS45+Legacy!AS47</f>
        <v/>
      </c>
      <c r="AT73" s="3">
        <f>Paid!AT45+Legacy!AT47</f>
        <v/>
      </c>
      <c r="AU73" s="3">
        <f>Paid!AU45+Legacy!AU47</f>
        <v/>
      </c>
      <c r="AV73" s="3">
        <f>Paid!AV45+Legacy!AV47</f>
        <v/>
      </c>
      <c r="AW73" s="3">
        <f>Paid!AW45+Legacy!AW47</f>
        <v/>
      </c>
      <c r="AX73" s="3">
        <f>Paid!AX45+Legacy!AX47</f>
        <v/>
      </c>
      <c r="AY73" s="3">
        <f>Paid!AY45+Legacy!AY47</f>
        <v/>
      </c>
      <c r="AZ73" s="3">
        <f>Paid!AZ45+Legacy!AZ47</f>
        <v/>
      </c>
      <c r="BA73" s="3">
        <f>Paid!BA45+Legacy!BA47</f>
        <v/>
      </c>
      <c r="BB73" s="3">
        <f>Paid!BB45+Legacy!BB47</f>
        <v/>
      </c>
      <c r="BC73" s="3">
        <f>Paid!BC45+Legacy!BC47</f>
        <v/>
      </c>
      <c r="BD73" s="3">
        <f>Paid!BD45+Legacy!BD47</f>
        <v/>
      </c>
      <c r="BE73" s="3">
        <f>Paid!BE45+Legacy!BE47</f>
        <v/>
      </c>
      <c r="BF73" s="3">
        <f>Paid!BF45+Legacy!BF47</f>
        <v/>
      </c>
      <c r="BG73" s="3">
        <f>Paid!BG45+Legacy!BG47</f>
        <v/>
      </c>
      <c r="BH73" s="3">
        <f>Paid!BH45+Legacy!BH47</f>
        <v/>
      </c>
      <c r="BI73" s="3">
        <f>Paid!BI45+Legacy!BI47</f>
        <v/>
      </c>
      <c r="BJ73" s="3">
        <f>Paid!BJ45+Legacy!BJ47</f>
        <v/>
      </c>
      <c r="BK73" s="3">
        <f>Paid!BK45+Legacy!BK47</f>
        <v/>
      </c>
      <c r="BL73" s="3">
        <f>Paid!BL45+Legacy!BL47</f>
        <v/>
      </c>
      <c r="BM73" s="3">
        <f>Paid!BM45+Legacy!BM47</f>
        <v/>
      </c>
      <c r="BN73" s="3">
        <f>Paid!BN45+Legacy!BN47</f>
        <v/>
      </c>
      <c r="BO73" s="3">
        <f>Paid!BO45+Legacy!BO47</f>
        <v/>
      </c>
      <c r="BP73" s="3">
        <f>Paid!BP45+Legacy!BP47</f>
        <v/>
      </c>
      <c r="BQ73" s="3">
        <f>Paid!BQ45+Legacy!BQ47</f>
        <v/>
      </c>
      <c r="BR73" s="3">
        <f>Paid!BR45+Legacy!BR47</f>
        <v/>
      </c>
      <c r="BS73" s="3">
        <f>Paid!BS45+Legacy!BS47</f>
        <v/>
      </c>
      <c r="BT73" s="3">
        <f>Paid!BT45+Legacy!BT47</f>
        <v/>
      </c>
      <c r="BU73" s="3">
        <f>Paid!BU45+Legacy!BU47</f>
        <v/>
      </c>
      <c r="BV73" s="3">
        <f>Paid!BV45+Legacy!BV47</f>
        <v/>
      </c>
    </row>
    <row r="74">
      <c r="A74" t="inlineStr">
        <is>
          <t>reactivations out</t>
        </is>
      </c>
      <c r="B74" t="inlineStr">
        <is>
          <t>LATAM|BASIC_M</t>
        </is>
      </c>
      <c r="C74" s="3">
        <f>React!$C$73*Curves!$BV$19</f>
        <v/>
      </c>
      <c r="D74" s="3">
        <f>SUMPRODUCT(React!$C$73:$D$73,Curves!$BU$19:$BV$19)</f>
        <v/>
      </c>
      <c r="E74" s="3">
        <f>SUMPRODUCT(React!$C$73:$E$73,Curves!$BT$19:$BV$19)</f>
        <v/>
      </c>
      <c r="F74" s="3">
        <f>SUMPRODUCT(React!$C$73:$F$73,Curves!$BS$19:$BV$19)</f>
        <v/>
      </c>
      <c r="G74" s="3">
        <f>SUMPRODUCT(React!$C$73:$G$73,Curves!$BR$19:$BV$19)</f>
        <v/>
      </c>
      <c r="H74" s="3">
        <f>SUMPRODUCT(React!$C$73:$H$73,Curves!$BQ$19:$BV$19)</f>
        <v/>
      </c>
      <c r="I74" s="3">
        <f>SUMPRODUCT(React!$C$73:$I$73,Curves!$BP$19:$BV$19)</f>
        <v/>
      </c>
      <c r="J74" s="3">
        <f>SUMPRODUCT(React!$C$73:$J$73,Curves!$BO$19:$BV$19)</f>
        <v/>
      </c>
      <c r="K74" s="3">
        <f>SUMPRODUCT(React!$C$73:$K$73,Curves!$BN$19:$BV$19)</f>
        <v/>
      </c>
      <c r="L74" s="3">
        <f>SUMPRODUCT(React!$C$73:$L$73,Curves!$BM$19:$BV$19)</f>
        <v/>
      </c>
      <c r="M74" s="3">
        <f>SUMPRODUCT(React!$C$73:$M$73,Curves!$BL$19:$BV$19)</f>
        <v/>
      </c>
      <c r="N74" s="3">
        <f>SUMPRODUCT(React!$C$73:$N$73,Curves!$BK$19:$BV$19)</f>
        <v/>
      </c>
      <c r="O74" s="3">
        <f>SUMPRODUCT(React!$C$73:$O$73,Curves!$BJ$19:$BV$19)</f>
        <v/>
      </c>
      <c r="P74" s="3">
        <f>SUMPRODUCT(React!$C$73:$P$73,Curves!$BI$19:$BV$19)</f>
        <v/>
      </c>
      <c r="Q74" s="3">
        <f>SUMPRODUCT(React!$C$73:$Q$73,Curves!$BH$19:$BV$19)</f>
        <v/>
      </c>
      <c r="R74" s="3">
        <f>SUMPRODUCT(React!$C$73:$R$73,Curves!$BG$19:$BV$19)</f>
        <v/>
      </c>
      <c r="S74" s="3">
        <f>SUMPRODUCT(React!$C$73:$S$73,Curves!$BF$19:$BV$19)</f>
        <v/>
      </c>
      <c r="T74" s="3">
        <f>SUMPRODUCT(React!$C$73:$T$73,Curves!$BE$19:$BV$19)</f>
        <v/>
      </c>
      <c r="U74" s="3">
        <f>SUMPRODUCT(React!$C$73:$U$73,Curves!$BD$19:$BV$19)</f>
        <v/>
      </c>
      <c r="V74" s="3">
        <f>SUMPRODUCT(React!$C$73:$V$73,Curves!$BC$19:$BV$19)</f>
        <v/>
      </c>
      <c r="W74" s="3">
        <f>SUMPRODUCT(React!$C$73:$W$73,Curves!$BB$19:$BV$19)</f>
        <v/>
      </c>
      <c r="X74" s="3">
        <f>SUMPRODUCT(React!$C$73:$X$73,Curves!$BA$19:$BV$19)</f>
        <v/>
      </c>
      <c r="Y74" s="3">
        <f>SUMPRODUCT(React!$C$73:$Y$73,Curves!$AZ$19:$BV$19)</f>
        <v/>
      </c>
      <c r="Z74" s="3">
        <f>SUMPRODUCT(React!$C$73:$Z$73,Curves!$AY$19:$BV$19)</f>
        <v/>
      </c>
      <c r="AA74" s="3">
        <f>SUMPRODUCT(React!$C$73:$AA$73,Curves!$AX$19:$BV$19)</f>
        <v/>
      </c>
      <c r="AB74" s="3">
        <f>SUMPRODUCT(React!$C$73:$AB$73,Curves!$AW$19:$BV$19)</f>
        <v/>
      </c>
      <c r="AC74" s="3">
        <f>SUMPRODUCT(React!$C$73:$AC$73,Curves!$AV$19:$BV$19)</f>
        <v/>
      </c>
      <c r="AD74" s="3">
        <f>SUMPRODUCT(React!$C$73:$AD$73,Curves!$AU$19:$BV$19)</f>
        <v/>
      </c>
      <c r="AE74" s="3">
        <f>SUMPRODUCT(React!$C$73:$AE$73,Curves!$AT$19:$BV$19)</f>
        <v/>
      </c>
      <c r="AF74" s="3">
        <f>SUMPRODUCT(React!$C$73:$AF$73,Curves!$AS$19:$BV$19)</f>
        <v/>
      </c>
      <c r="AG74" s="3">
        <f>SUMPRODUCT(React!$C$73:$AG$73,Curves!$AR$19:$BV$19)</f>
        <v/>
      </c>
      <c r="AH74" s="3">
        <f>SUMPRODUCT(React!$C$73:$AH$73,Curves!$AQ$19:$BV$19)</f>
        <v/>
      </c>
      <c r="AI74" s="3">
        <f>SUMPRODUCT(React!$C$73:$AI$73,Curves!$AP$19:$BV$19)</f>
        <v/>
      </c>
      <c r="AJ74" s="3">
        <f>SUMPRODUCT(React!$C$73:$AJ$73,Curves!$AO$19:$BV$19)</f>
        <v/>
      </c>
      <c r="AK74" s="3">
        <f>SUMPRODUCT(React!$C$73:$AK$73,Curves!$AN$19:$BV$19)</f>
        <v/>
      </c>
      <c r="AL74" s="3">
        <f>SUMPRODUCT(React!$C$73:$AL$73,Curves!$AM$19:$BV$19)</f>
        <v/>
      </c>
      <c r="AM74" s="3">
        <f>SUMPRODUCT(React!$C$73:$AM$73,Curves!$AL$19:$BV$19)</f>
        <v/>
      </c>
      <c r="AN74" s="3">
        <f>SUMPRODUCT(React!$C$73:$AN$73,Curves!$AK$19:$BV$19)</f>
        <v/>
      </c>
      <c r="AO74" s="3">
        <f>SUMPRODUCT(React!$C$73:$AO$73,Curves!$AJ$19:$BV$19)</f>
        <v/>
      </c>
      <c r="AP74" s="3">
        <f>SUMPRODUCT(React!$C$73:$AP$73,Curves!$AI$19:$BV$19)</f>
        <v/>
      </c>
      <c r="AQ74" s="3">
        <f>SUMPRODUCT(React!$C$73:$AQ$73,Curves!$AH$19:$BV$19)</f>
        <v/>
      </c>
      <c r="AR74" s="3">
        <f>SUMPRODUCT(React!$C$73:$AR$73,Curves!$AG$19:$BV$19)</f>
        <v/>
      </c>
      <c r="AS74" s="3">
        <f>SUMPRODUCT(React!$C$73:$AS$73,Curves!$AF$19:$BV$19)</f>
        <v/>
      </c>
      <c r="AT74" s="3">
        <f>SUMPRODUCT(React!$C$73:$AT$73,Curves!$AE$19:$BV$19)</f>
        <v/>
      </c>
      <c r="AU74" s="3">
        <f>SUMPRODUCT(React!$C$73:$AU$73,Curves!$AD$19:$BV$19)</f>
        <v/>
      </c>
      <c r="AV74" s="3">
        <f>SUMPRODUCT(React!$C$73:$AV$73,Curves!$AC$19:$BV$19)</f>
        <v/>
      </c>
      <c r="AW74" s="3">
        <f>SUMPRODUCT(React!$C$73:$AW$73,Curves!$AB$19:$BV$19)</f>
        <v/>
      </c>
      <c r="AX74" s="3">
        <f>SUMPRODUCT(React!$C$73:$AX$73,Curves!$AA$19:$BV$19)</f>
        <v/>
      </c>
      <c r="AY74" s="3">
        <f>SUMPRODUCT(React!$C$73:$AY$73,Curves!$Z$19:$BV$19)</f>
        <v/>
      </c>
      <c r="AZ74" s="3">
        <f>SUMPRODUCT(React!$C$73:$AZ$73,Curves!$Y$19:$BV$19)</f>
        <v/>
      </c>
      <c r="BA74" s="3">
        <f>SUMPRODUCT(React!$C$73:$BA$73,Curves!$X$19:$BV$19)</f>
        <v/>
      </c>
      <c r="BB74" s="3">
        <f>SUMPRODUCT(React!$C$73:$BB$73,Curves!$W$19:$BV$19)</f>
        <v/>
      </c>
      <c r="BC74" s="3">
        <f>SUMPRODUCT(React!$C$73:$BC$73,Curves!$V$19:$BV$19)</f>
        <v/>
      </c>
      <c r="BD74" s="3">
        <f>SUMPRODUCT(React!$C$73:$BD$73,Curves!$U$19:$BV$19)</f>
        <v/>
      </c>
      <c r="BE74" s="3">
        <f>SUMPRODUCT(React!$C$73:$BE$73,Curves!$T$19:$BV$19)</f>
        <v/>
      </c>
      <c r="BF74" s="3">
        <f>SUMPRODUCT(React!$C$73:$BF$73,Curves!$S$19:$BV$19)</f>
        <v/>
      </c>
      <c r="BG74" s="3">
        <f>SUMPRODUCT(React!$C$73:$BG$73,Curves!$R$19:$BV$19)</f>
        <v/>
      </c>
      <c r="BH74" s="3">
        <f>SUMPRODUCT(React!$C$73:$BH$73,Curves!$Q$19:$BV$19)</f>
        <v/>
      </c>
      <c r="BI74" s="3">
        <f>SUMPRODUCT(React!$C$73:$BI$73,Curves!$P$19:$BV$19)</f>
        <v/>
      </c>
      <c r="BJ74" s="3">
        <f>SUMPRODUCT(React!$C$73:$BJ$73,Curves!$O$19:$BV$19)</f>
        <v/>
      </c>
      <c r="BK74" s="3">
        <f>SUMPRODUCT(React!$C$73:$BK$73,Curves!$N$19:$BV$19)</f>
        <v/>
      </c>
      <c r="BL74" s="3">
        <f>SUMPRODUCT(React!$C$73:$BL$73,Curves!$M$19:$BV$19)</f>
        <v/>
      </c>
      <c r="BM74" s="3">
        <f>SUMPRODUCT(React!$C$73:$BM$73,Curves!$L$19:$BV$19)</f>
        <v/>
      </c>
      <c r="BN74" s="3">
        <f>SUMPRODUCT(React!$C$73:$BN$73,Curves!$K$19:$BV$19)</f>
        <v/>
      </c>
      <c r="BO74" s="3">
        <f>SUMPRODUCT(React!$C$73:$BO$73,Curves!$J$19:$BV$19)</f>
        <v/>
      </c>
      <c r="BP74" s="3">
        <f>SUMPRODUCT(React!$C$73:$BP$73,Curves!$I$19:$BV$19)</f>
        <v/>
      </c>
      <c r="BQ74" s="3">
        <f>SUMPRODUCT(React!$C$73:$BQ$73,Curves!$H$19:$BV$19)</f>
        <v/>
      </c>
      <c r="BR74" s="3">
        <f>SUMPRODUCT(React!$C$73:$BR$73,Curves!$G$19:$BV$19)</f>
        <v/>
      </c>
      <c r="BS74" s="3">
        <f>SUMPRODUCT(React!$C$73:$BS$73,Curves!$F$19:$BV$19)</f>
        <v/>
      </c>
      <c r="BT74" s="3">
        <f>SUMPRODUCT(React!$C$73:$BT$73,Curves!$E$19:$BV$19)</f>
        <v/>
      </c>
      <c r="BU74" s="3">
        <f>SUMPRODUCT(React!$C$73:$BU$73,Curves!$D$19:$BV$19)</f>
        <v/>
      </c>
      <c r="BV74" s="3">
        <f>SUMPRODUCT(React!$C$73:$BV$73,Curves!$C$19:$BV$19)</f>
        <v/>
      </c>
    </row>
    <row r="75">
      <c r="A75" t="inlineStr">
        <is>
          <t>reactivated in</t>
        </is>
      </c>
      <c r="B75" t="inlineStr">
        <is>
          <t>LATAM|BASIC_M</t>
        </is>
      </c>
      <c r="C75" s="3">
        <f>C74+C81</f>
        <v/>
      </c>
      <c r="D75" s="3">
        <f>D74+D81</f>
        <v/>
      </c>
      <c r="E75" s="3">
        <f>E74+E81</f>
        <v/>
      </c>
      <c r="F75" s="3">
        <f>F74+F81</f>
        <v/>
      </c>
      <c r="G75" s="3">
        <f>G74+G81</f>
        <v/>
      </c>
      <c r="H75" s="3">
        <f>H74+H81</f>
        <v/>
      </c>
      <c r="I75" s="3">
        <f>I74+I81</f>
        <v/>
      </c>
      <c r="J75" s="3">
        <f>J74+J81</f>
        <v/>
      </c>
      <c r="K75" s="3">
        <f>K74+K81</f>
        <v/>
      </c>
      <c r="L75" s="3">
        <f>L74+L81</f>
        <v/>
      </c>
      <c r="M75" s="3">
        <f>M74+M81</f>
        <v/>
      </c>
      <c r="N75" s="3">
        <f>N74+N81</f>
        <v/>
      </c>
      <c r="O75" s="3">
        <f>O74+O81</f>
        <v/>
      </c>
      <c r="P75" s="3">
        <f>P74+P81</f>
        <v/>
      </c>
      <c r="Q75" s="3">
        <f>Q74+Q81</f>
        <v/>
      </c>
      <c r="R75" s="3">
        <f>R74+R81</f>
        <v/>
      </c>
      <c r="S75" s="3">
        <f>S74+S81</f>
        <v/>
      </c>
      <c r="T75" s="3">
        <f>T74+T81</f>
        <v/>
      </c>
      <c r="U75" s="3">
        <f>U74+U81</f>
        <v/>
      </c>
      <c r="V75" s="3">
        <f>V74+V81</f>
        <v/>
      </c>
      <c r="W75" s="3">
        <f>W74+W81</f>
        <v/>
      </c>
      <c r="X75" s="3">
        <f>X74+X81</f>
        <v/>
      </c>
      <c r="Y75" s="3">
        <f>Y74+Y81</f>
        <v/>
      </c>
      <c r="Z75" s="3">
        <f>Z74+Z81</f>
        <v/>
      </c>
      <c r="AA75" s="3">
        <f>AA74+AA81</f>
        <v/>
      </c>
      <c r="AB75" s="3">
        <f>AB74+AB81</f>
        <v/>
      </c>
      <c r="AC75" s="3">
        <f>AC74+AC81</f>
        <v/>
      </c>
      <c r="AD75" s="3">
        <f>AD74+AD81</f>
        <v/>
      </c>
      <c r="AE75" s="3">
        <f>AE74+AE81</f>
        <v/>
      </c>
      <c r="AF75" s="3">
        <f>AF74+AF81</f>
        <v/>
      </c>
      <c r="AG75" s="3">
        <f>AG74+AG81</f>
        <v/>
      </c>
      <c r="AH75" s="3">
        <f>AH74+AH81</f>
        <v/>
      </c>
      <c r="AI75" s="3">
        <f>AI74+AI81</f>
        <v/>
      </c>
      <c r="AJ75" s="3">
        <f>AJ74+AJ81</f>
        <v/>
      </c>
      <c r="AK75" s="3">
        <f>AK74+AK81</f>
        <v/>
      </c>
      <c r="AL75" s="3">
        <f>AL74+AL81</f>
        <v/>
      </c>
      <c r="AM75" s="3">
        <f>AM74+AM81</f>
        <v/>
      </c>
      <c r="AN75" s="3">
        <f>AN74+AN81</f>
        <v/>
      </c>
      <c r="AO75" s="3">
        <f>AO74+AO81</f>
        <v/>
      </c>
      <c r="AP75" s="3">
        <f>AP74+AP81</f>
        <v/>
      </c>
      <c r="AQ75" s="3">
        <f>AQ74+AQ81</f>
        <v/>
      </c>
      <c r="AR75" s="3">
        <f>AR74+AR81</f>
        <v/>
      </c>
      <c r="AS75" s="3">
        <f>AS74+AS81</f>
        <v/>
      </c>
      <c r="AT75" s="3">
        <f>AT74+AT81</f>
        <v/>
      </c>
      <c r="AU75" s="3">
        <f>AU74+AU81</f>
        <v/>
      </c>
      <c r="AV75" s="3">
        <f>AV74+AV81</f>
        <v/>
      </c>
      <c r="AW75" s="3">
        <f>AW74+AW81</f>
        <v/>
      </c>
      <c r="AX75" s="3">
        <f>AX74+AX81</f>
        <v/>
      </c>
      <c r="AY75" s="3">
        <f>AY74+AY81</f>
        <v/>
      </c>
      <c r="AZ75" s="3">
        <f>AZ74+AZ81</f>
        <v/>
      </c>
      <c r="BA75" s="3">
        <f>BA74+BA81</f>
        <v/>
      </c>
      <c r="BB75" s="3">
        <f>BB74+BB81</f>
        <v/>
      </c>
      <c r="BC75" s="3">
        <f>BC74+BC81</f>
        <v/>
      </c>
      <c r="BD75" s="3">
        <f>BD74+BD81</f>
        <v/>
      </c>
      <c r="BE75" s="3">
        <f>BE74+BE81</f>
        <v/>
      </c>
      <c r="BF75" s="3">
        <f>BF74+BF81</f>
        <v/>
      </c>
      <c r="BG75" s="3">
        <f>BG74+BG81</f>
        <v/>
      </c>
      <c r="BH75" s="3">
        <f>BH74+BH81</f>
        <v/>
      </c>
      <c r="BI75" s="3">
        <f>BI74+BI81</f>
        <v/>
      </c>
      <c r="BJ75" s="3">
        <f>BJ74+BJ81</f>
        <v/>
      </c>
      <c r="BK75" s="3">
        <f>BK74+BK81</f>
        <v/>
      </c>
      <c r="BL75" s="3">
        <f>BL74+BL81</f>
        <v/>
      </c>
      <c r="BM75" s="3">
        <f>BM74+BM81</f>
        <v/>
      </c>
      <c r="BN75" s="3">
        <f>BN74+BN81</f>
        <v/>
      </c>
      <c r="BO75" s="3">
        <f>BO74+BO81</f>
        <v/>
      </c>
      <c r="BP75" s="3">
        <f>BP74+BP81</f>
        <v/>
      </c>
      <c r="BQ75" s="3">
        <f>BQ74+BQ81</f>
        <v/>
      </c>
      <c r="BR75" s="3">
        <f>BR74+BR81</f>
        <v/>
      </c>
      <c r="BS75" s="3">
        <f>BS74+BS81</f>
        <v/>
      </c>
      <c r="BT75" s="3">
        <f>BT74+BT81</f>
        <v/>
      </c>
      <c r="BU75" s="3">
        <f>BU74+BU81</f>
        <v/>
      </c>
      <c r="BV75" s="3">
        <f>BV74+BV81</f>
        <v/>
      </c>
    </row>
    <row r="76">
      <c r="A76" t="inlineStr">
        <is>
          <t>active</t>
        </is>
      </c>
      <c r="B76" t="inlineStr">
        <is>
          <t>LATAM|BASIC_M</t>
        </is>
      </c>
      <c r="C76" s="3">
        <f>React!$C$75*Curves!$BV$17</f>
        <v/>
      </c>
      <c r="D76" s="3">
        <f>SUMPRODUCT(React!$C$75:$D$75,Curves!$BU$17:$BV$17)</f>
        <v/>
      </c>
      <c r="E76" s="3">
        <f>SUMPRODUCT(React!$C$75:$E$75,Curves!$BT$17:$BV$17)</f>
        <v/>
      </c>
      <c r="F76" s="3">
        <f>SUMPRODUCT(React!$C$75:$F$75,Curves!$BS$17:$BV$17)</f>
        <v/>
      </c>
      <c r="G76" s="3">
        <f>SUMPRODUCT(React!$C$75:$G$75,Curves!$BR$17:$BV$17)</f>
        <v/>
      </c>
      <c r="H76" s="3">
        <f>SUMPRODUCT(React!$C$75:$H$75,Curves!$BQ$17:$BV$17)</f>
        <v/>
      </c>
      <c r="I76" s="3">
        <f>SUMPRODUCT(React!$C$75:$I$75,Curves!$BP$17:$BV$17)</f>
        <v/>
      </c>
      <c r="J76" s="3">
        <f>SUMPRODUCT(React!$C$75:$J$75,Curves!$BO$17:$BV$17)</f>
        <v/>
      </c>
      <c r="K76" s="3">
        <f>SUMPRODUCT(React!$C$75:$K$75,Curves!$BN$17:$BV$17)</f>
        <v/>
      </c>
      <c r="L76" s="3">
        <f>SUMPRODUCT(React!$C$75:$L$75,Curves!$BM$17:$BV$17)</f>
        <v/>
      </c>
      <c r="M76" s="3">
        <f>SUMPRODUCT(React!$C$75:$M$75,Curves!$BL$17:$BV$17)</f>
        <v/>
      </c>
      <c r="N76" s="3">
        <f>SUMPRODUCT(React!$C$75:$N$75,Curves!$BK$17:$BV$17)</f>
        <v/>
      </c>
      <c r="O76" s="3">
        <f>SUMPRODUCT(React!$C$75:$O$75,Curves!$BJ$17:$BV$17)</f>
        <v/>
      </c>
      <c r="P76" s="3">
        <f>SUMPRODUCT(React!$C$75:$P$75,Curves!$BI$17:$BV$17)</f>
        <v/>
      </c>
      <c r="Q76" s="3">
        <f>SUMPRODUCT(React!$C$75:$Q$75,Curves!$BH$17:$BV$17)</f>
        <v/>
      </c>
      <c r="R76" s="3">
        <f>SUMPRODUCT(React!$C$75:$R$75,Curves!$BG$17:$BV$17)</f>
        <v/>
      </c>
      <c r="S76" s="3">
        <f>SUMPRODUCT(React!$C$75:$S$75,Curves!$BF$17:$BV$17)</f>
        <v/>
      </c>
      <c r="T76" s="3">
        <f>SUMPRODUCT(React!$C$75:$T$75,Curves!$BE$17:$BV$17)</f>
        <v/>
      </c>
      <c r="U76" s="3">
        <f>SUMPRODUCT(React!$C$75:$U$75,Curves!$BD$17:$BV$17)</f>
        <v/>
      </c>
      <c r="V76" s="3">
        <f>SUMPRODUCT(React!$C$75:$V$75,Curves!$BC$17:$BV$17)</f>
        <v/>
      </c>
      <c r="W76" s="3">
        <f>SUMPRODUCT(React!$C$75:$W$75,Curves!$BB$17:$BV$17)</f>
        <v/>
      </c>
      <c r="X76" s="3">
        <f>SUMPRODUCT(React!$C$75:$X$75,Curves!$BA$17:$BV$17)</f>
        <v/>
      </c>
      <c r="Y76" s="3">
        <f>SUMPRODUCT(React!$C$75:$Y$75,Curves!$AZ$17:$BV$17)</f>
        <v/>
      </c>
      <c r="Z76" s="3">
        <f>SUMPRODUCT(React!$C$75:$Z$75,Curves!$AY$17:$BV$17)</f>
        <v/>
      </c>
      <c r="AA76" s="3">
        <f>SUMPRODUCT(React!$C$75:$AA$75,Curves!$AX$17:$BV$17)</f>
        <v/>
      </c>
      <c r="AB76" s="3">
        <f>SUMPRODUCT(React!$C$75:$AB$75,Curves!$AW$17:$BV$17)</f>
        <v/>
      </c>
      <c r="AC76" s="3">
        <f>SUMPRODUCT(React!$C$75:$AC$75,Curves!$AV$17:$BV$17)</f>
        <v/>
      </c>
      <c r="AD76" s="3">
        <f>SUMPRODUCT(React!$C$75:$AD$75,Curves!$AU$17:$BV$17)</f>
        <v/>
      </c>
      <c r="AE76" s="3">
        <f>SUMPRODUCT(React!$C$75:$AE$75,Curves!$AT$17:$BV$17)</f>
        <v/>
      </c>
      <c r="AF76" s="3">
        <f>SUMPRODUCT(React!$C$75:$AF$75,Curves!$AS$17:$BV$17)</f>
        <v/>
      </c>
      <c r="AG76" s="3">
        <f>SUMPRODUCT(React!$C$75:$AG$75,Curves!$AR$17:$BV$17)</f>
        <v/>
      </c>
      <c r="AH76" s="3">
        <f>SUMPRODUCT(React!$C$75:$AH$75,Curves!$AQ$17:$BV$17)</f>
        <v/>
      </c>
      <c r="AI76" s="3">
        <f>SUMPRODUCT(React!$C$75:$AI$75,Curves!$AP$17:$BV$17)</f>
        <v/>
      </c>
      <c r="AJ76" s="3">
        <f>SUMPRODUCT(React!$C$75:$AJ$75,Curves!$AO$17:$BV$17)</f>
        <v/>
      </c>
      <c r="AK76" s="3">
        <f>SUMPRODUCT(React!$C$75:$AK$75,Curves!$AN$17:$BV$17)</f>
        <v/>
      </c>
      <c r="AL76" s="3">
        <f>SUMPRODUCT(React!$C$75:$AL$75,Curves!$AM$17:$BV$17)</f>
        <v/>
      </c>
      <c r="AM76" s="3">
        <f>SUMPRODUCT(React!$C$75:$AM$75,Curves!$AL$17:$BV$17)</f>
        <v/>
      </c>
      <c r="AN76" s="3">
        <f>SUMPRODUCT(React!$C$75:$AN$75,Curves!$AK$17:$BV$17)</f>
        <v/>
      </c>
      <c r="AO76" s="3">
        <f>SUMPRODUCT(React!$C$75:$AO$75,Curves!$AJ$17:$BV$17)</f>
        <v/>
      </c>
      <c r="AP76" s="3">
        <f>SUMPRODUCT(React!$C$75:$AP$75,Curves!$AI$17:$BV$17)</f>
        <v/>
      </c>
      <c r="AQ76" s="3">
        <f>SUMPRODUCT(React!$C$75:$AQ$75,Curves!$AH$17:$BV$17)</f>
        <v/>
      </c>
      <c r="AR76" s="3">
        <f>SUMPRODUCT(React!$C$75:$AR$75,Curves!$AG$17:$BV$17)</f>
        <v/>
      </c>
      <c r="AS76" s="3">
        <f>SUMPRODUCT(React!$C$75:$AS$75,Curves!$AF$17:$BV$17)</f>
        <v/>
      </c>
      <c r="AT76" s="3">
        <f>SUMPRODUCT(React!$C$75:$AT$75,Curves!$AE$17:$BV$17)</f>
        <v/>
      </c>
      <c r="AU76" s="3">
        <f>SUMPRODUCT(React!$C$75:$AU$75,Curves!$AD$17:$BV$17)</f>
        <v/>
      </c>
      <c r="AV76" s="3">
        <f>SUMPRODUCT(React!$C$75:$AV$75,Curves!$AC$17:$BV$17)</f>
        <v/>
      </c>
      <c r="AW76" s="3">
        <f>SUMPRODUCT(React!$C$75:$AW$75,Curves!$AB$17:$BV$17)</f>
        <v/>
      </c>
      <c r="AX76" s="3">
        <f>SUMPRODUCT(React!$C$75:$AX$75,Curves!$AA$17:$BV$17)</f>
        <v/>
      </c>
      <c r="AY76" s="3">
        <f>SUMPRODUCT(React!$C$75:$AY$75,Curves!$Z$17:$BV$17)</f>
        <v/>
      </c>
      <c r="AZ76" s="3">
        <f>SUMPRODUCT(React!$C$75:$AZ$75,Curves!$Y$17:$BV$17)</f>
        <v/>
      </c>
      <c r="BA76" s="3">
        <f>SUMPRODUCT(React!$C$75:$BA$75,Curves!$X$17:$BV$17)</f>
        <v/>
      </c>
      <c r="BB76" s="3">
        <f>SUMPRODUCT(React!$C$75:$BB$75,Curves!$W$17:$BV$17)</f>
        <v/>
      </c>
      <c r="BC76" s="3">
        <f>SUMPRODUCT(React!$C$75:$BC$75,Curves!$V$17:$BV$17)</f>
        <v/>
      </c>
      <c r="BD76" s="3">
        <f>SUMPRODUCT(React!$C$75:$BD$75,Curves!$U$17:$BV$17)</f>
        <v/>
      </c>
      <c r="BE76" s="3">
        <f>SUMPRODUCT(React!$C$75:$BE$75,Curves!$T$17:$BV$17)</f>
        <v/>
      </c>
      <c r="BF76" s="3">
        <f>SUMPRODUCT(React!$C$75:$BF$75,Curves!$S$17:$BV$17)</f>
        <v/>
      </c>
      <c r="BG76" s="3">
        <f>SUMPRODUCT(React!$C$75:$BG$75,Curves!$R$17:$BV$17)</f>
        <v/>
      </c>
      <c r="BH76" s="3">
        <f>SUMPRODUCT(React!$C$75:$BH$75,Curves!$Q$17:$BV$17)</f>
        <v/>
      </c>
      <c r="BI76" s="3">
        <f>SUMPRODUCT(React!$C$75:$BI$75,Curves!$P$17:$BV$17)</f>
        <v/>
      </c>
      <c r="BJ76" s="3">
        <f>SUMPRODUCT(React!$C$75:$BJ$75,Curves!$O$17:$BV$17)</f>
        <v/>
      </c>
      <c r="BK76" s="3">
        <f>SUMPRODUCT(React!$C$75:$BK$75,Curves!$N$17:$BV$17)</f>
        <v/>
      </c>
      <c r="BL76" s="3">
        <f>SUMPRODUCT(React!$C$75:$BL$75,Curves!$M$17:$BV$17)</f>
        <v/>
      </c>
      <c r="BM76" s="3">
        <f>SUMPRODUCT(React!$C$75:$BM$75,Curves!$L$17:$BV$17)</f>
        <v/>
      </c>
      <c r="BN76" s="3">
        <f>SUMPRODUCT(React!$C$75:$BN$75,Curves!$K$17:$BV$17)</f>
        <v/>
      </c>
      <c r="BO76" s="3">
        <f>SUMPRODUCT(React!$C$75:$BO$75,Curves!$J$17:$BV$17)</f>
        <v/>
      </c>
      <c r="BP76" s="3">
        <f>SUMPRODUCT(React!$C$75:$BP$75,Curves!$I$17:$BV$17)</f>
        <v/>
      </c>
      <c r="BQ76" s="3">
        <f>SUMPRODUCT(React!$C$75:$BQ$75,Curves!$H$17:$BV$17)</f>
        <v/>
      </c>
      <c r="BR76" s="3">
        <f>SUMPRODUCT(React!$C$75:$BR$75,Curves!$G$17:$BV$17)</f>
        <v/>
      </c>
      <c r="BS76" s="3">
        <f>SUMPRODUCT(React!$C$75:$BS$75,Curves!$F$17:$BV$17)</f>
        <v/>
      </c>
      <c r="BT76" s="3">
        <f>SUMPRODUCT(React!$C$75:$BT$75,Curves!$E$17:$BV$17)</f>
        <v/>
      </c>
      <c r="BU76" s="3">
        <f>SUMPRODUCT(React!$C$75:$BU$75,Curves!$D$17:$BV$17)</f>
        <v/>
      </c>
      <c r="BV76" s="3">
        <f>SUMPRODUCT(React!$C$75:$BV$75,Curves!$C$17:$BV$17)</f>
        <v/>
      </c>
    </row>
    <row r="77">
      <c r="A77" t="inlineStr">
        <is>
          <t>active yr 1</t>
        </is>
      </c>
      <c r="B77" t="inlineStr">
        <is>
          <t>LATAM|BASIC_M</t>
        </is>
      </c>
      <c r="C77" s="3">
        <f>React!$C$75*Curves!$BV$22</f>
        <v/>
      </c>
      <c r="D77" s="3">
        <f>SUMPRODUCT(React!$C$75:$D$75,Curves!$BU$22:$BV$22)</f>
        <v/>
      </c>
      <c r="E77" s="3">
        <f>SUMPRODUCT(React!$C$75:$E$75,Curves!$BT$22:$BV$22)</f>
        <v/>
      </c>
      <c r="F77" s="3">
        <f>SUMPRODUCT(React!$C$75:$F$75,Curves!$BS$22:$BV$22)</f>
        <v/>
      </c>
      <c r="G77" s="3">
        <f>SUMPRODUCT(React!$C$75:$G$75,Curves!$BR$22:$BV$22)</f>
        <v/>
      </c>
      <c r="H77" s="3">
        <f>SUMPRODUCT(React!$C$75:$H$75,Curves!$BQ$22:$BV$22)</f>
        <v/>
      </c>
      <c r="I77" s="3">
        <f>SUMPRODUCT(React!$C$75:$I$75,Curves!$BP$22:$BV$22)</f>
        <v/>
      </c>
      <c r="J77" s="3">
        <f>SUMPRODUCT(React!$C$75:$J$75,Curves!$BO$22:$BV$22)</f>
        <v/>
      </c>
      <c r="K77" s="3">
        <f>SUMPRODUCT(React!$C$75:$K$75,Curves!$BN$22:$BV$22)</f>
        <v/>
      </c>
      <c r="L77" s="3">
        <f>SUMPRODUCT(React!$C$75:$L$75,Curves!$BM$22:$BV$22)</f>
        <v/>
      </c>
      <c r="M77" s="3">
        <f>SUMPRODUCT(React!$C$75:$M$75,Curves!$BL$22:$BV$22)</f>
        <v/>
      </c>
      <c r="N77" s="3">
        <f>SUMPRODUCT(React!$C$75:$N$75,Curves!$BK$22:$BV$22)</f>
        <v/>
      </c>
      <c r="O77" s="3">
        <f>SUMPRODUCT(React!$C$75:$O$75,Curves!$BJ$22:$BV$22)</f>
        <v/>
      </c>
      <c r="P77" s="3">
        <f>SUMPRODUCT(React!$C$75:$P$75,Curves!$BI$22:$BV$22)</f>
        <v/>
      </c>
      <c r="Q77" s="3">
        <f>SUMPRODUCT(React!$C$75:$Q$75,Curves!$BH$22:$BV$22)</f>
        <v/>
      </c>
      <c r="R77" s="3">
        <f>SUMPRODUCT(React!$C$75:$R$75,Curves!$BG$22:$BV$22)</f>
        <v/>
      </c>
      <c r="S77" s="3">
        <f>SUMPRODUCT(React!$C$75:$S$75,Curves!$BF$22:$BV$22)</f>
        <v/>
      </c>
      <c r="T77" s="3">
        <f>SUMPRODUCT(React!$C$75:$T$75,Curves!$BE$22:$BV$22)</f>
        <v/>
      </c>
      <c r="U77" s="3">
        <f>SUMPRODUCT(React!$C$75:$U$75,Curves!$BD$22:$BV$22)</f>
        <v/>
      </c>
      <c r="V77" s="3">
        <f>SUMPRODUCT(React!$C$75:$V$75,Curves!$BC$22:$BV$22)</f>
        <v/>
      </c>
      <c r="W77" s="3">
        <f>SUMPRODUCT(React!$C$75:$W$75,Curves!$BB$22:$BV$22)</f>
        <v/>
      </c>
      <c r="X77" s="3">
        <f>SUMPRODUCT(React!$C$75:$X$75,Curves!$BA$22:$BV$22)</f>
        <v/>
      </c>
      <c r="Y77" s="3">
        <f>SUMPRODUCT(React!$C$75:$Y$75,Curves!$AZ$22:$BV$22)</f>
        <v/>
      </c>
      <c r="Z77" s="3">
        <f>SUMPRODUCT(React!$C$75:$Z$75,Curves!$AY$22:$BV$22)</f>
        <v/>
      </c>
      <c r="AA77" s="3">
        <f>SUMPRODUCT(React!$C$75:$AA$75,Curves!$AX$22:$BV$22)</f>
        <v/>
      </c>
      <c r="AB77" s="3">
        <f>SUMPRODUCT(React!$C$75:$AB$75,Curves!$AW$22:$BV$22)</f>
        <v/>
      </c>
      <c r="AC77" s="3">
        <f>SUMPRODUCT(React!$C$75:$AC$75,Curves!$AV$22:$BV$22)</f>
        <v/>
      </c>
      <c r="AD77" s="3">
        <f>SUMPRODUCT(React!$C$75:$AD$75,Curves!$AU$22:$BV$22)</f>
        <v/>
      </c>
      <c r="AE77" s="3">
        <f>SUMPRODUCT(React!$C$75:$AE$75,Curves!$AT$22:$BV$22)</f>
        <v/>
      </c>
      <c r="AF77" s="3">
        <f>SUMPRODUCT(React!$C$75:$AF$75,Curves!$AS$22:$BV$22)</f>
        <v/>
      </c>
      <c r="AG77" s="3">
        <f>SUMPRODUCT(React!$C$75:$AG$75,Curves!$AR$22:$BV$22)</f>
        <v/>
      </c>
      <c r="AH77" s="3">
        <f>SUMPRODUCT(React!$C$75:$AH$75,Curves!$AQ$22:$BV$22)</f>
        <v/>
      </c>
      <c r="AI77" s="3">
        <f>SUMPRODUCT(React!$C$75:$AI$75,Curves!$AP$22:$BV$22)</f>
        <v/>
      </c>
      <c r="AJ77" s="3">
        <f>SUMPRODUCT(React!$C$75:$AJ$75,Curves!$AO$22:$BV$22)</f>
        <v/>
      </c>
      <c r="AK77" s="3">
        <f>SUMPRODUCT(React!$C$75:$AK$75,Curves!$AN$22:$BV$22)</f>
        <v/>
      </c>
      <c r="AL77" s="3">
        <f>SUMPRODUCT(React!$C$75:$AL$75,Curves!$AM$22:$BV$22)</f>
        <v/>
      </c>
      <c r="AM77" s="3">
        <f>SUMPRODUCT(React!$C$75:$AM$75,Curves!$AL$22:$BV$22)</f>
        <v/>
      </c>
      <c r="AN77" s="3">
        <f>SUMPRODUCT(React!$C$75:$AN$75,Curves!$AK$22:$BV$22)</f>
        <v/>
      </c>
      <c r="AO77" s="3">
        <f>SUMPRODUCT(React!$C$75:$AO$75,Curves!$AJ$22:$BV$22)</f>
        <v/>
      </c>
      <c r="AP77" s="3">
        <f>SUMPRODUCT(React!$C$75:$AP$75,Curves!$AI$22:$BV$22)</f>
        <v/>
      </c>
      <c r="AQ77" s="3">
        <f>SUMPRODUCT(React!$C$75:$AQ$75,Curves!$AH$22:$BV$22)</f>
        <v/>
      </c>
      <c r="AR77" s="3">
        <f>SUMPRODUCT(React!$C$75:$AR$75,Curves!$AG$22:$BV$22)</f>
        <v/>
      </c>
      <c r="AS77" s="3">
        <f>SUMPRODUCT(React!$C$75:$AS$75,Curves!$AF$22:$BV$22)</f>
        <v/>
      </c>
      <c r="AT77" s="3">
        <f>SUMPRODUCT(React!$C$75:$AT$75,Curves!$AE$22:$BV$22)</f>
        <v/>
      </c>
      <c r="AU77" s="3">
        <f>SUMPRODUCT(React!$C$75:$AU$75,Curves!$AD$22:$BV$22)</f>
        <v/>
      </c>
      <c r="AV77" s="3">
        <f>SUMPRODUCT(React!$C$75:$AV$75,Curves!$AC$22:$BV$22)</f>
        <v/>
      </c>
      <c r="AW77" s="3">
        <f>SUMPRODUCT(React!$C$75:$AW$75,Curves!$AB$22:$BV$22)</f>
        <v/>
      </c>
      <c r="AX77" s="3">
        <f>SUMPRODUCT(React!$C$75:$AX$75,Curves!$AA$22:$BV$22)</f>
        <v/>
      </c>
      <c r="AY77" s="3">
        <f>SUMPRODUCT(React!$C$75:$AY$75,Curves!$Z$22:$BV$22)</f>
        <v/>
      </c>
      <c r="AZ77" s="3">
        <f>SUMPRODUCT(React!$C$75:$AZ$75,Curves!$Y$22:$BV$22)</f>
        <v/>
      </c>
      <c r="BA77" s="3">
        <f>SUMPRODUCT(React!$C$75:$BA$75,Curves!$X$22:$BV$22)</f>
        <v/>
      </c>
      <c r="BB77" s="3">
        <f>SUMPRODUCT(React!$C$75:$BB$75,Curves!$W$22:$BV$22)</f>
        <v/>
      </c>
      <c r="BC77" s="3">
        <f>SUMPRODUCT(React!$C$75:$BC$75,Curves!$V$22:$BV$22)</f>
        <v/>
      </c>
      <c r="BD77" s="3">
        <f>SUMPRODUCT(React!$C$75:$BD$75,Curves!$U$22:$BV$22)</f>
        <v/>
      </c>
      <c r="BE77" s="3">
        <f>SUMPRODUCT(React!$C$75:$BE$75,Curves!$T$22:$BV$22)</f>
        <v/>
      </c>
      <c r="BF77" s="3">
        <f>SUMPRODUCT(React!$C$75:$BF$75,Curves!$S$22:$BV$22)</f>
        <v/>
      </c>
      <c r="BG77" s="3">
        <f>SUMPRODUCT(React!$C$75:$BG$75,Curves!$R$22:$BV$22)</f>
        <v/>
      </c>
      <c r="BH77" s="3">
        <f>SUMPRODUCT(React!$C$75:$BH$75,Curves!$Q$22:$BV$22)</f>
        <v/>
      </c>
      <c r="BI77" s="3">
        <f>SUMPRODUCT(React!$C$75:$BI$75,Curves!$P$22:$BV$22)</f>
        <v/>
      </c>
      <c r="BJ77" s="3">
        <f>SUMPRODUCT(React!$C$75:$BJ$75,Curves!$O$22:$BV$22)</f>
        <v/>
      </c>
      <c r="BK77" s="3">
        <f>SUMPRODUCT(React!$C$75:$BK$75,Curves!$N$22:$BV$22)</f>
        <v/>
      </c>
      <c r="BL77" s="3">
        <f>SUMPRODUCT(React!$C$75:$BL$75,Curves!$M$22:$BV$22)</f>
        <v/>
      </c>
      <c r="BM77" s="3">
        <f>SUMPRODUCT(React!$C$75:$BM$75,Curves!$L$22:$BV$22)</f>
        <v/>
      </c>
      <c r="BN77" s="3">
        <f>SUMPRODUCT(React!$C$75:$BN$75,Curves!$K$22:$BV$22)</f>
        <v/>
      </c>
      <c r="BO77" s="3">
        <f>SUMPRODUCT(React!$C$75:$BO$75,Curves!$J$22:$BV$22)</f>
        <v/>
      </c>
      <c r="BP77" s="3">
        <f>SUMPRODUCT(React!$C$75:$BP$75,Curves!$I$22:$BV$22)</f>
        <v/>
      </c>
      <c r="BQ77" s="3">
        <f>SUMPRODUCT(React!$C$75:$BQ$75,Curves!$H$22:$BV$22)</f>
        <v/>
      </c>
      <c r="BR77" s="3">
        <f>SUMPRODUCT(React!$C$75:$BR$75,Curves!$G$22:$BV$22)</f>
        <v/>
      </c>
      <c r="BS77" s="3">
        <f>SUMPRODUCT(React!$C$75:$BS$75,Curves!$F$22:$BV$22)</f>
        <v/>
      </c>
      <c r="BT77" s="3">
        <f>SUMPRODUCT(React!$C$75:$BT$75,Curves!$E$22:$BV$22)</f>
        <v/>
      </c>
      <c r="BU77" s="3">
        <f>SUMPRODUCT(React!$C$75:$BU$75,Curves!$D$22:$BV$22)</f>
        <v/>
      </c>
      <c r="BV77" s="3">
        <f>SUMPRODUCT(React!$C$75:$BV$75,Curves!$C$22:$BV$22)</f>
        <v/>
      </c>
    </row>
    <row r="78">
      <c r="A78" t="inlineStr">
        <is>
          <t>churned</t>
        </is>
      </c>
      <c r="B78" t="inlineStr">
        <is>
          <t>LATAM|BASIC_M</t>
        </is>
      </c>
      <c r="C78" s="3">
        <f>React!$C$75*Curves!$BV$18</f>
        <v/>
      </c>
      <c r="D78" s="3">
        <f>SUMPRODUCT(React!$C$75:$D$75,Curves!$BU$18:$BV$18)</f>
        <v/>
      </c>
      <c r="E78" s="3">
        <f>SUMPRODUCT(React!$C$75:$E$75,Curves!$BT$18:$BV$18)</f>
        <v/>
      </c>
      <c r="F78" s="3">
        <f>SUMPRODUCT(React!$C$75:$F$75,Curves!$BS$18:$BV$18)</f>
        <v/>
      </c>
      <c r="G78" s="3">
        <f>SUMPRODUCT(React!$C$75:$G$75,Curves!$BR$18:$BV$18)</f>
        <v/>
      </c>
      <c r="H78" s="3">
        <f>SUMPRODUCT(React!$C$75:$H$75,Curves!$BQ$18:$BV$18)</f>
        <v/>
      </c>
      <c r="I78" s="3">
        <f>SUMPRODUCT(React!$C$75:$I$75,Curves!$BP$18:$BV$18)</f>
        <v/>
      </c>
      <c r="J78" s="3">
        <f>SUMPRODUCT(React!$C$75:$J$75,Curves!$BO$18:$BV$18)</f>
        <v/>
      </c>
      <c r="K78" s="3">
        <f>SUMPRODUCT(React!$C$75:$K$75,Curves!$BN$18:$BV$18)</f>
        <v/>
      </c>
      <c r="L78" s="3">
        <f>SUMPRODUCT(React!$C$75:$L$75,Curves!$BM$18:$BV$18)</f>
        <v/>
      </c>
      <c r="M78" s="3">
        <f>SUMPRODUCT(React!$C$75:$M$75,Curves!$BL$18:$BV$18)</f>
        <v/>
      </c>
      <c r="N78" s="3">
        <f>SUMPRODUCT(React!$C$75:$N$75,Curves!$BK$18:$BV$18)</f>
        <v/>
      </c>
      <c r="O78" s="3">
        <f>SUMPRODUCT(React!$C$75:$O$75,Curves!$BJ$18:$BV$18)</f>
        <v/>
      </c>
      <c r="P78" s="3">
        <f>SUMPRODUCT(React!$C$75:$P$75,Curves!$BI$18:$BV$18)</f>
        <v/>
      </c>
      <c r="Q78" s="3">
        <f>SUMPRODUCT(React!$C$75:$Q$75,Curves!$BH$18:$BV$18)</f>
        <v/>
      </c>
      <c r="R78" s="3">
        <f>SUMPRODUCT(React!$C$75:$R$75,Curves!$BG$18:$BV$18)</f>
        <v/>
      </c>
      <c r="S78" s="3">
        <f>SUMPRODUCT(React!$C$75:$S$75,Curves!$BF$18:$BV$18)</f>
        <v/>
      </c>
      <c r="T78" s="3">
        <f>SUMPRODUCT(React!$C$75:$T$75,Curves!$BE$18:$BV$18)</f>
        <v/>
      </c>
      <c r="U78" s="3">
        <f>SUMPRODUCT(React!$C$75:$U$75,Curves!$BD$18:$BV$18)</f>
        <v/>
      </c>
      <c r="V78" s="3">
        <f>SUMPRODUCT(React!$C$75:$V$75,Curves!$BC$18:$BV$18)</f>
        <v/>
      </c>
      <c r="W78" s="3">
        <f>SUMPRODUCT(React!$C$75:$W$75,Curves!$BB$18:$BV$18)</f>
        <v/>
      </c>
      <c r="X78" s="3">
        <f>SUMPRODUCT(React!$C$75:$X$75,Curves!$BA$18:$BV$18)</f>
        <v/>
      </c>
      <c r="Y78" s="3">
        <f>SUMPRODUCT(React!$C$75:$Y$75,Curves!$AZ$18:$BV$18)</f>
        <v/>
      </c>
      <c r="Z78" s="3">
        <f>SUMPRODUCT(React!$C$75:$Z$75,Curves!$AY$18:$BV$18)</f>
        <v/>
      </c>
      <c r="AA78" s="3">
        <f>SUMPRODUCT(React!$C$75:$AA$75,Curves!$AX$18:$BV$18)</f>
        <v/>
      </c>
      <c r="AB78" s="3">
        <f>SUMPRODUCT(React!$C$75:$AB$75,Curves!$AW$18:$BV$18)</f>
        <v/>
      </c>
      <c r="AC78" s="3">
        <f>SUMPRODUCT(React!$C$75:$AC$75,Curves!$AV$18:$BV$18)</f>
        <v/>
      </c>
      <c r="AD78" s="3">
        <f>SUMPRODUCT(React!$C$75:$AD$75,Curves!$AU$18:$BV$18)</f>
        <v/>
      </c>
      <c r="AE78" s="3">
        <f>SUMPRODUCT(React!$C$75:$AE$75,Curves!$AT$18:$BV$18)</f>
        <v/>
      </c>
      <c r="AF78" s="3">
        <f>SUMPRODUCT(React!$C$75:$AF$75,Curves!$AS$18:$BV$18)</f>
        <v/>
      </c>
      <c r="AG78" s="3">
        <f>SUMPRODUCT(React!$C$75:$AG$75,Curves!$AR$18:$BV$18)</f>
        <v/>
      </c>
      <c r="AH78" s="3">
        <f>SUMPRODUCT(React!$C$75:$AH$75,Curves!$AQ$18:$BV$18)</f>
        <v/>
      </c>
      <c r="AI78" s="3">
        <f>SUMPRODUCT(React!$C$75:$AI$75,Curves!$AP$18:$BV$18)</f>
        <v/>
      </c>
      <c r="AJ78" s="3">
        <f>SUMPRODUCT(React!$C$75:$AJ$75,Curves!$AO$18:$BV$18)</f>
        <v/>
      </c>
      <c r="AK78" s="3">
        <f>SUMPRODUCT(React!$C$75:$AK$75,Curves!$AN$18:$BV$18)</f>
        <v/>
      </c>
      <c r="AL78" s="3">
        <f>SUMPRODUCT(React!$C$75:$AL$75,Curves!$AM$18:$BV$18)</f>
        <v/>
      </c>
      <c r="AM78" s="3">
        <f>SUMPRODUCT(React!$C$75:$AM$75,Curves!$AL$18:$BV$18)</f>
        <v/>
      </c>
      <c r="AN78" s="3">
        <f>SUMPRODUCT(React!$C$75:$AN$75,Curves!$AK$18:$BV$18)</f>
        <v/>
      </c>
      <c r="AO78" s="3">
        <f>SUMPRODUCT(React!$C$75:$AO$75,Curves!$AJ$18:$BV$18)</f>
        <v/>
      </c>
      <c r="AP78" s="3">
        <f>SUMPRODUCT(React!$C$75:$AP$75,Curves!$AI$18:$BV$18)</f>
        <v/>
      </c>
      <c r="AQ78" s="3">
        <f>SUMPRODUCT(React!$C$75:$AQ$75,Curves!$AH$18:$BV$18)</f>
        <v/>
      </c>
      <c r="AR78" s="3">
        <f>SUMPRODUCT(React!$C$75:$AR$75,Curves!$AG$18:$BV$18)</f>
        <v/>
      </c>
      <c r="AS78" s="3">
        <f>SUMPRODUCT(React!$C$75:$AS$75,Curves!$AF$18:$BV$18)</f>
        <v/>
      </c>
      <c r="AT78" s="3">
        <f>SUMPRODUCT(React!$C$75:$AT$75,Curves!$AE$18:$BV$18)</f>
        <v/>
      </c>
      <c r="AU78" s="3">
        <f>SUMPRODUCT(React!$C$75:$AU$75,Curves!$AD$18:$BV$18)</f>
        <v/>
      </c>
      <c r="AV78" s="3">
        <f>SUMPRODUCT(React!$C$75:$AV$75,Curves!$AC$18:$BV$18)</f>
        <v/>
      </c>
      <c r="AW78" s="3">
        <f>SUMPRODUCT(React!$C$75:$AW$75,Curves!$AB$18:$BV$18)</f>
        <v/>
      </c>
      <c r="AX78" s="3">
        <f>SUMPRODUCT(React!$C$75:$AX$75,Curves!$AA$18:$BV$18)</f>
        <v/>
      </c>
      <c r="AY78" s="3">
        <f>SUMPRODUCT(React!$C$75:$AY$75,Curves!$Z$18:$BV$18)</f>
        <v/>
      </c>
      <c r="AZ78" s="3">
        <f>SUMPRODUCT(React!$C$75:$AZ$75,Curves!$Y$18:$BV$18)</f>
        <v/>
      </c>
      <c r="BA78" s="3">
        <f>SUMPRODUCT(React!$C$75:$BA$75,Curves!$X$18:$BV$18)</f>
        <v/>
      </c>
      <c r="BB78" s="3">
        <f>SUMPRODUCT(React!$C$75:$BB$75,Curves!$W$18:$BV$18)</f>
        <v/>
      </c>
      <c r="BC78" s="3">
        <f>SUMPRODUCT(React!$C$75:$BC$75,Curves!$V$18:$BV$18)</f>
        <v/>
      </c>
      <c r="BD78" s="3">
        <f>SUMPRODUCT(React!$C$75:$BD$75,Curves!$U$18:$BV$18)</f>
        <v/>
      </c>
      <c r="BE78" s="3">
        <f>SUMPRODUCT(React!$C$75:$BE$75,Curves!$T$18:$BV$18)</f>
        <v/>
      </c>
      <c r="BF78" s="3">
        <f>SUMPRODUCT(React!$C$75:$BF$75,Curves!$S$18:$BV$18)</f>
        <v/>
      </c>
      <c r="BG78" s="3">
        <f>SUMPRODUCT(React!$C$75:$BG$75,Curves!$R$18:$BV$18)</f>
        <v/>
      </c>
      <c r="BH78" s="3">
        <f>SUMPRODUCT(React!$C$75:$BH$75,Curves!$Q$18:$BV$18)</f>
        <v/>
      </c>
      <c r="BI78" s="3">
        <f>SUMPRODUCT(React!$C$75:$BI$75,Curves!$P$18:$BV$18)</f>
        <v/>
      </c>
      <c r="BJ78" s="3">
        <f>SUMPRODUCT(React!$C$75:$BJ$75,Curves!$O$18:$BV$18)</f>
        <v/>
      </c>
      <c r="BK78" s="3">
        <f>SUMPRODUCT(React!$C$75:$BK$75,Curves!$N$18:$BV$18)</f>
        <v/>
      </c>
      <c r="BL78" s="3">
        <f>SUMPRODUCT(React!$C$75:$BL$75,Curves!$M$18:$BV$18)</f>
        <v/>
      </c>
      <c r="BM78" s="3">
        <f>SUMPRODUCT(React!$C$75:$BM$75,Curves!$L$18:$BV$18)</f>
        <v/>
      </c>
      <c r="BN78" s="3">
        <f>SUMPRODUCT(React!$C$75:$BN$75,Curves!$K$18:$BV$18)</f>
        <v/>
      </c>
      <c r="BO78" s="3">
        <f>SUMPRODUCT(React!$C$75:$BO$75,Curves!$J$18:$BV$18)</f>
        <v/>
      </c>
      <c r="BP78" s="3">
        <f>SUMPRODUCT(React!$C$75:$BP$75,Curves!$I$18:$BV$18)</f>
        <v/>
      </c>
      <c r="BQ78" s="3">
        <f>SUMPRODUCT(React!$C$75:$BQ$75,Curves!$H$18:$BV$18)</f>
        <v/>
      </c>
      <c r="BR78" s="3">
        <f>SUMPRODUCT(React!$C$75:$BR$75,Curves!$G$18:$BV$18)</f>
        <v/>
      </c>
      <c r="BS78" s="3">
        <f>SUMPRODUCT(React!$C$75:$BS$75,Curves!$F$18:$BV$18)</f>
        <v/>
      </c>
      <c r="BT78" s="3">
        <f>SUMPRODUCT(React!$C$75:$BT$75,Curves!$E$18:$BV$18)</f>
        <v/>
      </c>
      <c r="BU78" s="3">
        <f>SUMPRODUCT(React!$C$75:$BU$75,Curves!$D$18:$BV$18)</f>
        <v/>
      </c>
      <c r="BV78" s="3">
        <f>SUMPRODUCT(React!$C$75:$BV$75,Curves!$C$18:$BV$18)</f>
        <v/>
      </c>
    </row>
    <row r="80">
      <c r="A80" t="inlineStr">
        <is>
          <t>churn pool inflow</t>
        </is>
      </c>
      <c r="B80" t="inlineStr">
        <is>
          <t>LATAM|BASIC_A</t>
        </is>
      </c>
      <c r="C80" s="3">
        <f>Paid!C49+Legacy!C51</f>
        <v/>
      </c>
      <c r="D80" s="3">
        <f>Paid!D49+Legacy!D51</f>
        <v/>
      </c>
      <c r="E80" s="3">
        <f>Paid!E49+Legacy!E51</f>
        <v/>
      </c>
      <c r="F80" s="3">
        <f>Paid!F49+Legacy!F51</f>
        <v/>
      </c>
      <c r="G80" s="3">
        <f>Paid!G49+Legacy!G51</f>
        <v/>
      </c>
      <c r="H80" s="3">
        <f>Paid!H49+Legacy!H51</f>
        <v/>
      </c>
      <c r="I80" s="3">
        <f>Paid!I49+Legacy!I51</f>
        <v/>
      </c>
      <c r="J80" s="3">
        <f>Paid!J49+Legacy!J51</f>
        <v/>
      </c>
      <c r="K80" s="3">
        <f>Paid!K49+Legacy!K51</f>
        <v/>
      </c>
      <c r="L80" s="3">
        <f>Paid!L49+Legacy!L51</f>
        <v/>
      </c>
      <c r="M80" s="3">
        <f>Paid!M49+Legacy!M51</f>
        <v/>
      </c>
      <c r="N80" s="3">
        <f>Paid!N49+Legacy!N51</f>
        <v/>
      </c>
      <c r="O80" s="3">
        <f>Paid!O49+Legacy!O51</f>
        <v/>
      </c>
      <c r="P80" s="3">
        <f>Paid!P49+Legacy!P51</f>
        <v/>
      </c>
      <c r="Q80" s="3">
        <f>Paid!Q49+Legacy!Q51</f>
        <v/>
      </c>
      <c r="R80" s="3">
        <f>Paid!R49+Legacy!R51</f>
        <v/>
      </c>
      <c r="S80" s="3">
        <f>Paid!S49+Legacy!S51</f>
        <v/>
      </c>
      <c r="T80" s="3">
        <f>Paid!T49+Legacy!T51</f>
        <v/>
      </c>
      <c r="U80" s="3">
        <f>Paid!U49+Legacy!U51</f>
        <v/>
      </c>
      <c r="V80" s="3">
        <f>Paid!V49+Legacy!V51</f>
        <v/>
      </c>
      <c r="W80" s="3">
        <f>Paid!W49+Legacy!W51</f>
        <v/>
      </c>
      <c r="X80" s="3">
        <f>Paid!X49+Legacy!X51</f>
        <v/>
      </c>
      <c r="Y80" s="3">
        <f>Paid!Y49+Legacy!Y51</f>
        <v/>
      </c>
      <c r="Z80" s="3">
        <f>Paid!Z49+Legacy!Z51</f>
        <v/>
      </c>
      <c r="AA80" s="3">
        <f>Paid!AA49+Legacy!AA51</f>
        <v/>
      </c>
      <c r="AB80" s="3">
        <f>Paid!AB49+Legacy!AB51</f>
        <v/>
      </c>
      <c r="AC80" s="3">
        <f>Paid!AC49+Legacy!AC51</f>
        <v/>
      </c>
      <c r="AD80" s="3">
        <f>Paid!AD49+Legacy!AD51</f>
        <v/>
      </c>
      <c r="AE80" s="3">
        <f>Paid!AE49+Legacy!AE51</f>
        <v/>
      </c>
      <c r="AF80" s="3">
        <f>Paid!AF49+Legacy!AF51</f>
        <v/>
      </c>
      <c r="AG80" s="3">
        <f>Paid!AG49+Legacy!AG51</f>
        <v/>
      </c>
      <c r="AH80" s="3">
        <f>Paid!AH49+Legacy!AH51</f>
        <v/>
      </c>
      <c r="AI80" s="3">
        <f>Paid!AI49+Legacy!AI51</f>
        <v/>
      </c>
      <c r="AJ80" s="3">
        <f>Paid!AJ49+Legacy!AJ51</f>
        <v/>
      </c>
      <c r="AK80" s="3">
        <f>Paid!AK49+Legacy!AK51</f>
        <v/>
      </c>
      <c r="AL80" s="3">
        <f>Paid!AL49+Legacy!AL51</f>
        <v/>
      </c>
      <c r="AM80" s="3">
        <f>Paid!AM49+Legacy!AM51</f>
        <v/>
      </c>
      <c r="AN80" s="3">
        <f>Paid!AN49+Legacy!AN51</f>
        <v/>
      </c>
      <c r="AO80" s="3">
        <f>Paid!AO49+Legacy!AO51</f>
        <v/>
      </c>
      <c r="AP80" s="3">
        <f>Paid!AP49+Legacy!AP51</f>
        <v/>
      </c>
      <c r="AQ80" s="3">
        <f>Paid!AQ49+Legacy!AQ51</f>
        <v/>
      </c>
      <c r="AR80" s="3">
        <f>Paid!AR49+Legacy!AR51</f>
        <v/>
      </c>
      <c r="AS80" s="3">
        <f>Paid!AS49+Legacy!AS51</f>
        <v/>
      </c>
      <c r="AT80" s="3">
        <f>Paid!AT49+Legacy!AT51</f>
        <v/>
      </c>
      <c r="AU80" s="3">
        <f>Paid!AU49+Legacy!AU51</f>
        <v/>
      </c>
      <c r="AV80" s="3">
        <f>Paid!AV49+Legacy!AV51</f>
        <v/>
      </c>
      <c r="AW80" s="3">
        <f>Paid!AW49+Legacy!AW51</f>
        <v/>
      </c>
      <c r="AX80" s="3">
        <f>Paid!AX49+Legacy!AX51</f>
        <v/>
      </c>
      <c r="AY80" s="3">
        <f>Paid!AY49+Legacy!AY51</f>
        <v/>
      </c>
      <c r="AZ80" s="3">
        <f>Paid!AZ49+Legacy!AZ51</f>
        <v/>
      </c>
      <c r="BA80" s="3">
        <f>Paid!BA49+Legacy!BA51</f>
        <v/>
      </c>
      <c r="BB80" s="3">
        <f>Paid!BB49+Legacy!BB51</f>
        <v/>
      </c>
      <c r="BC80" s="3">
        <f>Paid!BC49+Legacy!BC51</f>
        <v/>
      </c>
      <c r="BD80" s="3">
        <f>Paid!BD49+Legacy!BD51</f>
        <v/>
      </c>
      <c r="BE80" s="3">
        <f>Paid!BE49+Legacy!BE51</f>
        <v/>
      </c>
      <c r="BF80" s="3">
        <f>Paid!BF49+Legacy!BF51</f>
        <v/>
      </c>
      <c r="BG80" s="3">
        <f>Paid!BG49+Legacy!BG51</f>
        <v/>
      </c>
      <c r="BH80" s="3">
        <f>Paid!BH49+Legacy!BH51</f>
        <v/>
      </c>
      <c r="BI80" s="3">
        <f>Paid!BI49+Legacy!BI51</f>
        <v/>
      </c>
      <c r="BJ80" s="3">
        <f>Paid!BJ49+Legacy!BJ51</f>
        <v/>
      </c>
      <c r="BK80" s="3">
        <f>Paid!BK49+Legacy!BK51</f>
        <v/>
      </c>
      <c r="BL80" s="3">
        <f>Paid!BL49+Legacy!BL51</f>
        <v/>
      </c>
      <c r="BM80" s="3">
        <f>Paid!BM49+Legacy!BM51</f>
        <v/>
      </c>
      <c r="BN80" s="3">
        <f>Paid!BN49+Legacy!BN51</f>
        <v/>
      </c>
      <c r="BO80" s="3">
        <f>Paid!BO49+Legacy!BO51</f>
        <v/>
      </c>
      <c r="BP80" s="3">
        <f>Paid!BP49+Legacy!BP51</f>
        <v/>
      </c>
      <c r="BQ80" s="3">
        <f>Paid!BQ49+Legacy!BQ51</f>
        <v/>
      </c>
      <c r="BR80" s="3">
        <f>Paid!BR49+Legacy!BR51</f>
        <v/>
      </c>
      <c r="BS80" s="3">
        <f>Paid!BS49+Legacy!BS51</f>
        <v/>
      </c>
      <c r="BT80" s="3">
        <f>Paid!BT49+Legacy!BT51</f>
        <v/>
      </c>
      <c r="BU80" s="3">
        <f>Paid!BU49+Legacy!BU51</f>
        <v/>
      </c>
      <c r="BV80" s="3">
        <f>Paid!BV49+Legacy!BV51</f>
        <v/>
      </c>
    </row>
    <row r="81">
      <c r="A81" t="inlineStr">
        <is>
          <t>reactivations out</t>
        </is>
      </c>
      <c r="B81" t="inlineStr">
        <is>
          <t>LATAM|BASIC_A</t>
        </is>
      </c>
      <c r="C81" s="3">
        <f>React!$C$80*Curves!$BV$19</f>
        <v/>
      </c>
      <c r="D81" s="3">
        <f>SUMPRODUCT(React!$C$80:$D$80,Curves!$BU$19:$BV$19)</f>
        <v/>
      </c>
      <c r="E81" s="3">
        <f>SUMPRODUCT(React!$C$80:$E$80,Curves!$BT$19:$BV$19)</f>
        <v/>
      </c>
      <c r="F81" s="3">
        <f>SUMPRODUCT(React!$C$80:$F$80,Curves!$BS$19:$BV$19)</f>
        <v/>
      </c>
      <c r="G81" s="3">
        <f>SUMPRODUCT(React!$C$80:$G$80,Curves!$BR$19:$BV$19)</f>
        <v/>
      </c>
      <c r="H81" s="3">
        <f>SUMPRODUCT(React!$C$80:$H$80,Curves!$BQ$19:$BV$19)</f>
        <v/>
      </c>
      <c r="I81" s="3">
        <f>SUMPRODUCT(React!$C$80:$I$80,Curves!$BP$19:$BV$19)</f>
        <v/>
      </c>
      <c r="J81" s="3">
        <f>SUMPRODUCT(React!$C$80:$J$80,Curves!$BO$19:$BV$19)</f>
        <v/>
      </c>
      <c r="K81" s="3">
        <f>SUMPRODUCT(React!$C$80:$K$80,Curves!$BN$19:$BV$19)</f>
        <v/>
      </c>
      <c r="L81" s="3">
        <f>SUMPRODUCT(React!$C$80:$L$80,Curves!$BM$19:$BV$19)</f>
        <v/>
      </c>
      <c r="M81" s="3">
        <f>SUMPRODUCT(React!$C$80:$M$80,Curves!$BL$19:$BV$19)</f>
        <v/>
      </c>
      <c r="N81" s="3">
        <f>SUMPRODUCT(React!$C$80:$N$80,Curves!$BK$19:$BV$19)</f>
        <v/>
      </c>
      <c r="O81" s="3">
        <f>SUMPRODUCT(React!$C$80:$O$80,Curves!$BJ$19:$BV$19)</f>
        <v/>
      </c>
      <c r="P81" s="3">
        <f>SUMPRODUCT(React!$C$80:$P$80,Curves!$BI$19:$BV$19)</f>
        <v/>
      </c>
      <c r="Q81" s="3">
        <f>SUMPRODUCT(React!$C$80:$Q$80,Curves!$BH$19:$BV$19)</f>
        <v/>
      </c>
      <c r="R81" s="3">
        <f>SUMPRODUCT(React!$C$80:$R$80,Curves!$BG$19:$BV$19)</f>
        <v/>
      </c>
      <c r="S81" s="3">
        <f>SUMPRODUCT(React!$C$80:$S$80,Curves!$BF$19:$BV$19)</f>
        <v/>
      </c>
      <c r="T81" s="3">
        <f>SUMPRODUCT(React!$C$80:$T$80,Curves!$BE$19:$BV$19)</f>
        <v/>
      </c>
      <c r="U81" s="3">
        <f>SUMPRODUCT(React!$C$80:$U$80,Curves!$BD$19:$BV$19)</f>
        <v/>
      </c>
      <c r="V81" s="3">
        <f>SUMPRODUCT(React!$C$80:$V$80,Curves!$BC$19:$BV$19)</f>
        <v/>
      </c>
      <c r="W81" s="3">
        <f>SUMPRODUCT(React!$C$80:$W$80,Curves!$BB$19:$BV$19)</f>
        <v/>
      </c>
      <c r="X81" s="3">
        <f>SUMPRODUCT(React!$C$80:$X$80,Curves!$BA$19:$BV$19)</f>
        <v/>
      </c>
      <c r="Y81" s="3">
        <f>SUMPRODUCT(React!$C$80:$Y$80,Curves!$AZ$19:$BV$19)</f>
        <v/>
      </c>
      <c r="Z81" s="3">
        <f>SUMPRODUCT(React!$C$80:$Z$80,Curves!$AY$19:$BV$19)</f>
        <v/>
      </c>
      <c r="AA81" s="3">
        <f>SUMPRODUCT(React!$C$80:$AA$80,Curves!$AX$19:$BV$19)</f>
        <v/>
      </c>
      <c r="AB81" s="3">
        <f>SUMPRODUCT(React!$C$80:$AB$80,Curves!$AW$19:$BV$19)</f>
        <v/>
      </c>
      <c r="AC81" s="3">
        <f>SUMPRODUCT(React!$C$80:$AC$80,Curves!$AV$19:$BV$19)</f>
        <v/>
      </c>
      <c r="AD81" s="3">
        <f>SUMPRODUCT(React!$C$80:$AD$80,Curves!$AU$19:$BV$19)</f>
        <v/>
      </c>
      <c r="AE81" s="3">
        <f>SUMPRODUCT(React!$C$80:$AE$80,Curves!$AT$19:$BV$19)</f>
        <v/>
      </c>
      <c r="AF81" s="3">
        <f>SUMPRODUCT(React!$C$80:$AF$80,Curves!$AS$19:$BV$19)</f>
        <v/>
      </c>
      <c r="AG81" s="3">
        <f>SUMPRODUCT(React!$C$80:$AG$80,Curves!$AR$19:$BV$19)</f>
        <v/>
      </c>
      <c r="AH81" s="3">
        <f>SUMPRODUCT(React!$C$80:$AH$80,Curves!$AQ$19:$BV$19)</f>
        <v/>
      </c>
      <c r="AI81" s="3">
        <f>SUMPRODUCT(React!$C$80:$AI$80,Curves!$AP$19:$BV$19)</f>
        <v/>
      </c>
      <c r="AJ81" s="3">
        <f>SUMPRODUCT(React!$C$80:$AJ$80,Curves!$AO$19:$BV$19)</f>
        <v/>
      </c>
      <c r="AK81" s="3">
        <f>SUMPRODUCT(React!$C$80:$AK$80,Curves!$AN$19:$BV$19)</f>
        <v/>
      </c>
      <c r="AL81" s="3">
        <f>SUMPRODUCT(React!$C$80:$AL$80,Curves!$AM$19:$BV$19)</f>
        <v/>
      </c>
      <c r="AM81" s="3">
        <f>SUMPRODUCT(React!$C$80:$AM$80,Curves!$AL$19:$BV$19)</f>
        <v/>
      </c>
      <c r="AN81" s="3">
        <f>SUMPRODUCT(React!$C$80:$AN$80,Curves!$AK$19:$BV$19)</f>
        <v/>
      </c>
      <c r="AO81" s="3">
        <f>SUMPRODUCT(React!$C$80:$AO$80,Curves!$AJ$19:$BV$19)</f>
        <v/>
      </c>
      <c r="AP81" s="3">
        <f>SUMPRODUCT(React!$C$80:$AP$80,Curves!$AI$19:$BV$19)</f>
        <v/>
      </c>
      <c r="AQ81" s="3">
        <f>SUMPRODUCT(React!$C$80:$AQ$80,Curves!$AH$19:$BV$19)</f>
        <v/>
      </c>
      <c r="AR81" s="3">
        <f>SUMPRODUCT(React!$C$80:$AR$80,Curves!$AG$19:$BV$19)</f>
        <v/>
      </c>
      <c r="AS81" s="3">
        <f>SUMPRODUCT(React!$C$80:$AS$80,Curves!$AF$19:$BV$19)</f>
        <v/>
      </c>
      <c r="AT81" s="3">
        <f>SUMPRODUCT(React!$C$80:$AT$80,Curves!$AE$19:$BV$19)</f>
        <v/>
      </c>
      <c r="AU81" s="3">
        <f>SUMPRODUCT(React!$C$80:$AU$80,Curves!$AD$19:$BV$19)</f>
        <v/>
      </c>
      <c r="AV81" s="3">
        <f>SUMPRODUCT(React!$C$80:$AV$80,Curves!$AC$19:$BV$19)</f>
        <v/>
      </c>
      <c r="AW81" s="3">
        <f>SUMPRODUCT(React!$C$80:$AW$80,Curves!$AB$19:$BV$19)</f>
        <v/>
      </c>
      <c r="AX81" s="3">
        <f>SUMPRODUCT(React!$C$80:$AX$80,Curves!$AA$19:$BV$19)</f>
        <v/>
      </c>
      <c r="AY81" s="3">
        <f>SUMPRODUCT(React!$C$80:$AY$80,Curves!$Z$19:$BV$19)</f>
        <v/>
      </c>
      <c r="AZ81" s="3">
        <f>SUMPRODUCT(React!$C$80:$AZ$80,Curves!$Y$19:$BV$19)</f>
        <v/>
      </c>
      <c r="BA81" s="3">
        <f>SUMPRODUCT(React!$C$80:$BA$80,Curves!$X$19:$BV$19)</f>
        <v/>
      </c>
      <c r="BB81" s="3">
        <f>SUMPRODUCT(React!$C$80:$BB$80,Curves!$W$19:$BV$19)</f>
        <v/>
      </c>
      <c r="BC81" s="3">
        <f>SUMPRODUCT(React!$C$80:$BC$80,Curves!$V$19:$BV$19)</f>
        <v/>
      </c>
      <c r="BD81" s="3">
        <f>SUMPRODUCT(React!$C$80:$BD$80,Curves!$U$19:$BV$19)</f>
        <v/>
      </c>
      <c r="BE81" s="3">
        <f>SUMPRODUCT(React!$C$80:$BE$80,Curves!$T$19:$BV$19)</f>
        <v/>
      </c>
      <c r="BF81" s="3">
        <f>SUMPRODUCT(React!$C$80:$BF$80,Curves!$S$19:$BV$19)</f>
        <v/>
      </c>
      <c r="BG81" s="3">
        <f>SUMPRODUCT(React!$C$80:$BG$80,Curves!$R$19:$BV$19)</f>
        <v/>
      </c>
      <c r="BH81" s="3">
        <f>SUMPRODUCT(React!$C$80:$BH$80,Curves!$Q$19:$BV$19)</f>
        <v/>
      </c>
      <c r="BI81" s="3">
        <f>SUMPRODUCT(React!$C$80:$BI$80,Curves!$P$19:$BV$19)</f>
        <v/>
      </c>
      <c r="BJ81" s="3">
        <f>SUMPRODUCT(React!$C$80:$BJ$80,Curves!$O$19:$BV$19)</f>
        <v/>
      </c>
      <c r="BK81" s="3">
        <f>SUMPRODUCT(React!$C$80:$BK$80,Curves!$N$19:$BV$19)</f>
        <v/>
      </c>
      <c r="BL81" s="3">
        <f>SUMPRODUCT(React!$C$80:$BL$80,Curves!$M$19:$BV$19)</f>
        <v/>
      </c>
      <c r="BM81" s="3">
        <f>SUMPRODUCT(React!$C$80:$BM$80,Curves!$L$19:$BV$19)</f>
        <v/>
      </c>
      <c r="BN81" s="3">
        <f>SUMPRODUCT(React!$C$80:$BN$80,Curves!$K$19:$BV$19)</f>
        <v/>
      </c>
      <c r="BO81" s="3">
        <f>SUMPRODUCT(React!$C$80:$BO$80,Curves!$J$19:$BV$19)</f>
        <v/>
      </c>
      <c r="BP81" s="3">
        <f>SUMPRODUCT(React!$C$80:$BP$80,Curves!$I$19:$BV$19)</f>
        <v/>
      </c>
      <c r="BQ81" s="3">
        <f>SUMPRODUCT(React!$C$80:$BQ$80,Curves!$H$19:$BV$19)</f>
        <v/>
      </c>
      <c r="BR81" s="3">
        <f>SUMPRODUCT(React!$C$80:$BR$80,Curves!$G$19:$BV$19)</f>
        <v/>
      </c>
      <c r="BS81" s="3">
        <f>SUMPRODUCT(React!$C$80:$BS$80,Curves!$F$19:$BV$19)</f>
        <v/>
      </c>
      <c r="BT81" s="3">
        <f>SUMPRODUCT(React!$C$80:$BT$80,Curves!$E$19:$BV$19)</f>
        <v/>
      </c>
      <c r="BU81" s="3">
        <f>SUMPRODUCT(React!$C$80:$BU$80,Curves!$D$19:$BV$19)</f>
        <v/>
      </c>
      <c r="BV81" s="3">
        <f>SUMPRODUCT(React!$C$80:$BV$80,Curves!$C$19:$BV$19)</f>
        <v/>
      </c>
    </row>
    <row r="82">
      <c r="A82" t="inlineStr">
        <is>
          <t>reactivated in</t>
        </is>
      </c>
      <c r="B82" t="inlineStr">
        <is>
          <t>LATAM|BASIC_A</t>
        </is>
      </c>
      <c r="C82" s="3">
        <f>0</f>
        <v/>
      </c>
      <c r="D82" s="3">
        <f>0</f>
        <v/>
      </c>
      <c r="E82" s="3">
        <f>0</f>
        <v/>
      </c>
      <c r="F82" s="3">
        <f>0</f>
        <v/>
      </c>
      <c r="G82" s="3">
        <f>0</f>
        <v/>
      </c>
      <c r="H82" s="3">
        <f>0</f>
        <v/>
      </c>
      <c r="I82" s="3">
        <f>0</f>
        <v/>
      </c>
      <c r="J82" s="3">
        <f>0</f>
        <v/>
      </c>
      <c r="K82" s="3">
        <f>0</f>
        <v/>
      </c>
      <c r="L82" s="3">
        <f>0</f>
        <v/>
      </c>
      <c r="M82" s="3">
        <f>0</f>
        <v/>
      </c>
      <c r="N82" s="3">
        <f>0</f>
        <v/>
      </c>
      <c r="O82" s="3">
        <f>0</f>
        <v/>
      </c>
      <c r="P82" s="3">
        <f>0</f>
        <v/>
      </c>
      <c r="Q82" s="3">
        <f>0</f>
        <v/>
      </c>
      <c r="R82" s="3">
        <f>0</f>
        <v/>
      </c>
      <c r="S82" s="3">
        <f>0</f>
        <v/>
      </c>
      <c r="T82" s="3">
        <f>0</f>
        <v/>
      </c>
      <c r="U82" s="3">
        <f>0</f>
        <v/>
      </c>
      <c r="V82" s="3">
        <f>0</f>
        <v/>
      </c>
      <c r="W82" s="3">
        <f>0</f>
        <v/>
      </c>
      <c r="X82" s="3">
        <f>0</f>
        <v/>
      </c>
      <c r="Y82" s="3">
        <f>0</f>
        <v/>
      </c>
      <c r="Z82" s="3">
        <f>0</f>
        <v/>
      </c>
      <c r="AA82" s="3">
        <f>0</f>
        <v/>
      </c>
      <c r="AB82" s="3">
        <f>0</f>
        <v/>
      </c>
      <c r="AC82" s="3">
        <f>0</f>
        <v/>
      </c>
      <c r="AD82" s="3">
        <f>0</f>
        <v/>
      </c>
      <c r="AE82" s="3">
        <f>0</f>
        <v/>
      </c>
      <c r="AF82" s="3">
        <f>0</f>
        <v/>
      </c>
      <c r="AG82" s="3">
        <f>0</f>
        <v/>
      </c>
      <c r="AH82" s="3">
        <f>0</f>
        <v/>
      </c>
      <c r="AI82" s="3">
        <f>0</f>
        <v/>
      </c>
      <c r="AJ82" s="3">
        <f>0</f>
        <v/>
      </c>
      <c r="AK82" s="3">
        <f>0</f>
        <v/>
      </c>
      <c r="AL82" s="3">
        <f>0</f>
        <v/>
      </c>
      <c r="AM82" s="3">
        <f>0</f>
        <v/>
      </c>
      <c r="AN82" s="3">
        <f>0</f>
        <v/>
      </c>
      <c r="AO82" s="3">
        <f>0</f>
        <v/>
      </c>
      <c r="AP82" s="3">
        <f>0</f>
        <v/>
      </c>
      <c r="AQ82" s="3">
        <f>0</f>
        <v/>
      </c>
      <c r="AR82" s="3">
        <f>0</f>
        <v/>
      </c>
      <c r="AS82" s="3">
        <f>0</f>
        <v/>
      </c>
      <c r="AT82" s="3">
        <f>0</f>
        <v/>
      </c>
      <c r="AU82" s="3">
        <f>0</f>
        <v/>
      </c>
      <c r="AV82" s="3">
        <f>0</f>
        <v/>
      </c>
      <c r="AW82" s="3">
        <f>0</f>
        <v/>
      </c>
      <c r="AX82" s="3">
        <f>0</f>
        <v/>
      </c>
      <c r="AY82" s="3">
        <f>0</f>
        <v/>
      </c>
      <c r="AZ82" s="3">
        <f>0</f>
        <v/>
      </c>
      <c r="BA82" s="3">
        <f>0</f>
        <v/>
      </c>
      <c r="BB82" s="3">
        <f>0</f>
        <v/>
      </c>
      <c r="BC82" s="3">
        <f>0</f>
        <v/>
      </c>
      <c r="BD82" s="3">
        <f>0</f>
        <v/>
      </c>
      <c r="BE82" s="3">
        <f>0</f>
        <v/>
      </c>
      <c r="BF82" s="3">
        <f>0</f>
        <v/>
      </c>
      <c r="BG82" s="3">
        <f>0</f>
        <v/>
      </c>
      <c r="BH82" s="3">
        <f>0</f>
        <v/>
      </c>
      <c r="BI82" s="3">
        <f>0</f>
        <v/>
      </c>
      <c r="BJ82" s="3">
        <f>0</f>
        <v/>
      </c>
      <c r="BK82" s="3">
        <f>0</f>
        <v/>
      </c>
      <c r="BL82" s="3">
        <f>0</f>
        <v/>
      </c>
      <c r="BM82" s="3">
        <f>0</f>
        <v/>
      </c>
      <c r="BN82" s="3">
        <f>0</f>
        <v/>
      </c>
      <c r="BO82" s="3">
        <f>0</f>
        <v/>
      </c>
      <c r="BP82" s="3">
        <f>0</f>
        <v/>
      </c>
      <c r="BQ82" s="3">
        <f>0</f>
        <v/>
      </c>
      <c r="BR82" s="3">
        <f>0</f>
        <v/>
      </c>
      <c r="BS82" s="3">
        <f>0</f>
        <v/>
      </c>
      <c r="BT82" s="3">
        <f>0</f>
        <v/>
      </c>
      <c r="BU82" s="3">
        <f>0</f>
        <v/>
      </c>
      <c r="BV82" s="3">
        <f>0</f>
        <v/>
      </c>
    </row>
    <row r="83">
      <c r="A83" t="inlineStr">
        <is>
          <t>active</t>
        </is>
      </c>
      <c r="B83" t="inlineStr">
        <is>
          <t>LATAM|BASIC_A</t>
        </is>
      </c>
      <c r="C83" s="3">
        <f>React!$C$82*Curves!$BV$17</f>
        <v/>
      </c>
      <c r="D83" s="3">
        <f>SUMPRODUCT(React!$C$82:$D$82,Curves!$BU$17:$BV$17)</f>
        <v/>
      </c>
      <c r="E83" s="3">
        <f>SUMPRODUCT(React!$C$82:$E$82,Curves!$BT$17:$BV$17)</f>
        <v/>
      </c>
      <c r="F83" s="3">
        <f>SUMPRODUCT(React!$C$82:$F$82,Curves!$BS$17:$BV$17)</f>
        <v/>
      </c>
      <c r="G83" s="3">
        <f>SUMPRODUCT(React!$C$82:$G$82,Curves!$BR$17:$BV$17)</f>
        <v/>
      </c>
      <c r="H83" s="3">
        <f>SUMPRODUCT(React!$C$82:$H$82,Curves!$BQ$17:$BV$17)</f>
        <v/>
      </c>
      <c r="I83" s="3">
        <f>SUMPRODUCT(React!$C$82:$I$82,Curves!$BP$17:$BV$17)</f>
        <v/>
      </c>
      <c r="J83" s="3">
        <f>SUMPRODUCT(React!$C$82:$J$82,Curves!$BO$17:$BV$17)</f>
        <v/>
      </c>
      <c r="K83" s="3">
        <f>SUMPRODUCT(React!$C$82:$K$82,Curves!$BN$17:$BV$17)</f>
        <v/>
      </c>
      <c r="L83" s="3">
        <f>SUMPRODUCT(React!$C$82:$L$82,Curves!$BM$17:$BV$17)</f>
        <v/>
      </c>
      <c r="M83" s="3">
        <f>SUMPRODUCT(React!$C$82:$M$82,Curves!$BL$17:$BV$17)</f>
        <v/>
      </c>
      <c r="N83" s="3">
        <f>SUMPRODUCT(React!$C$82:$N$82,Curves!$BK$17:$BV$17)</f>
        <v/>
      </c>
      <c r="O83" s="3">
        <f>SUMPRODUCT(React!$C$82:$O$82,Curves!$BJ$17:$BV$17)</f>
        <v/>
      </c>
      <c r="P83" s="3">
        <f>SUMPRODUCT(React!$C$82:$P$82,Curves!$BI$17:$BV$17)</f>
        <v/>
      </c>
      <c r="Q83" s="3">
        <f>SUMPRODUCT(React!$C$82:$Q$82,Curves!$BH$17:$BV$17)</f>
        <v/>
      </c>
      <c r="R83" s="3">
        <f>SUMPRODUCT(React!$C$82:$R$82,Curves!$BG$17:$BV$17)</f>
        <v/>
      </c>
      <c r="S83" s="3">
        <f>SUMPRODUCT(React!$C$82:$S$82,Curves!$BF$17:$BV$17)</f>
        <v/>
      </c>
      <c r="T83" s="3">
        <f>SUMPRODUCT(React!$C$82:$T$82,Curves!$BE$17:$BV$17)</f>
        <v/>
      </c>
      <c r="U83" s="3">
        <f>SUMPRODUCT(React!$C$82:$U$82,Curves!$BD$17:$BV$17)</f>
        <v/>
      </c>
      <c r="V83" s="3">
        <f>SUMPRODUCT(React!$C$82:$V$82,Curves!$BC$17:$BV$17)</f>
        <v/>
      </c>
      <c r="W83" s="3">
        <f>SUMPRODUCT(React!$C$82:$W$82,Curves!$BB$17:$BV$17)</f>
        <v/>
      </c>
      <c r="X83" s="3">
        <f>SUMPRODUCT(React!$C$82:$X$82,Curves!$BA$17:$BV$17)</f>
        <v/>
      </c>
      <c r="Y83" s="3">
        <f>SUMPRODUCT(React!$C$82:$Y$82,Curves!$AZ$17:$BV$17)</f>
        <v/>
      </c>
      <c r="Z83" s="3">
        <f>SUMPRODUCT(React!$C$82:$Z$82,Curves!$AY$17:$BV$17)</f>
        <v/>
      </c>
      <c r="AA83" s="3">
        <f>SUMPRODUCT(React!$C$82:$AA$82,Curves!$AX$17:$BV$17)</f>
        <v/>
      </c>
      <c r="AB83" s="3">
        <f>SUMPRODUCT(React!$C$82:$AB$82,Curves!$AW$17:$BV$17)</f>
        <v/>
      </c>
      <c r="AC83" s="3">
        <f>SUMPRODUCT(React!$C$82:$AC$82,Curves!$AV$17:$BV$17)</f>
        <v/>
      </c>
      <c r="AD83" s="3">
        <f>SUMPRODUCT(React!$C$82:$AD$82,Curves!$AU$17:$BV$17)</f>
        <v/>
      </c>
      <c r="AE83" s="3">
        <f>SUMPRODUCT(React!$C$82:$AE$82,Curves!$AT$17:$BV$17)</f>
        <v/>
      </c>
      <c r="AF83" s="3">
        <f>SUMPRODUCT(React!$C$82:$AF$82,Curves!$AS$17:$BV$17)</f>
        <v/>
      </c>
      <c r="AG83" s="3">
        <f>SUMPRODUCT(React!$C$82:$AG$82,Curves!$AR$17:$BV$17)</f>
        <v/>
      </c>
      <c r="AH83" s="3">
        <f>SUMPRODUCT(React!$C$82:$AH$82,Curves!$AQ$17:$BV$17)</f>
        <v/>
      </c>
      <c r="AI83" s="3">
        <f>SUMPRODUCT(React!$C$82:$AI$82,Curves!$AP$17:$BV$17)</f>
        <v/>
      </c>
      <c r="AJ83" s="3">
        <f>SUMPRODUCT(React!$C$82:$AJ$82,Curves!$AO$17:$BV$17)</f>
        <v/>
      </c>
      <c r="AK83" s="3">
        <f>SUMPRODUCT(React!$C$82:$AK$82,Curves!$AN$17:$BV$17)</f>
        <v/>
      </c>
      <c r="AL83" s="3">
        <f>SUMPRODUCT(React!$C$82:$AL$82,Curves!$AM$17:$BV$17)</f>
        <v/>
      </c>
      <c r="AM83" s="3">
        <f>SUMPRODUCT(React!$C$82:$AM$82,Curves!$AL$17:$BV$17)</f>
        <v/>
      </c>
      <c r="AN83" s="3">
        <f>SUMPRODUCT(React!$C$82:$AN$82,Curves!$AK$17:$BV$17)</f>
        <v/>
      </c>
      <c r="AO83" s="3">
        <f>SUMPRODUCT(React!$C$82:$AO$82,Curves!$AJ$17:$BV$17)</f>
        <v/>
      </c>
      <c r="AP83" s="3">
        <f>SUMPRODUCT(React!$C$82:$AP$82,Curves!$AI$17:$BV$17)</f>
        <v/>
      </c>
      <c r="AQ83" s="3">
        <f>SUMPRODUCT(React!$C$82:$AQ$82,Curves!$AH$17:$BV$17)</f>
        <v/>
      </c>
      <c r="AR83" s="3">
        <f>SUMPRODUCT(React!$C$82:$AR$82,Curves!$AG$17:$BV$17)</f>
        <v/>
      </c>
      <c r="AS83" s="3">
        <f>SUMPRODUCT(React!$C$82:$AS$82,Curves!$AF$17:$BV$17)</f>
        <v/>
      </c>
      <c r="AT83" s="3">
        <f>SUMPRODUCT(React!$C$82:$AT$82,Curves!$AE$17:$BV$17)</f>
        <v/>
      </c>
      <c r="AU83" s="3">
        <f>SUMPRODUCT(React!$C$82:$AU$82,Curves!$AD$17:$BV$17)</f>
        <v/>
      </c>
      <c r="AV83" s="3">
        <f>SUMPRODUCT(React!$C$82:$AV$82,Curves!$AC$17:$BV$17)</f>
        <v/>
      </c>
      <c r="AW83" s="3">
        <f>SUMPRODUCT(React!$C$82:$AW$82,Curves!$AB$17:$BV$17)</f>
        <v/>
      </c>
      <c r="AX83" s="3">
        <f>SUMPRODUCT(React!$C$82:$AX$82,Curves!$AA$17:$BV$17)</f>
        <v/>
      </c>
      <c r="AY83" s="3">
        <f>SUMPRODUCT(React!$C$82:$AY$82,Curves!$Z$17:$BV$17)</f>
        <v/>
      </c>
      <c r="AZ83" s="3">
        <f>SUMPRODUCT(React!$C$82:$AZ$82,Curves!$Y$17:$BV$17)</f>
        <v/>
      </c>
      <c r="BA83" s="3">
        <f>SUMPRODUCT(React!$C$82:$BA$82,Curves!$X$17:$BV$17)</f>
        <v/>
      </c>
      <c r="BB83" s="3">
        <f>SUMPRODUCT(React!$C$82:$BB$82,Curves!$W$17:$BV$17)</f>
        <v/>
      </c>
      <c r="BC83" s="3">
        <f>SUMPRODUCT(React!$C$82:$BC$82,Curves!$V$17:$BV$17)</f>
        <v/>
      </c>
      <c r="BD83" s="3">
        <f>SUMPRODUCT(React!$C$82:$BD$82,Curves!$U$17:$BV$17)</f>
        <v/>
      </c>
      <c r="BE83" s="3">
        <f>SUMPRODUCT(React!$C$82:$BE$82,Curves!$T$17:$BV$17)</f>
        <v/>
      </c>
      <c r="BF83" s="3">
        <f>SUMPRODUCT(React!$C$82:$BF$82,Curves!$S$17:$BV$17)</f>
        <v/>
      </c>
      <c r="BG83" s="3">
        <f>SUMPRODUCT(React!$C$82:$BG$82,Curves!$R$17:$BV$17)</f>
        <v/>
      </c>
      <c r="BH83" s="3">
        <f>SUMPRODUCT(React!$C$82:$BH$82,Curves!$Q$17:$BV$17)</f>
        <v/>
      </c>
      <c r="BI83" s="3">
        <f>SUMPRODUCT(React!$C$82:$BI$82,Curves!$P$17:$BV$17)</f>
        <v/>
      </c>
      <c r="BJ83" s="3">
        <f>SUMPRODUCT(React!$C$82:$BJ$82,Curves!$O$17:$BV$17)</f>
        <v/>
      </c>
      <c r="BK83" s="3">
        <f>SUMPRODUCT(React!$C$82:$BK$82,Curves!$N$17:$BV$17)</f>
        <v/>
      </c>
      <c r="BL83" s="3">
        <f>SUMPRODUCT(React!$C$82:$BL$82,Curves!$M$17:$BV$17)</f>
        <v/>
      </c>
      <c r="BM83" s="3">
        <f>SUMPRODUCT(React!$C$82:$BM$82,Curves!$L$17:$BV$17)</f>
        <v/>
      </c>
      <c r="BN83" s="3">
        <f>SUMPRODUCT(React!$C$82:$BN$82,Curves!$K$17:$BV$17)</f>
        <v/>
      </c>
      <c r="BO83" s="3">
        <f>SUMPRODUCT(React!$C$82:$BO$82,Curves!$J$17:$BV$17)</f>
        <v/>
      </c>
      <c r="BP83" s="3">
        <f>SUMPRODUCT(React!$C$82:$BP$82,Curves!$I$17:$BV$17)</f>
        <v/>
      </c>
      <c r="BQ83" s="3">
        <f>SUMPRODUCT(React!$C$82:$BQ$82,Curves!$H$17:$BV$17)</f>
        <v/>
      </c>
      <c r="BR83" s="3">
        <f>SUMPRODUCT(React!$C$82:$BR$82,Curves!$G$17:$BV$17)</f>
        <v/>
      </c>
      <c r="BS83" s="3">
        <f>SUMPRODUCT(React!$C$82:$BS$82,Curves!$F$17:$BV$17)</f>
        <v/>
      </c>
      <c r="BT83" s="3">
        <f>SUMPRODUCT(React!$C$82:$BT$82,Curves!$E$17:$BV$17)</f>
        <v/>
      </c>
      <c r="BU83" s="3">
        <f>SUMPRODUCT(React!$C$82:$BU$82,Curves!$D$17:$BV$17)</f>
        <v/>
      </c>
      <c r="BV83" s="3">
        <f>SUMPRODUCT(React!$C$82:$BV$82,Curves!$C$17:$BV$17)</f>
        <v/>
      </c>
    </row>
    <row r="84">
      <c r="A84" t="inlineStr">
        <is>
          <t>active yr 1</t>
        </is>
      </c>
      <c r="B84" t="inlineStr">
        <is>
          <t>LATAM|BASIC_A</t>
        </is>
      </c>
      <c r="C84" s="3">
        <f>React!$C$82*Curves!$BV$22</f>
        <v/>
      </c>
      <c r="D84" s="3">
        <f>SUMPRODUCT(React!$C$82:$D$82,Curves!$BU$22:$BV$22)</f>
        <v/>
      </c>
      <c r="E84" s="3">
        <f>SUMPRODUCT(React!$C$82:$E$82,Curves!$BT$22:$BV$22)</f>
        <v/>
      </c>
      <c r="F84" s="3">
        <f>SUMPRODUCT(React!$C$82:$F$82,Curves!$BS$22:$BV$22)</f>
        <v/>
      </c>
      <c r="G84" s="3">
        <f>SUMPRODUCT(React!$C$82:$G$82,Curves!$BR$22:$BV$22)</f>
        <v/>
      </c>
      <c r="H84" s="3">
        <f>SUMPRODUCT(React!$C$82:$H$82,Curves!$BQ$22:$BV$22)</f>
        <v/>
      </c>
      <c r="I84" s="3">
        <f>SUMPRODUCT(React!$C$82:$I$82,Curves!$BP$22:$BV$22)</f>
        <v/>
      </c>
      <c r="J84" s="3">
        <f>SUMPRODUCT(React!$C$82:$J$82,Curves!$BO$22:$BV$22)</f>
        <v/>
      </c>
      <c r="K84" s="3">
        <f>SUMPRODUCT(React!$C$82:$K$82,Curves!$BN$22:$BV$22)</f>
        <v/>
      </c>
      <c r="L84" s="3">
        <f>SUMPRODUCT(React!$C$82:$L$82,Curves!$BM$22:$BV$22)</f>
        <v/>
      </c>
      <c r="M84" s="3">
        <f>SUMPRODUCT(React!$C$82:$M$82,Curves!$BL$22:$BV$22)</f>
        <v/>
      </c>
      <c r="N84" s="3">
        <f>SUMPRODUCT(React!$C$82:$N$82,Curves!$BK$22:$BV$22)</f>
        <v/>
      </c>
      <c r="O84" s="3">
        <f>SUMPRODUCT(React!$C$82:$O$82,Curves!$BJ$22:$BV$22)</f>
        <v/>
      </c>
      <c r="P84" s="3">
        <f>SUMPRODUCT(React!$C$82:$P$82,Curves!$BI$22:$BV$22)</f>
        <v/>
      </c>
      <c r="Q84" s="3">
        <f>SUMPRODUCT(React!$C$82:$Q$82,Curves!$BH$22:$BV$22)</f>
        <v/>
      </c>
      <c r="R84" s="3">
        <f>SUMPRODUCT(React!$C$82:$R$82,Curves!$BG$22:$BV$22)</f>
        <v/>
      </c>
      <c r="S84" s="3">
        <f>SUMPRODUCT(React!$C$82:$S$82,Curves!$BF$22:$BV$22)</f>
        <v/>
      </c>
      <c r="T84" s="3">
        <f>SUMPRODUCT(React!$C$82:$T$82,Curves!$BE$22:$BV$22)</f>
        <v/>
      </c>
      <c r="U84" s="3">
        <f>SUMPRODUCT(React!$C$82:$U$82,Curves!$BD$22:$BV$22)</f>
        <v/>
      </c>
      <c r="V84" s="3">
        <f>SUMPRODUCT(React!$C$82:$V$82,Curves!$BC$22:$BV$22)</f>
        <v/>
      </c>
      <c r="W84" s="3">
        <f>SUMPRODUCT(React!$C$82:$W$82,Curves!$BB$22:$BV$22)</f>
        <v/>
      </c>
      <c r="X84" s="3">
        <f>SUMPRODUCT(React!$C$82:$X$82,Curves!$BA$22:$BV$22)</f>
        <v/>
      </c>
      <c r="Y84" s="3">
        <f>SUMPRODUCT(React!$C$82:$Y$82,Curves!$AZ$22:$BV$22)</f>
        <v/>
      </c>
      <c r="Z84" s="3">
        <f>SUMPRODUCT(React!$C$82:$Z$82,Curves!$AY$22:$BV$22)</f>
        <v/>
      </c>
      <c r="AA84" s="3">
        <f>SUMPRODUCT(React!$C$82:$AA$82,Curves!$AX$22:$BV$22)</f>
        <v/>
      </c>
      <c r="AB84" s="3">
        <f>SUMPRODUCT(React!$C$82:$AB$82,Curves!$AW$22:$BV$22)</f>
        <v/>
      </c>
      <c r="AC84" s="3">
        <f>SUMPRODUCT(React!$C$82:$AC$82,Curves!$AV$22:$BV$22)</f>
        <v/>
      </c>
      <c r="AD84" s="3">
        <f>SUMPRODUCT(React!$C$82:$AD$82,Curves!$AU$22:$BV$22)</f>
        <v/>
      </c>
      <c r="AE84" s="3">
        <f>SUMPRODUCT(React!$C$82:$AE$82,Curves!$AT$22:$BV$22)</f>
        <v/>
      </c>
      <c r="AF84" s="3">
        <f>SUMPRODUCT(React!$C$82:$AF$82,Curves!$AS$22:$BV$22)</f>
        <v/>
      </c>
      <c r="AG84" s="3">
        <f>SUMPRODUCT(React!$C$82:$AG$82,Curves!$AR$22:$BV$22)</f>
        <v/>
      </c>
      <c r="AH84" s="3">
        <f>SUMPRODUCT(React!$C$82:$AH$82,Curves!$AQ$22:$BV$22)</f>
        <v/>
      </c>
      <c r="AI84" s="3">
        <f>SUMPRODUCT(React!$C$82:$AI$82,Curves!$AP$22:$BV$22)</f>
        <v/>
      </c>
      <c r="AJ84" s="3">
        <f>SUMPRODUCT(React!$C$82:$AJ$82,Curves!$AO$22:$BV$22)</f>
        <v/>
      </c>
      <c r="AK84" s="3">
        <f>SUMPRODUCT(React!$C$82:$AK$82,Curves!$AN$22:$BV$22)</f>
        <v/>
      </c>
      <c r="AL84" s="3">
        <f>SUMPRODUCT(React!$C$82:$AL$82,Curves!$AM$22:$BV$22)</f>
        <v/>
      </c>
      <c r="AM84" s="3">
        <f>SUMPRODUCT(React!$C$82:$AM$82,Curves!$AL$22:$BV$22)</f>
        <v/>
      </c>
      <c r="AN84" s="3">
        <f>SUMPRODUCT(React!$C$82:$AN$82,Curves!$AK$22:$BV$22)</f>
        <v/>
      </c>
      <c r="AO84" s="3">
        <f>SUMPRODUCT(React!$C$82:$AO$82,Curves!$AJ$22:$BV$22)</f>
        <v/>
      </c>
      <c r="AP84" s="3">
        <f>SUMPRODUCT(React!$C$82:$AP$82,Curves!$AI$22:$BV$22)</f>
        <v/>
      </c>
      <c r="AQ84" s="3">
        <f>SUMPRODUCT(React!$C$82:$AQ$82,Curves!$AH$22:$BV$22)</f>
        <v/>
      </c>
      <c r="AR84" s="3">
        <f>SUMPRODUCT(React!$C$82:$AR$82,Curves!$AG$22:$BV$22)</f>
        <v/>
      </c>
      <c r="AS84" s="3">
        <f>SUMPRODUCT(React!$C$82:$AS$82,Curves!$AF$22:$BV$22)</f>
        <v/>
      </c>
      <c r="AT84" s="3">
        <f>SUMPRODUCT(React!$C$82:$AT$82,Curves!$AE$22:$BV$22)</f>
        <v/>
      </c>
      <c r="AU84" s="3">
        <f>SUMPRODUCT(React!$C$82:$AU$82,Curves!$AD$22:$BV$22)</f>
        <v/>
      </c>
      <c r="AV84" s="3">
        <f>SUMPRODUCT(React!$C$82:$AV$82,Curves!$AC$22:$BV$22)</f>
        <v/>
      </c>
      <c r="AW84" s="3">
        <f>SUMPRODUCT(React!$C$82:$AW$82,Curves!$AB$22:$BV$22)</f>
        <v/>
      </c>
      <c r="AX84" s="3">
        <f>SUMPRODUCT(React!$C$82:$AX$82,Curves!$AA$22:$BV$22)</f>
        <v/>
      </c>
      <c r="AY84" s="3">
        <f>SUMPRODUCT(React!$C$82:$AY$82,Curves!$Z$22:$BV$22)</f>
        <v/>
      </c>
      <c r="AZ84" s="3">
        <f>SUMPRODUCT(React!$C$82:$AZ$82,Curves!$Y$22:$BV$22)</f>
        <v/>
      </c>
      <c r="BA84" s="3">
        <f>SUMPRODUCT(React!$C$82:$BA$82,Curves!$X$22:$BV$22)</f>
        <v/>
      </c>
      <c r="BB84" s="3">
        <f>SUMPRODUCT(React!$C$82:$BB$82,Curves!$W$22:$BV$22)</f>
        <v/>
      </c>
      <c r="BC84" s="3">
        <f>SUMPRODUCT(React!$C$82:$BC$82,Curves!$V$22:$BV$22)</f>
        <v/>
      </c>
      <c r="BD84" s="3">
        <f>SUMPRODUCT(React!$C$82:$BD$82,Curves!$U$22:$BV$22)</f>
        <v/>
      </c>
      <c r="BE84" s="3">
        <f>SUMPRODUCT(React!$C$82:$BE$82,Curves!$T$22:$BV$22)</f>
        <v/>
      </c>
      <c r="BF84" s="3">
        <f>SUMPRODUCT(React!$C$82:$BF$82,Curves!$S$22:$BV$22)</f>
        <v/>
      </c>
      <c r="BG84" s="3">
        <f>SUMPRODUCT(React!$C$82:$BG$82,Curves!$R$22:$BV$22)</f>
        <v/>
      </c>
      <c r="BH84" s="3">
        <f>SUMPRODUCT(React!$C$82:$BH$82,Curves!$Q$22:$BV$22)</f>
        <v/>
      </c>
      <c r="BI84" s="3">
        <f>SUMPRODUCT(React!$C$82:$BI$82,Curves!$P$22:$BV$22)</f>
        <v/>
      </c>
      <c r="BJ84" s="3">
        <f>SUMPRODUCT(React!$C$82:$BJ$82,Curves!$O$22:$BV$22)</f>
        <v/>
      </c>
      <c r="BK84" s="3">
        <f>SUMPRODUCT(React!$C$82:$BK$82,Curves!$N$22:$BV$22)</f>
        <v/>
      </c>
      <c r="BL84" s="3">
        <f>SUMPRODUCT(React!$C$82:$BL$82,Curves!$M$22:$BV$22)</f>
        <v/>
      </c>
      <c r="BM84" s="3">
        <f>SUMPRODUCT(React!$C$82:$BM$82,Curves!$L$22:$BV$22)</f>
        <v/>
      </c>
      <c r="BN84" s="3">
        <f>SUMPRODUCT(React!$C$82:$BN$82,Curves!$K$22:$BV$22)</f>
        <v/>
      </c>
      <c r="BO84" s="3">
        <f>SUMPRODUCT(React!$C$82:$BO$82,Curves!$J$22:$BV$22)</f>
        <v/>
      </c>
      <c r="BP84" s="3">
        <f>SUMPRODUCT(React!$C$82:$BP$82,Curves!$I$22:$BV$22)</f>
        <v/>
      </c>
      <c r="BQ84" s="3">
        <f>SUMPRODUCT(React!$C$82:$BQ$82,Curves!$H$22:$BV$22)</f>
        <v/>
      </c>
      <c r="BR84" s="3">
        <f>SUMPRODUCT(React!$C$82:$BR$82,Curves!$G$22:$BV$22)</f>
        <v/>
      </c>
      <c r="BS84" s="3">
        <f>SUMPRODUCT(React!$C$82:$BS$82,Curves!$F$22:$BV$22)</f>
        <v/>
      </c>
      <c r="BT84" s="3">
        <f>SUMPRODUCT(React!$C$82:$BT$82,Curves!$E$22:$BV$22)</f>
        <v/>
      </c>
      <c r="BU84" s="3">
        <f>SUMPRODUCT(React!$C$82:$BU$82,Curves!$D$22:$BV$22)</f>
        <v/>
      </c>
      <c r="BV84" s="3">
        <f>SUMPRODUCT(React!$C$82:$BV$82,Curves!$C$22:$BV$22)</f>
        <v/>
      </c>
    </row>
    <row r="85">
      <c r="A85" t="inlineStr">
        <is>
          <t>churned</t>
        </is>
      </c>
      <c r="B85" t="inlineStr">
        <is>
          <t>LATAM|BASIC_A</t>
        </is>
      </c>
      <c r="C85" s="3">
        <f>React!$C$82*Curves!$BV$18</f>
        <v/>
      </c>
      <c r="D85" s="3">
        <f>SUMPRODUCT(React!$C$82:$D$82,Curves!$BU$18:$BV$18)</f>
        <v/>
      </c>
      <c r="E85" s="3">
        <f>SUMPRODUCT(React!$C$82:$E$82,Curves!$BT$18:$BV$18)</f>
        <v/>
      </c>
      <c r="F85" s="3">
        <f>SUMPRODUCT(React!$C$82:$F$82,Curves!$BS$18:$BV$18)</f>
        <v/>
      </c>
      <c r="G85" s="3">
        <f>SUMPRODUCT(React!$C$82:$G$82,Curves!$BR$18:$BV$18)</f>
        <v/>
      </c>
      <c r="H85" s="3">
        <f>SUMPRODUCT(React!$C$82:$H$82,Curves!$BQ$18:$BV$18)</f>
        <v/>
      </c>
      <c r="I85" s="3">
        <f>SUMPRODUCT(React!$C$82:$I$82,Curves!$BP$18:$BV$18)</f>
        <v/>
      </c>
      <c r="J85" s="3">
        <f>SUMPRODUCT(React!$C$82:$J$82,Curves!$BO$18:$BV$18)</f>
        <v/>
      </c>
      <c r="K85" s="3">
        <f>SUMPRODUCT(React!$C$82:$K$82,Curves!$BN$18:$BV$18)</f>
        <v/>
      </c>
      <c r="L85" s="3">
        <f>SUMPRODUCT(React!$C$82:$L$82,Curves!$BM$18:$BV$18)</f>
        <v/>
      </c>
      <c r="M85" s="3">
        <f>SUMPRODUCT(React!$C$82:$M$82,Curves!$BL$18:$BV$18)</f>
        <v/>
      </c>
      <c r="N85" s="3">
        <f>SUMPRODUCT(React!$C$82:$N$82,Curves!$BK$18:$BV$18)</f>
        <v/>
      </c>
      <c r="O85" s="3">
        <f>SUMPRODUCT(React!$C$82:$O$82,Curves!$BJ$18:$BV$18)</f>
        <v/>
      </c>
      <c r="P85" s="3">
        <f>SUMPRODUCT(React!$C$82:$P$82,Curves!$BI$18:$BV$18)</f>
        <v/>
      </c>
      <c r="Q85" s="3">
        <f>SUMPRODUCT(React!$C$82:$Q$82,Curves!$BH$18:$BV$18)</f>
        <v/>
      </c>
      <c r="R85" s="3">
        <f>SUMPRODUCT(React!$C$82:$R$82,Curves!$BG$18:$BV$18)</f>
        <v/>
      </c>
      <c r="S85" s="3">
        <f>SUMPRODUCT(React!$C$82:$S$82,Curves!$BF$18:$BV$18)</f>
        <v/>
      </c>
      <c r="T85" s="3">
        <f>SUMPRODUCT(React!$C$82:$T$82,Curves!$BE$18:$BV$18)</f>
        <v/>
      </c>
      <c r="U85" s="3">
        <f>SUMPRODUCT(React!$C$82:$U$82,Curves!$BD$18:$BV$18)</f>
        <v/>
      </c>
      <c r="V85" s="3">
        <f>SUMPRODUCT(React!$C$82:$V$82,Curves!$BC$18:$BV$18)</f>
        <v/>
      </c>
      <c r="W85" s="3">
        <f>SUMPRODUCT(React!$C$82:$W$82,Curves!$BB$18:$BV$18)</f>
        <v/>
      </c>
      <c r="X85" s="3">
        <f>SUMPRODUCT(React!$C$82:$X$82,Curves!$BA$18:$BV$18)</f>
        <v/>
      </c>
      <c r="Y85" s="3">
        <f>SUMPRODUCT(React!$C$82:$Y$82,Curves!$AZ$18:$BV$18)</f>
        <v/>
      </c>
      <c r="Z85" s="3">
        <f>SUMPRODUCT(React!$C$82:$Z$82,Curves!$AY$18:$BV$18)</f>
        <v/>
      </c>
      <c r="AA85" s="3">
        <f>SUMPRODUCT(React!$C$82:$AA$82,Curves!$AX$18:$BV$18)</f>
        <v/>
      </c>
      <c r="AB85" s="3">
        <f>SUMPRODUCT(React!$C$82:$AB$82,Curves!$AW$18:$BV$18)</f>
        <v/>
      </c>
      <c r="AC85" s="3">
        <f>SUMPRODUCT(React!$C$82:$AC$82,Curves!$AV$18:$BV$18)</f>
        <v/>
      </c>
      <c r="AD85" s="3">
        <f>SUMPRODUCT(React!$C$82:$AD$82,Curves!$AU$18:$BV$18)</f>
        <v/>
      </c>
      <c r="AE85" s="3">
        <f>SUMPRODUCT(React!$C$82:$AE$82,Curves!$AT$18:$BV$18)</f>
        <v/>
      </c>
      <c r="AF85" s="3">
        <f>SUMPRODUCT(React!$C$82:$AF$82,Curves!$AS$18:$BV$18)</f>
        <v/>
      </c>
      <c r="AG85" s="3">
        <f>SUMPRODUCT(React!$C$82:$AG$82,Curves!$AR$18:$BV$18)</f>
        <v/>
      </c>
      <c r="AH85" s="3">
        <f>SUMPRODUCT(React!$C$82:$AH$82,Curves!$AQ$18:$BV$18)</f>
        <v/>
      </c>
      <c r="AI85" s="3">
        <f>SUMPRODUCT(React!$C$82:$AI$82,Curves!$AP$18:$BV$18)</f>
        <v/>
      </c>
      <c r="AJ85" s="3">
        <f>SUMPRODUCT(React!$C$82:$AJ$82,Curves!$AO$18:$BV$18)</f>
        <v/>
      </c>
      <c r="AK85" s="3">
        <f>SUMPRODUCT(React!$C$82:$AK$82,Curves!$AN$18:$BV$18)</f>
        <v/>
      </c>
      <c r="AL85" s="3">
        <f>SUMPRODUCT(React!$C$82:$AL$82,Curves!$AM$18:$BV$18)</f>
        <v/>
      </c>
      <c r="AM85" s="3">
        <f>SUMPRODUCT(React!$C$82:$AM$82,Curves!$AL$18:$BV$18)</f>
        <v/>
      </c>
      <c r="AN85" s="3">
        <f>SUMPRODUCT(React!$C$82:$AN$82,Curves!$AK$18:$BV$18)</f>
        <v/>
      </c>
      <c r="AO85" s="3">
        <f>SUMPRODUCT(React!$C$82:$AO$82,Curves!$AJ$18:$BV$18)</f>
        <v/>
      </c>
      <c r="AP85" s="3">
        <f>SUMPRODUCT(React!$C$82:$AP$82,Curves!$AI$18:$BV$18)</f>
        <v/>
      </c>
      <c r="AQ85" s="3">
        <f>SUMPRODUCT(React!$C$82:$AQ$82,Curves!$AH$18:$BV$18)</f>
        <v/>
      </c>
      <c r="AR85" s="3">
        <f>SUMPRODUCT(React!$C$82:$AR$82,Curves!$AG$18:$BV$18)</f>
        <v/>
      </c>
      <c r="AS85" s="3">
        <f>SUMPRODUCT(React!$C$82:$AS$82,Curves!$AF$18:$BV$18)</f>
        <v/>
      </c>
      <c r="AT85" s="3">
        <f>SUMPRODUCT(React!$C$82:$AT$82,Curves!$AE$18:$BV$18)</f>
        <v/>
      </c>
      <c r="AU85" s="3">
        <f>SUMPRODUCT(React!$C$82:$AU$82,Curves!$AD$18:$BV$18)</f>
        <v/>
      </c>
      <c r="AV85" s="3">
        <f>SUMPRODUCT(React!$C$82:$AV$82,Curves!$AC$18:$BV$18)</f>
        <v/>
      </c>
      <c r="AW85" s="3">
        <f>SUMPRODUCT(React!$C$82:$AW$82,Curves!$AB$18:$BV$18)</f>
        <v/>
      </c>
      <c r="AX85" s="3">
        <f>SUMPRODUCT(React!$C$82:$AX$82,Curves!$AA$18:$BV$18)</f>
        <v/>
      </c>
      <c r="AY85" s="3">
        <f>SUMPRODUCT(React!$C$82:$AY$82,Curves!$Z$18:$BV$18)</f>
        <v/>
      </c>
      <c r="AZ85" s="3">
        <f>SUMPRODUCT(React!$C$82:$AZ$82,Curves!$Y$18:$BV$18)</f>
        <v/>
      </c>
      <c r="BA85" s="3">
        <f>SUMPRODUCT(React!$C$82:$BA$82,Curves!$X$18:$BV$18)</f>
        <v/>
      </c>
      <c r="BB85" s="3">
        <f>SUMPRODUCT(React!$C$82:$BB$82,Curves!$W$18:$BV$18)</f>
        <v/>
      </c>
      <c r="BC85" s="3">
        <f>SUMPRODUCT(React!$C$82:$BC$82,Curves!$V$18:$BV$18)</f>
        <v/>
      </c>
      <c r="BD85" s="3">
        <f>SUMPRODUCT(React!$C$82:$BD$82,Curves!$U$18:$BV$18)</f>
        <v/>
      </c>
      <c r="BE85" s="3">
        <f>SUMPRODUCT(React!$C$82:$BE$82,Curves!$T$18:$BV$18)</f>
        <v/>
      </c>
      <c r="BF85" s="3">
        <f>SUMPRODUCT(React!$C$82:$BF$82,Curves!$S$18:$BV$18)</f>
        <v/>
      </c>
      <c r="BG85" s="3">
        <f>SUMPRODUCT(React!$C$82:$BG$82,Curves!$R$18:$BV$18)</f>
        <v/>
      </c>
      <c r="BH85" s="3">
        <f>SUMPRODUCT(React!$C$82:$BH$82,Curves!$Q$18:$BV$18)</f>
        <v/>
      </c>
      <c r="BI85" s="3">
        <f>SUMPRODUCT(React!$C$82:$BI$82,Curves!$P$18:$BV$18)</f>
        <v/>
      </c>
      <c r="BJ85" s="3">
        <f>SUMPRODUCT(React!$C$82:$BJ$82,Curves!$O$18:$BV$18)</f>
        <v/>
      </c>
      <c r="BK85" s="3">
        <f>SUMPRODUCT(React!$C$82:$BK$82,Curves!$N$18:$BV$18)</f>
        <v/>
      </c>
      <c r="BL85" s="3">
        <f>SUMPRODUCT(React!$C$82:$BL$82,Curves!$M$18:$BV$18)</f>
        <v/>
      </c>
      <c r="BM85" s="3">
        <f>SUMPRODUCT(React!$C$82:$BM$82,Curves!$L$18:$BV$18)</f>
        <v/>
      </c>
      <c r="BN85" s="3">
        <f>SUMPRODUCT(React!$C$82:$BN$82,Curves!$K$18:$BV$18)</f>
        <v/>
      </c>
      <c r="BO85" s="3">
        <f>SUMPRODUCT(React!$C$82:$BO$82,Curves!$J$18:$BV$18)</f>
        <v/>
      </c>
      <c r="BP85" s="3">
        <f>SUMPRODUCT(React!$C$82:$BP$82,Curves!$I$18:$BV$18)</f>
        <v/>
      </c>
      <c r="BQ85" s="3">
        <f>SUMPRODUCT(React!$C$82:$BQ$82,Curves!$H$18:$BV$18)</f>
        <v/>
      </c>
      <c r="BR85" s="3">
        <f>SUMPRODUCT(React!$C$82:$BR$82,Curves!$G$18:$BV$18)</f>
        <v/>
      </c>
      <c r="BS85" s="3">
        <f>SUMPRODUCT(React!$C$82:$BS$82,Curves!$F$18:$BV$18)</f>
        <v/>
      </c>
      <c r="BT85" s="3">
        <f>SUMPRODUCT(React!$C$82:$BT$82,Curves!$E$18:$BV$18)</f>
        <v/>
      </c>
      <c r="BU85" s="3">
        <f>SUMPRODUCT(React!$C$82:$BU$82,Curves!$D$18:$BV$18)</f>
        <v/>
      </c>
      <c r="BV85" s="3">
        <f>SUMPRODUCT(React!$C$82:$BV$82,Curves!$C$18:$BV$18)</f>
        <v/>
      </c>
    </row>
    <row r="87">
      <c r="A87" t="inlineStr">
        <is>
          <t>churn pool inflow</t>
        </is>
      </c>
      <c r="B87" t="inlineStr">
        <is>
          <t>APAC|NITRO_M</t>
        </is>
      </c>
      <c r="C87" s="3">
        <f>Paid!C53+Legacy!C55</f>
        <v/>
      </c>
      <c r="D87" s="3">
        <f>Paid!D53+Legacy!D55</f>
        <v/>
      </c>
      <c r="E87" s="3">
        <f>Paid!E53+Legacy!E55</f>
        <v/>
      </c>
      <c r="F87" s="3">
        <f>Paid!F53+Legacy!F55</f>
        <v/>
      </c>
      <c r="G87" s="3">
        <f>Paid!G53+Legacy!G55</f>
        <v/>
      </c>
      <c r="H87" s="3">
        <f>Paid!H53+Legacy!H55</f>
        <v/>
      </c>
      <c r="I87" s="3">
        <f>Paid!I53+Legacy!I55</f>
        <v/>
      </c>
      <c r="J87" s="3">
        <f>Paid!J53+Legacy!J55</f>
        <v/>
      </c>
      <c r="K87" s="3">
        <f>Paid!K53+Legacy!K55</f>
        <v/>
      </c>
      <c r="L87" s="3">
        <f>Paid!L53+Legacy!L55</f>
        <v/>
      </c>
      <c r="M87" s="3">
        <f>Paid!M53+Legacy!M55</f>
        <v/>
      </c>
      <c r="N87" s="3">
        <f>Paid!N53+Legacy!N55</f>
        <v/>
      </c>
      <c r="O87" s="3">
        <f>Paid!O53+Legacy!O55</f>
        <v/>
      </c>
      <c r="P87" s="3">
        <f>Paid!P53+Legacy!P55</f>
        <v/>
      </c>
      <c r="Q87" s="3">
        <f>Paid!Q53+Legacy!Q55</f>
        <v/>
      </c>
      <c r="R87" s="3">
        <f>Paid!R53+Legacy!R55</f>
        <v/>
      </c>
      <c r="S87" s="3">
        <f>Paid!S53+Legacy!S55</f>
        <v/>
      </c>
      <c r="T87" s="3">
        <f>Paid!T53+Legacy!T55</f>
        <v/>
      </c>
      <c r="U87" s="3">
        <f>Paid!U53+Legacy!U55</f>
        <v/>
      </c>
      <c r="V87" s="3">
        <f>Paid!V53+Legacy!V55</f>
        <v/>
      </c>
      <c r="W87" s="3">
        <f>Paid!W53+Legacy!W55</f>
        <v/>
      </c>
      <c r="X87" s="3">
        <f>Paid!X53+Legacy!X55</f>
        <v/>
      </c>
      <c r="Y87" s="3">
        <f>Paid!Y53+Legacy!Y55</f>
        <v/>
      </c>
      <c r="Z87" s="3">
        <f>Paid!Z53+Legacy!Z55</f>
        <v/>
      </c>
      <c r="AA87" s="3">
        <f>Paid!AA53+Legacy!AA55</f>
        <v/>
      </c>
      <c r="AB87" s="3">
        <f>Paid!AB53+Legacy!AB55</f>
        <v/>
      </c>
      <c r="AC87" s="3">
        <f>Paid!AC53+Legacy!AC55</f>
        <v/>
      </c>
      <c r="AD87" s="3">
        <f>Paid!AD53+Legacy!AD55</f>
        <v/>
      </c>
      <c r="AE87" s="3">
        <f>Paid!AE53+Legacy!AE55</f>
        <v/>
      </c>
      <c r="AF87" s="3">
        <f>Paid!AF53+Legacy!AF55</f>
        <v/>
      </c>
      <c r="AG87" s="3">
        <f>Paid!AG53+Legacy!AG55</f>
        <v/>
      </c>
      <c r="AH87" s="3">
        <f>Paid!AH53+Legacy!AH55</f>
        <v/>
      </c>
      <c r="AI87" s="3">
        <f>Paid!AI53+Legacy!AI55</f>
        <v/>
      </c>
      <c r="AJ87" s="3">
        <f>Paid!AJ53+Legacy!AJ55</f>
        <v/>
      </c>
      <c r="AK87" s="3">
        <f>Paid!AK53+Legacy!AK55</f>
        <v/>
      </c>
      <c r="AL87" s="3">
        <f>Paid!AL53+Legacy!AL55</f>
        <v/>
      </c>
      <c r="AM87" s="3">
        <f>Paid!AM53+Legacy!AM55</f>
        <v/>
      </c>
      <c r="AN87" s="3">
        <f>Paid!AN53+Legacy!AN55</f>
        <v/>
      </c>
      <c r="AO87" s="3">
        <f>Paid!AO53+Legacy!AO55</f>
        <v/>
      </c>
      <c r="AP87" s="3">
        <f>Paid!AP53+Legacy!AP55</f>
        <v/>
      </c>
      <c r="AQ87" s="3">
        <f>Paid!AQ53+Legacy!AQ55</f>
        <v/>
      </c>
      <c r="AR87" s="3">
        <f>Paid!AR53+Legacy!AR55</f>
        <v/>
      </c>
      <c r="AS87" s="3">
        <f>Paid!AS53+Legacy!AS55</f>
        <v/>
      </c>
      <c r="AT87" s="3">
        <f>Paid!AT53+Legacy!AT55</f>
        <v/>
      </c>
      <c r="AU87" s="3">
        <f>Paid!AU53+Legacy!AU55</f>
        <v/>
      </c>
      <c r="AV87" s="3">
        <f>Paid!AV53+Legacy!AV55</f>
        <v/>
      </c>
      <c r="AW87" s="3">
        <f>Paid!AW53+Legacy!AW55</f>
        <v/>
      </c>
      <c r="AX87" s="3">
        <f>Paid!AX53+Legacy!AX55</f>
        <v/>
      </c>
      <c r="AY87" s="3">
        <f>Paid!AY53+Legacy!AY55</f>
        <v/>
      </c>
      <c r="AZ87" s="3">
        <f>Paid!AZ53+Legacy!AZ55</f>
        <v/>
      </c>
      <c r="BA87" s="3">
        <f>Paid!BA53+Legacy!BA55</f>
        <v/>
      </c>
      <c r="BB87" s="3">
        <f>Paid!BB53+Legacy!BB55</f>
        <v/>
      </c>
      <c r="BC87" s="3">
        <f>Paid!BC53+Legacy!BC55</f>
        <v/>
      </c>
      <c r="BD87" s="3">
        <f>Paid!BD53+Legacy!BD55</f>
        <v/>
      </c>
      <c r="BE87" s="3">
        <f>Paid!BE53+Legacy!BE55</f>
        <v/>
      </c>
      <c r="BF87" s="3">
        <f>Paid!BF53+Legacy!BF55</f>
        <v/>
      </c>
      <c r="BG87" s="3">
        <f>Paid!BG53+Legacy!BG55</f>
        <v/>
      </c>
      <c r="BH87" s="3">
        <f>Paid!BH53+Legacy!BH55</f>
        <v/>
      </c>
      <c r="BI87" s="3">
        <f>Paid!BI53+Legacy!BI55</f>
        <v/>
      </c>
      <c r="BJ87" s="3">
        <f>Paid!BJ53+Legacy!BJ55</f>
        <v/>
      </c>
      <c r="BK87" s="3">
        <f>Paid!BK53+Legacy!BK55</f>
        <v/>
      </c>
      <c r="BL87" s="3">
        <f>Paid!BL53+Legacy!BL55</f>
        <v/>
      </c>
      <c r="BM87" s="3">
        <f>Paid!BM53+Legacy!BM55</f>
        <v/>
      </c>
      <c r="BN87" s="3">
        <f>Paid!BN53+Legacy!BN55</f>
        <v/>
      </c>
      <c r="BO87" s="3">
        <f>Paid!BO53+Legacy!BO55</f>
        <v/>
      </c>
      <c r="BP87" s="3">
        <f>Paid!BP53+Legacy!BP55</f>
        <v/>
      </c>
      <c r="BQ87" s="3">
        <f>Paid!BQ53+Legacy!BQ55</f>
        <v/>
      </c>
      <c r="BR87" s="3">
        <f>Paid!BR53+Legacy!BR55</f>
        <v/>
      </c>
      <c r="BS87" s="3">
        <f>Paid!BS53+Legacy!BS55</f>
        <v/>
      </c>
      <c r="BT87" s="3">
        <f>Paid!BT53+Legacy!BT55</f>
        <v/>
      </c>
      <c r="BU87" s="3">
        <f>Paid!BU53+Legacy!BU55</f>
        <v/>
      </c>
      <c r="BV87" s="3">
        <f>Paid!BV53+Legacy!BV55</f>
        <v/>
      </c>
    </row>
    <row r="88">
      <c r="A88" t="inlineStr">
        <is>
          <t>reactivations out</t>
        </is>
      </c>
      <c r="B88" t="inlineStr">
        <is>
          <t>APAC|NITRO_M</t>
        </is>
      </c>
      <c r="C88" s="3">
        <f>React!$C$87*Curves!$BV$19</f>
        <v/>
      </c>
      <c r="D88" s="3">
        <f>SUMPRODUCT(React!$C$87:$D$87,Curves!$BU$19:$BV$19)</f>
        <v/>
      </c>
      <c r="E88" s="3">
        <f>SUMPRODUCT(React!$C$87:$E$87,Curves!$BT$19:$BV$19)</f>
        <v/>
      </c>
      <c r="F88" s="3">
        <f>SUMPRODUCT(React!$C$87:$F$87,Curves!$BS$19:$BV$19)</f>
        <v/>
      </c>
      <c r="G88" s="3">
        <f>SUMPRODUCT(React!$C$87:$G$87,Curves!$BR$19:$BV$19)</f>
        <v/>
      </c>
      <c r="H88" s="3">
        <f>SUMPRODUCT(React!$C$87:$H$87,Curves!$BQ$19:$BV$19)</f>
        <v/>
      </c>
      <c r="I88" s="3">
        <f>SUMPRODUCT(React!$C$87:$I$87,Curves!$BP$19:$BV$19)</f>
        <v/>
      </c>
      <c r="J88" s="3">
        <f>SUMPRODUCT(React!$C$87:$J$87,Curves!$BO$19:$BV$19)</f>
        <v/>
      </c>
      <c r="K88" s="3">
        <f>SUMPRODUCT(React!$C$87:$K$87,Curves!$BN$19:$BV$19)</f>
        <v/>
      </c>
      <c r="L88" s="3">
        <f>SUMPRODUCT(React!$C$87:$L$87,Curves!$BM$19:$BV$19)</f>
        <v/>
      </c>
      <c r="M88" s="3">
        <f>SUMPRODUCT(React!$C$87:$M$87,Curves!$BL$19:$BV$19)</f>
        <v/>
      </c>
      <c r="N88" s="3">
        <f>SUMPRODUCT(React!$C$87:$N$87,Curves!$BK$19:$BV$19)</f>
        <v/>
      </c>
      <c r="O88" s="3">
        <f>SUMPRODUCT(React!$C$87:$O$87,Curves!$BJ$19:$BV$19)</f>
        <v/>
      </c>
      <c r="P88" s="3">
        <f>SUMPRODUCT(React!$C$87:$P$87,Curves!$BI$19:$BV$19)</f>
        <v/>
      </c>
      <c r="Q88" s="3">
        <f>SUMPRODUCT(React!$C$87:$Q$87,Curves!$BH$19:$BV$19)</f>
        <v/>
      </c>
      <c r="R88" s="3">
        <f>SUMPRODUCT(React!$C$87:$R$87,Curves!$BG$19:$BV$19)</f>
        <v/>
      </c>
      <c r="S88" s="3">
        <f>SUMPRODUCT(React!$C$87:$S$87,Curves!$BF$19:$BV$19)</f>
        <v/>
      </c>
      <c r="T88" s="3">
        <f>SUMPRODUCT(React!$C$87:$T$87,Curves!$BE$19:$BV$19)</f>
        <v/>
      </c>
      <c r="U88" s="3">
        <f>SUMPRODUCT(React!$C$87:$U$87,Curves!$BD$19:$BV$19)</f>
        <v/>
      </c>
      <c r="V88" s="3">
        <f>SUMPRODUCT(React!$C$87:$V$87,Curves!$BC$19:$BV$19)</f>
        <v/>
      </c>
      <c r="W88" s="3">
        <f>SUMPRODUCT(React!$C$87:$W$87,Curves!$BB$19:$BV$19)</f>
        <v/>
      </c>
      <c r="X88" s="3">
        <f>SUMPRODUCT(React!$C$87:$X$87,Curves!$BA$19:$BV$19)</f>
        <v/>
      </c>
      <c r="Y88" s="3">
        <f>SUMPRODUCT(React!$C$87:$Y$87,Curves!$AZ$19:$BV$19)</f>
        <v/>
      </c>
      <c r="Z88" s="3">
        <f>SUMPRODUCT(React!$C$87:$Z$87,Curves!$AY$19:$BV$19)</f>
        <v/>
      </c>
      <c r="AA88" s="3">
        <f>SUMPRODUCT(React!$C$87:$AA$87,Curves!$AX$19:$BV$19)</f>
        <v/>
      </c>
      <c r="AB88" s="3">
        <f>SUMPRODUCT(React!$C$87:$AB$87,Curves!$AW$19:$BV$19)</f>
        <v/>
      </c>
      <c r="AC88" s="3">
        <f>SUMPRODUCT(React!$C$87:$AC$87,Curves!$AV$19:$BV$19)</f>
        <v/>
      </c>
      <c r="AD88" s="3">
        <f>SUMPRODUCT(React!$C$87:$AD$87,Curves!$AU$19:$BV$19)</f>
        <v/>
      </c>
      <c r="AE88" s="3">
        <f>SUMPRODUCT(React!$C$87:$AE$87,Curves!$AT$19:$BV$19)</f>
        <v/>
      </c>
      <c r="AF88" s="3">
        <f>SUMPRODUCT(React!$C$87:$AF$87,Curves!$AS$19:$BV$19)</f>
        <v/>
      </c>
      <c r="AG88" s="3">
        <f>SUMPRODUCT(React!$C$87:$AG$87,Curves!$AR$19:$BV$19)</f>
        <v/>
      </c>
      <c r="AH88" s="3">
        <f>SUMPRODUCT(React!$C$87:$AH$87,Curves!$AQ$19:$BV$19)</f>
        <v/>
      </c>
      <c r="AI88" s="3">
        <f>SUMPRODUCT(React!$C$87:$AI$87,Curves!$AP$19:$BV$19)</f>
        <v/>
      </c>
      <c r="AJ88" s="3">
        <f>SUMPRODUCT(React!$C$87:$AJ$87,Curves!$AO$19:$BV$19)</f>
        <v/>
      </c>
      <c r="AK88" s="3">
        <f>SUMPRODUCT(React!$C$87:$AK$87,Curves!$AN$19:$BV$19)</f>
        <v/>
      </c>
      <c r="AL88" s="3">
        <f>SUMPRODUCT(React!$C$87:$AL$87,Curves!$AM$19:$BV$19)</f>
        <v/>
      </c>
      <c r="AM88" s="3">
        <f>SUMPRODUCT(React!$C$87:$AM$87,Curves!$AL$19:$BV$19)</f>
        <v/>
      </c>
      <c r="AN88" s="3">
        <f>SUMPRODUCT(React!$C$87:$AN$87,Curves!$AK$19:$BV$19)</f>
        <v/>
      </c>
      <c r="AO88" s="3">
        <f>SUMPRODUCT(React!$C$87:$AO$87,Curves!$AJ$19:$BV$19)</f>
        <v/>
      </c>
      <c r="AP88" s="3">
        <f>SUMPRODUCT(React!$C$87:$AP$87,Curves!$AI$19:$BV$19)</f>
        <v/>
      </c>
      <c r="AQ88" s="3">
        <f>SUMPRODUCT(React!$C$87:$AQ$87,Curves!$AH$19:$BV$19)</f>
        <v/>
      </c>
      <c r="AR88" s="3">
        <f>SUMPRODUCT(React!$C$87:$AR$87,Curves!$AG$19:$BV$19)</f>
        <v/>
      </c>
      <c r="AS88" s="3">
        <f>SUMPRODUCT(React!$C$87:$AS$87,Curves!$AF$19:$BV$19)</f>
        <v/>
      </c>
      <c r="AT88" s="3">
        <f>SUMPRODUCT(React!$C$87:$AT$87,Curves!$AE$19:$BV$19)</f>
        <v/>
      </c>
      <c r="AU88" s="3">
        <f>SUMPRODUCT(React!$C$87:$AU$87,Curves!$AD$19:$BV$19)</f>
        <v/>
      </c>
      <c r="AV88" s="3">
        <f>SUMPRODUCT(React!$C$87:$AV$87,Curves!$AC$19:$BV$19)</f>
        <v/>
      </c>
      <c r="AW88" s="3">
        <f>SUMPRODUCT(React!$C$87:$AW$87,Curves!$AB$19:$BV$19)</f>
        <v/>
      </c>
      <c r="AX88" s="3">
        <f>SUMPRODUCT(React!$C$87:$AX$87,Curves!$AA$19:$BV$19)</f>
        <v/>
      </c>
      <c r="AY88" s="3">
        <f>SUMPRODUCT(React!$C$87:$AY$87,Curves!$Z$19:$BV$19)</f>
        <v/>
      </c>
      <c r="AZ88" s="3">
        <f>SUMPRODUCT(React!$C$87:$AZ$87,Curves!$Y$19:$BV$19)</f>
        <v/>
      </c>
      <c r="BA88" s="3">
        <f>SUMPRODUCT(React!$C$87:$BA$87,Curves!$X$19:$BV$19)</f>
        <v/>
      </c>
      <c r="BB88" s="3">
        <f>SUMPRODUCT(React!$C$87:$BB$87,Curves!$W$19:$BV$19)</f>
        <v/>
      </c>
      <c r="BC88" s="3">
        <f>SUMPRODUCT(React!$C$87:$BC$87,Curves!$V$19:$BV$19)</f>
        <v/>
      </c>
      <c r="BD88" s="3">
        <f>SUMPRODUCT(React!$C$87:$BD$87,Curves!$U$19:$BV$19)</f>
        <v/>
      </c>
      <c r="BE88" s="3">
        <f>SUMPRODUCT(React!$C$87:$BE$87,Curves!$T$19:$BV$19)</f>
        <v/>
      </c>
      <c r="BF88" s="3">
        <f>SUMPRODUCT(React!$C$87:$BF$87,Curves!$S$19:$BV$19)</f>
        <v/>
      </c>
      <c r="BG88" s="3">
        <f>SUMPRODUCT(React!$C$87:$BG$87,Curves!$R$19:$BV$19)</f>
        <v/>
      </c>
      <c r="BH88" s="3">
        <f>SUMPRODUCT(React!$C$87:$BH$87,Curves!$Q$19:$BV$19)</f>
        <v/>
      </c>
      <c r="BI88" s="3">
        <f>SUMPRODUCT(React!$C$87:$BI$87,Curves!$P$19:$BV$19)</f>
        <v/>
      </c>
      <c r="BJ88" s="3">
        <f>SUMPRODUCT(React!$C$87:$BJ$87,Curves!$O$19:$BV$19)</f>
        <v/>
      </c>
      <c r="BK88" s="3">
        <f>SUMPRODUCT(React!$C$87:$BK$87,Curves!$N$19:$BV$19)</f>
        <v/>
      </c>
      <c r="BL88" s="3">
        <f>SUMPRODUCT(React!$C$87:$BL$87,Curves!$M$19:$BV$19)</f>
        <v/>
      </c>
      <c r="BM88" s="3">
        <f>SUMPRODUCT(React!$C$87:$BM$87,Curves!$L$19:$BV$19)</f>
        <v/>
      </c>
      <c r="BN88" s="3">
        <f>SUMPRODUCT(React!$C$87:$BN$87,Curves!$K$19:$BV$19)</f>
        <v/>
      </c>
      <c r="BO88" s="3">
        <f>SUMPRODUCT(React!$C$87:$BO$87,Curves!$J$19:$BV$19)</f>
        <v/>
      </c>
      <c r="BP88" s="3">
        <f>SUMPRODUCT(React!$C$87:$BP$87,Curves!$I$19:$BV$19)</f>
        <v/>
      </c>
      <c r="BQ88" s="3">
        <f>SUMPRODUCT(React!$C$87:$BQ$87,Curves!$H$19:$BV$19)</f>
        <v/>
      </c>
      <c r="BR88" s="3">
        <f>SUMPRODUCT(React!$C$87:$BR$87,Curves!$G$19:$BV$19)</f>
        <v/>
      </c>
      <c r="BS88" s="3">
        <f>SUMPRODUCT(React!$C$87:$BS$87,Curves!$F$19:$BV$19)</f>
        <v/>
      </c>
      <c r="BT88" s="3">
        <f>SUMPRODUCT(React!$C$87:$BT$87,Curves!$E$19:$BV$19)</f>
        <v/>
      </c>
      <c r="BU88" s="3">
        <f>SUMPRODUCT(React!$C$87:$BU$87,Curves!$D$19:$BV$19)</f>
        <v/>
      </c>
      <c r="BV88" s="3">
        <f>SUMPRODUCT(React!$C$87:$BV$87,Curves!$C$19:$BV$19)</f>
        <v/>
      </c>
    </row>
    <row r="89">
      <c r="A89" t="inlineStr">
        <is>
          <t>reactivated in</t>
        </is>
      </c>
      <c r="B89" t="inlineStr">
        <is>
          <t>APAC|NITRO_M</t>
        </is>
      </c>
      <c r="C89" s="3">
        <f>C88+C95</f>
        <v/>
      </c>
      <c r="D89" s="3">
        <f>D88+D95</f>
        <v/>
      </c>
      <c r="E89" s="3">
        <f>E88+E95</f>
        <v/>
      </c>
      <c r="F89" s="3">
        <f>F88+F95</f>
        <v/>
      </c>
      <c r="G89" s="3">
        <f>G88+G95</f>
        <v/>
      </c>
      <c r="H89" s="3">
        <f>H88+H95</f>
        <v/>
      </c>
      <c r="I89" s="3">
        <f>I88+I95</f>
        <v/>
      </c>
      <c r="J89" s="3">
        <f>J88+J95</f>
        <v/>
      </c>
      <c r="K89" s="3">
        <f>K88+K95</f>
        <v/>
      </c>
      <c r="L89" s="3">
        <f>L88+L95</f>
        <v/>
      </c>
      <c r="M89" s="3">
        <f>M88+M95</f>
        <v/>
      </c>
      <c r="N89" s="3">
        <f>N88+N95</f>
        <v/>
      </c>
      <c r="O89" s="3">
        <f>O88+O95</f>
        <v/>
      </c>
      <c r="P89" s="3">
        <f>P88+P95</f>
        <v/>
      </c>
      <c r="Q89" s="3">
        <f>Q88+Q95</f>
        <v/>
      </c>
      <c r="R89" s="3">
        <f>R88+R95</f>
        <v/>
      </c>
      <c r="S89" s="3">
        <f>S88+S95</f>
        <v/>
      </c>
      <c r="T89" s="3">
        <f>T88+T95</f>
        <v/>
      </c>
      <c r="U89" s="3">
        <f>U88+U95</f>
        <v/>
      </c>
      <c r="V89" s="3">
        <f>V88+V95</f>
        <v/>
      </c>
      <c r="W89" s="3">
        <f>W88+W95</f>
        <v/>
      </c>
      <c r="X89" s="3">
        <f>X88+X95</f>
        <v/>
      </c>
      <c r="Y89" s="3">
        <f>Y88+Y95</f>
        <v/>
      </c>
      <c r="Z89" s="3">
        <f>Z88+Z95</f>
        <v/>
      </c>
      <c r="AA89" s="3">
        <f>AA88+AA95</f>
        <v/>
      </c>
      <c r="AB89" s="3">
        <f>AB88+AB95</f>
        <v/>
      </c>
      <c r="AC89" s="3">
        <f>AC88+AC95</f>
        <v/>
      </c>
      <c r="AD89" s="3">
        <f>AD88+AD95</f>
        <v/>
      </c>
      <c r="AE89" s="3">
        <f>AE88+AE95</f>
        <v/>
      </c>
      <c r="AF89" s="3">
        <f>AF88+AF95</f>
        <v/>
      </c>
      <c r="AG89" s="3">
        <f>AG88+AG95</f>
        <v/>
      </c>
      <c r="AH89" s="3">
        <f>AH88+AH95</f>
        <v/>
      </c>
      <c r="AI89" s="3">
        <f>AI88+AI95</f>
        <v/>
      </c>
      <c r="AJ89" s="3">
        <f>AJ88+AJ95</f>
        <v/>
      </c>
      <c r="AK89" s="3">
        <f>AK88+AK95</f>
        <v/>
      </c>
      <c r="AL89" s="3">
        <f>AL88+AL95</f>
        <v/>
      </c>
      <c r="AM89" s="3">
        <f>AM88+AM95</f>
        <v/>
      </c>
      <c r="AN89" s="3">
        <f>AN88+AN95</f>
        <v/>
      </c>
      <c r="AO89" s="3">
        <f>AO88+AO95</f>
        <v/>
      </c>
      <c r="AP89" s="3">
        <f>AP88+AP95</f>
        <v/>
      </c>
      <c r="AQ89" s="3">
        <f>AQ88+AQ95</f>
        <v/>
      </c>
      <c r="AR89" s="3">
        <f>AR88+AR95</f>
        <v/>
      </c>
      <c r="AS89" s="3">
        <f>AS88+AS95</f>
        <v/>
      </c>
      <c r="AT89" s="3">
        <f>AT88+AT95</f>
        <v/>
      </c>
      <c r="AU89" s="3">
        <f>AU88+AU95</f>
        <v/>
      </c>
      <c r="AV89" s="3">
        <f>AV88+AV95</f>
        <v/>
      </c>
      <c r="AW89" s="3">
        <f>AW88+AW95</f>
        <v/>
      </c>
      <c r="AX89" s="3">
        <f>AX88+AX95</f>
        <v/>
      </c>
      <c r="AY89" s="3">
        <f>AY88+AY95</f>
        <v/>
      </c>
      <c r="AZ89" s="3">
        <f>AZ88+AZ95</f>
        <v/>
      </c>
      <c r="BA89" s="3">
        <f>BA88+BA95</f>
        <v/>
      </c>
      <c r="BB89" s="3">
        <f>BB88+BB95</f>
        <v/>
      </c>
      <c r="BC89" s="3">
        <f>BC88+BC95</f>
        <v/>
      </c>
      <c r="BD89" s="3">
        <f>BD88+BD95</f>
        <v/>
      </c>
      <c r="BE89" s="3">
        <f>BE88+BE95</f>
        <v/>
      </c>
      <c r="BF89" s="3">
        <f>BF88+BF95</f>
        <v/>
      </c>
      <c r="BG89" s="3">
        <f>BG88+BG95</f>
        <v/>
      </c>
      <c r="BH89" s="3">
        <f>BH88+BH95</f>
        <v/>
      </c>
      <c r="BI89" s="3">
        <f>BI88+BI95</f>
        <v/>
      </c>
      <c r="BJ89" s="3">
        <f>BJ88+BJ95</f>
        <v/>
      </c>
      <c r="BK89" s="3">
        <f>BK88+BK95</f>
        <v/>
      </c>
      <c r="BL89" s="3">
        <f>BL88+BL95</f>
        <v/>
      </c>
      <c r="BM89" s="3">
        <f>BM88+BM95</f>
        <v/>
      </c>
      <c r="BN89" s="3">
        <f>BN88+BN95</f>
        <v/>
      </c>
      <c r="BO89" s="3">
        <f>BO88+BO95</f>
        <v/>
      </c>
      <c r="BP89" s="3">
        <f>BP88+BP95</f>
        <v/>
      </c>
      <c r="BQ89" s="3">
        <f>BQ88+BQ95</f>
        <v/>
      </c>
      <c r="BR89" s="3">
        <f>BR88+BR95</f>
        <v/>
      </c>
      <c r="BS89" s="3">
        <f>BS88+BS95</f>
        <v/>
      </c>
      <c r="BT89" s="3">
        <f>BT88+BT95</f>
        <v/>
      </c>
      <c r="BU89" s="3">
        <f>BU88+BU95</f>
        <v/>
      </c>
      <c r="BV89" s="3">
        <f>BV88+BV95</f>
        <v/>
      </c>
    </row>
    <row r="90">
      <c r="A90" t="inlineStr">
        <is>
          <t>active</t>
        </is>
      </c>
      <c r="B90" t="inlineStr">
        <is>
          <t>APAC|NITRO_M</t>
        </is>
      </c>
      <c r="C90" s="3">
        <f>React!$C$89*Curves!$BV$17</f>
        <v/>
      </c>
      <c r="D90" s="3">
        <f>SUMPRODUCT(React!$C$89:$D$89,Curves!$BU$17:$BV$17)</f>
        <v/>
      </c>
      <c r="E90" s="3">
        <f>SUMPRODUCT(React!$C$89:$E$89,Curves!$BT$17:$BV$17)</f>
        <v/>
      </c>
      <c r="F90" s="3">
        <f>SUMPRODUCT(React!$C$89:$F$89,Curves!$BS$17:$BV$17)</f>
        <v/>
      </c>
      <c r="G90" s="3">
        <f>SUMPRODUCT(React!$C$89:$G$89,Curves!$BR$17:$BV$17)</f>
        <v/>
      </c>
      <c r="H90" s="3">
        <f>SUMPRODUCT(React!$C$89:$H$89,Curves!$BQ$17:$BV$17)</f>
        <v/>
      </c>
      <c r="I90" s="3">
        <f>SUMPRODUCT(React!$C$89:$I$89,Curves!$BP$17:$BV$17)</f>
        <v/>
      </c>
      <c r="J90" s="3">
        <f>SUMPRODUCT(React!$C$89:$J$89,Curves!$BO$17:$BV$17)</f>
        <v/>
      </c>
      <c r="K90" s="3">
        <f>SUMPRODUCT(React!$C$89:$K$89,Curves!$BN$17:$BV$17)</f>
        <v/>
      </c>
      <c r="L90" s="3">
        <f>SUMPRODUCT(React!$C$89:$L$89,Curves!$BM$17:$BV$17)</f>
        <v/>
      </c>
      <c r="M90" s="3">
        <f>SUMPRODUCT(React!$C$89:$M$89,Curves!$BL$17:$BV$17)</f>
        <v/>
      </c>
      <c r="N90" s="3">
        <f>SUMPRODUCT(React!$C$89:$N$89,Curves!$BK$17:$BV$17)</f>
        <v/>
      </c>
      <c r="O90" s="3">
        <f>SUMPRODUCT(React!$C$89:$O$89,Curves!$BJ$17:$BV$17)</f>
        <v/>
      </c>
      <c r="P90" s="3">
        <f>SUMPRODUCT(React!$C$89:$P$89,Curves!$BI$17:$BV$17)</f>
        <v/>
      </c>
      <c r="Q90" s="3">
        <f>SUMPRODUCT(React!$C$89:$Q$89,Curves!$BH$17:$BV$17)</f>
        <v/>
      </c>
      <c r="R90" s="3">
        <f>SUMPRODUCT(React!$C$89:$R$89,Curves!$BG$17:$BV$17)</f>
        <v/>
      </c>
      <c r="S90" s="3">
        <f>SUMPRODUCT(React!$C$89:$S$89,Curves!$BF$17:$BV$17)</f>
        <v/>
      </c>
      <c r="T90" s="3">
        <f>SUMPRODUCT(React!$C$89:$T$89,Curves!$BE$17:$BV$17)</f>
        <v/>
      </c>
      <c r="U90" s="3">
        <f>SUMPRODUCT(React!$C$89:$U$89,Curves!$BD$17:$BV$17)</f>
        <v/>
      </c>
      <c r="V90" s="3">
        <f>SUMPRODUCT(React!$C$89:$V$89,Curves!$BC$17:$BV$17)</f>
        <v/>
      </c>
      <c r="W90" s="3">
        <f>SUMPRODUCT(React!$C$89:$W$89,Curves!$BB$17:$BV$17)</f>
        <v/>
      </c>
      <c r="X90" s="3">
        <f>SUMPRODUCT(React!$C$89:$X$89,Curves!$BA$17:$BV$17)</f>
        <v/>
      </c>
      <c r="Y90" s="3">
        <f>SUMPRODUCT(React!$C$89:$Y$89,Curves!$AZ$17:$BV$17)</f>
        <v/>
      </c>
      <c r="Z90" s="3">
        <f>SUMPRODUCT(React!$C$89:$Z$89,Curves!$AY$17:$BV$17)</f>
        <v/>
      </c>
      <c r="AA90" s="3">
        <f>SUMPRODUCT(React!$C$89:$AA$89,Curves!$AX$17:$BV$17)</f>
        <v/>
      </c>
      <c r="AB90" s="3">
        <f>SUMPRODUCT(React!$C$89:$AB$89,Curves!$AW$17:$BV$17)</f>
        <v/>
      </c>
      <c r="AC90" s="3">
        <f>SUMPRODUCT(React!$C$89:$AC$89,Curves!$AV$17:$BV$17)</f>
        <v/>
      </c>
      <c r="AD90" s="3">
        <f>SUMPRODUCT(React!$C$89:$AD$89,Curves!$AU$17:$BV$17)</f>
        <v/>
      </c>
      <c r="AE90" s="3">
        <f>SUMPRODUCT(React!$C$89:$AE$89,Curves!$AT$17:$BV$17)</f>
        <v/>
      </c>
      <c r="AF90" s="3">
        <f>SUMPRODUCT(React!$C$89:$AF$89,Curves!$AS$17:$BV$17)</f>
        <v/>
      </c>
      <c r="AG90" s="3">
        <f>SUMPRODUCT(React!$C$89:$AG$89,Curves!$AR$17:$BV$17)</f>
        <v/>
      </c>
      <c r="AH90" s="3">
        <f>SUMPRODUCT(React!$C$89:$AH$89,Curves!$AQ$17:$BV$17)</f>
        <v/>
      </c>
      <c r="AI90" s="3">
        <f>SUMPRODUCT(React!$C$89:$AI$89,Curves!$AP$17:$BV$17)</f>
        <v/>
      </c>
      <c r="AJ90" s="3">
        <f>SUMPRODUCT(React!$C$89:$AJ$89,Curves!$AO$17:$BV$17)</f>
        <v/>
      </c>
      <c r="AK90" s="3">
        <f>SUMPRODUCT(React!$C$89:$AK$89,Curves!$AN$17:$BV$17)</f>
        <v/>
      </c>
      <c r="AL90" s="3">
        <f>SUMPRODUCT(React!$C$89:$AL$89,Curves!$AM$17:$BV$17)</f>
        <v/>
      </c>
      <c r="AM90" s="3">
        <f>SUMPRODUCT(React!$C$89:$AM$89,Curves!$AL$17:$BV$17)</f>
        <v/>
      </c>
      <c r="AN90" s="3">
        <f>SUMPRODUCT(React!$C$89:$AN$89,Curves!$AK$17:$BV$17)</f>
        <v/>
      </c>
      <c r="AO90" s="3">
        <f>SUMPRODUCT(React!$C$89:$AO$89,Curves!$AJ$17:$BV$17)</f>
        <v/>
      </c>
      <c r="AP90" s="3">
        <f>SUMPRODUCT(React!$C$89:$AP$89,Curves!$AI$17:$BV$17)</f>
        <v/>
      </c>
      <c r="AQ90" s="3">
        <f>SUMPRODUCT(React!$C$89:$AQ$89,Curves!$AH$17:$BV$17)</f>
        <v/>
      </c>
      <c r="AR90" s="3">
        <f>SUMPRODUCT(React!$C$89:$AR$89,Curves!$AG$17:$BV$17)</f>
        <v/>
      </c>
      <c r="AS90" s="3">
        <f>SUMPRODUCT(React!$C$89:$AS$89,Curves!$AF$17:$BV$17)</f>
        <v/>
      </c>
      <c r="AT90" s="3">
        <f>SUMPRODUCT(React!$C$89:$AT$89,Curves!$AE$17:$BV$17)</f>
        <v/>
      </c>
      <c r="AU90" s="3">
        <f>SUMPRODUCT(React!$C$89:$AU$89,Curves!$AD$17:$BV$17)</f>
        <v/>
      </c>
      <c r="AV90" s="3">
        <f>SUMPRODUCT(React!$C$89:$AV$89,Curves!$AC$17:$BV$17)</f>
        <v/>
      </c>
      <c r="AW90" s="3">
        <f>SUMPRODUCT(React!$C$89:$AW$89,Curves!$AB$17:$BV$17)</f>
        <v/>
      </c>
      <c r="AX90" s="3">
        <f>SUMPRODUCT(React!$C$89:$AX$89,Curves!$AA$17:$BV$17)</f>
        <v/>
      </c>
      <c r="AY90" s="3">
        <f>SUMPRODUCT(React!$C$89:$AY$89,Curves!$Z$17:$BV$17)</f>
        <v/>
      </c>
      <c r="AZ90" s="3">
        <f>SUMPRODUCT(React!$C$89:$AZ$89,Curves!$Y$17:$BV$17)</f>
        <v/>
      </c>
      <c r="BA90" s="3">
        <f>SUMPRODUCT(React!$C$89:$BA$89,Curves!$X$17:$BV$17)</f>
        <v/>
      </c>
      <c r="BB90" s="3">
        <f>SUMPRODUCT(React!$C$89:$BB$89,Curves!$W$17:$BV$17)</f>
        <v/>
      </c>
      <c r="BC90" s="3">
        <f>SUMPRODUCT(React!$C$89:$BC$89,Curves!$V$17:$BV$17)</f>
        <v/>
      </c>
      <c r="BD90" s="3">
        <f>SUMPRODUCT(React!$C$89:$BD$89,Curves!$U$17:$BV$17)</f>
        <v/>
      </c>
      <c r="BE90" s="3">
        <f>SUMPRODUCT(React!$C$89:$BE$89,Curves!$T$17:$BV$17)</f>
        <v/>
      </c>
      <c r="BF90" s="3">
        <f>SUMPRODUCT(React!$C$89:$BF$89,Curves!$S$17:$BV$17)</f>
        <v/>
      </c>
      <c r="BG90" s="3">
        <f>SUMPRODUCT(React!$C$89:$BG$89,Curves!$R$17:$BV$17)</f>
        <v/>
      </c>
      <c r="BH90" s="3">
        <f>SUMPRODUCT(React!$C$89:$BH$89,Curves!$Q$17:$BV$17)</f>
        <v/>
      </c>
      <c r="BI90" s="3">
        <f>SUMPRODUCT(React!$C$89:$BI$89,Curves!$P$17:$BV$17)</f>
        <v/>
      </c>
      <c r="BJ90" s="3">
        <f>SUMPRODUCT(React!$C$89:$BJ$89,Curves!$O$17:$BV$17)</f>
        <v/>
      </c>
      <c r="BK90" s="3">
        <f>SUMPRODUCT(React!$C$89:$BK$89,Curves!$N$17:$BV$17)</f>
        <v/>
      </c>
      <c r="BL90" s="3">
        <f>SUMPRODUCT(React!$C$89:$BL$89,Curves!$M$17:$BV$17)</f>
        <v/>
      </c>
      <c r="BM90" s="3">
        <f>SUMPRODUCT(React!$C$89:$BM$89,Curves!$L$17:$BV$17)</f>
        <v/>
      </c>
      <c r="BN90" s="3">
        <f>SUMPRODUCT(React!$C$89:$BN$89,Curves!$K$17:$BV$17)</f>
        <v/>
      </c>
      <c r="BO90" s="3">
        <f>SUMPRODUCT(React!$C$89:$BO$89,Curves!$J$17:$BV$17)</f>
        <v/>
      </c>
      <c r="BP90" s="3">
        <f>SUMPRODUCT(React!$C$89:$BP$89,Curves!$I$17:$BV$17)</f>
        <v/>
      </c>
      <c r="BQ90" s="3">
        <f>SUMPRODUCT(React!$C$89:$BQ$89,Curves!$H$17:$BV$17)</f>
        <v/>
      </c>
      <c r="BR90" s="3">
        <f>SUMPRODUCT(React!$C$89:$BR$89,Curves!$G$17:$BV$17)</f>
        <v/>
      </c>
      <c r="BS90" s="3">
        <f>SUMPRODUCT(React!$C$89:$BS$89,Curves!$F$17:$BV$17)</f>
        <v/>
      </c>
      <c r="BT90" s="3">
        <f>SUMPRODUCT(React!$C$89:$BT$89,Curves!$E$17:$BV$17)</f>
        <v/>
      </c>
      <c r="BU90" s="3">
        <f>SUMPRODUCT(React!$C$89:$BU$89,Curves!$D$17:$BV$17)</f>
        <v/>
      </c>
      <c r="BV90" s="3">
        <f>SUMPRODUCT(React!$C$89:$BV$89,Curves!$C$17:$BV$17)</f>
        <v/>
      </c>
    </row>
    <row r="91">
      <c r="A91" t="inlineStr">
        <is>
          <t>active yr 1</t>
        </is>
      </c>
      <c r="B91" t="inlineStr">
        <is>
          <t>APAC|NITRO_M</t>
        </is>
      </c>
      <c r="C91" s="3">
        <f>React!$C$89*Curves!$BV$22</f>
        <v/>
      </c>
      <c r="D91" s="3">
        <f>SUMPRODUCT(React!$C$89:$D$89,Curves!$BU$22:$BV$22)</f>
        <v/>
      </c>
      <c r="E91" s="3">
        <f>SUMPRODUCT(React!$C$89:$E$89,Curves!$BT$22:$BV$22)</f>
        <v/>
      </c>
      <c r="F91" s="3">
        <f>SUMPRODUCT(React!$C$89:$F$89,Curves!$BS$22:$BV$22)</f>
        <v/>
      </c>
      <c r="G91" s="3">
        <f>SUMPRODUCT(React!$C$89:$G$89,Curves!$BR$22:$BV$22)</f>
        <v/>
      </c>
      <c r="H91" s="3">
        <f>SUMPRODUCT(React!$C$89:$H$89,Curves!$BQ$22:$BV$22)</f>
        <v/>
      </c>
      <c r="I91" s="3">
        <f>SUMPRODUCT(React!$C$89:$I$89,Curves!$BP$22:$BV$22)</f>
        <v/>
      </c>
      <c r="J91" s="3">
        <f>SUMPRODUCT(React!$C$89:$J$89,Curves!$BO$22:$BV$22)</f>
        <v/>
      </c>
      <c r="K91" s="3">
        <f>SUMPRODUCT(React!$C$89:$K$89,Curves!$BN$22:$BV$22)</f>
        <v/>
      </c>
      <c r="L91" s="3">
        <f>SUMPRODUCT(React!$C$89:$L$89,Curves!$BM$22:$BV$22)</f>
        <v/>
      </c>
      <c r="M91" s="3">
        <f>SUMPRODUCT(React!$C$89:$M$89,Curves!$BL$22:$BV$22)</f>
        <v/>
      </c>
      <c r="N91" s="3">
        <f>SUMPRODUCT(React!$C$89:$N$89,Curves!$BK$22:$BV$22)</f>
        <v/>
      </c>
      <c r="O91" s="3">
        <f>SUMPRODUCT(React!$C$89:$O$89,Curves!$BJ$22:$BV$22)</f>
        <v/>
      </c>
      <c r="P91" s="3">
        <f>SUMPRODUCT(React!$C$89:$P$89,Curves!$BI$22:$BV$22)</f>
        <v/>
      </c>
      <c r="Q91" s="3">
        <f>SUMPRODUCT(React!$C$89:$Q$89,Curves!$BH$22:$BV$22)</f>
        <v/>
      </c>
      <c r="R91" s="3">
        <f>SUMPRODUCT(React!$C$89:$R$89,Curves!$BG$22:$BV$22)</f>
        <v/>
      </c>
      <c r="S91" s="3">
        <f>SUMPRODUCT(React!$C$89:$S$89,Curves!$BF$22:$BV$22)</f>
        <v/>
      </c>
      <c r="T91" s="3">
        <f>SUMPRODUCT(React!$C$89:$T$89,Curves!$BE$22:$BV$22)</f>
        <v/>
      </c>
      <c r="U91" s="3">
        <f>SUMPRODUCT(React!$C$89:$U$89,Curves!$BD$22:$BV$22)</f>
        <v/>
      </c>
      <c r="V91" s="3">
        <f>SUMPRODUCT(React!$C$89:$V$89,Curves!$BC$22:$BV$22)</f>
        <v/>
      </c>
      <c r="W91" s="3">
        <f>SUMPRODUCT(React!$C$89:$W$89,Curves!$BB$22:$BV$22)</f>
        <v/>
      </c>
      <c r="X91" s="3">
        <f>SUMPRODUCT(React!$C$89:$X$89,Curves!$BA$22:$BV$22)</f>
        <v/>
      </c>
      <c r="Y91" s="3">
        <f>SUMPRODUCT(React!$C$89:$Y$89,Curves!$AZ$22:$BV$22)</f>
        <v/>
      </c>
      <c r="Z91" s="3">
        <f>SUMPRODUCT(React!$C$89:$Z$89,Curves!$AY$22:$BV$22)</f>
        <v/>
      </c>
      <c r="AA91" s="3">
        <f>SUMPRODUCT(React!$C$89:$AA$89,Curves!$AX$22:$BV$22)</f>
        <v/>
      </c>
      <c r="AB91" s="3">
        <f>SUMPRODUCT(React!$C$89:$AB$89,Curves!$AW$22:$BV$22)</f>
        <v/>
      </c>
      <c r="AC91" s="3">
        <f>SUMPRODUCT(React!$C$89:$AC$89,Curves!$AV$22:$BV$22)</f>
        <v/>
      </c>
      <c r="AD91" s="3">
        <f>SUMPRODUCT(React!$C$89:$AD$89,Curves!$AU$22:$BV$22)</f>
        <v/>
      </c>
      <c r="AE91" s="3">
        <f>SUMPRODUCT(React!$C$89:$AE$89,Curves!$AT$22:$BV$22)</f>
        <v/>
      </c>
      <c r="AF91" s="3">
        <f>SUMPRODUCT(React!$C$89:$AF$89,Curves!$AS$22:$BV$22)</f>
        <v/>
      </c>
      <c r="AG91" s="3">
        <f>SUMPRODUCT(React!$C$89:$AG$89,Curves!$AR$22:$BV$22)</f>
        <v/>
      </c>
      <c r="AH91" s="3">
        <f>SUMPRODUCT(React!$C$89:$AH$89,Curves!$AQ$22:$BV$22)</f>
        <v/>
      </c>
      <c r="AI91" s="3">
        <f>SUMPRODUCT(React!$C$89:$AI$89,Curves!$AP$22:$BV$22)</f>
        <v/>
      </c>
      <c r="AJ91" s="3">
        <f>SUMPRODUCT(React!$C$89:$AJ$89,Curves!$AO$22:$BV$22)</f>
        <v/>
      </c>
      <c r="AK91" s="3">
        <f>SUMPRODUCT(React!$C$89:$AK$89,Curves!$AN$22:$BV$22)</f>
        <v/>
      </c>
      <c r="AL91" s="3">
        <f>SUMPRODUCT(React!$C$89:$AL$89,Curves!$AM$22:$BV$22)</f>
        <v/>
      </c>
      <c r="AM91" s="3">
        <f>SUMPRODUCT(React!$C$89:$AM$89,Curves!$AL$22:$BV$22)</f>
        <v/>
      </c>
      <c r="AN91" s="3">
        <f>SUMPRODUCT(React!$C$89:$AN$89,Curves!$AK$22:$BV$22)</f>
        <v/>
      </c>
      <c r="AO91" s="3">
        <f>SUMPRODUCT(React!$C$89:$AO$89,Curves!$AJ$22:$BV$22)</f>
        <v/>
      </c>
      <c r="AP91" s="3">
        <f>SUMPRODUCT(React!$C$89:$AP$89,Curves!$AI$22:$BV$22)</f>
        <v/>
      </c>
      <c r="AQ91" s="3">
        <f>SUMPRODUCT(React!$C$89:$AQ$89,Curves!$AH$22:$BV$22)</f>
        <v/>
      </c>
      <c r="AR91" s="3">
        <f>SUMPRODUCT(React!$C$89:$AR$89,Curves!$AG$22:$BV$22)</f>
        <v/>
      </c>
      <c r="AS91" s="3">
        <f>SUMPRODUCT(React!$C$89:$AS$89,Curves!$AF$22:$BV$22)</f>
        <v/>
      </c>
      <c r="AT91" s="3">
        <f>SUMPRODUCT(React!$C$89:$AT$89,Curves!$AE$22:$BV$22)</f>
        <v/>
      </c>
      <c r="AU91" s="3">
        <f>SUMPRODUCT(React!$C$89:$AU$89,Curves!$AD$22:$BV$22)</f>
        <v/>
      </c>
      <c r="AV91" s="3">
        <f>SUMPRODUCT(React!$C$89:$AV$89,Curves!$AC$22:$BV$22)</f>
        <v/>
      </c>
      <c r="AW91" s="3">
        <f>SUMPRODUCT(React!$C$89:$AW$89,Curves!$AB$22:$BV$22)</f>
        <v/>
      </c>
      <c r="AX91" s="3">
        <f>SUMPRODUCT(React!$C$89:$AX$89,Curves!$AA$22:$BV$22)</f>
        <v/>
      </c>
      <c r="AY91" s="3">
        <f>SUMPRODUCT(React!$C$89:$AY$89,Curves!$Z$22:$BV$22)</f>
        <v/>
      </c>
      <c r="AZ91" s="3">
        <f>SUMPRODUCT(React!$C$89:$AZ$89,Curves!$Y$22:$BV$22)</f>
        <v/>
      </c>
      <c r="BA91" s="3">
        <f>SUMPRODUCT(React!$C$89:$BA$89,Curves!$X$22:$BV$22)</f>
        <v/>
      </c>
      <c r="BB91" s="3">
        <f>SUMPRODUCT(React!$C$89:$BB$89,Curves!$W$22:$BV$22)</f>
        <v/>
      </c>
      <c r="BC91" s="3">
        <f>SUMPRODUCT(React!$C$89:$BC$89,Curves!$V$22:$BV$22)</f>
        <v/>
      </c>
      <c r="BD91" s="3">
        <f>SUMPRODUCT(React!$C$89:$BD$89,Curves!$U$22:$BV$22)</f>
        <v/>
      </c>
      <c r="BE91" s="3">
        <f>SUMPRODUCT(React!$C$89:$BE$89,Curves!$T$22:$BV$22)</f>
        <v/>
      </c>
      <c r="BF91" s="3">
        <f>SUMPRODUCT(React!$C$89:$BF$89,Curves!$S$22:$BV$22)</f>
        <v/>
      </c>
      <c r="BG91" s="3">
        <f>SUMPRODUCT(React!$C$89:$BG$89,Curves!$R$22:$BV$22)</f>
        <v/>
      </c>
      <c r="BH91" s="3">
        <f>SUMPRODUCT(React!$C$89:$BH$89,Curves!$Q$22:$BV$22)</f>
        <v/>
      </c>
      <c r="BI91" s="3">
        <f>SUMPRODUCT(React!$C$89:$BI$89,Curves!$P$22:$BV$22)</f>
        <v/>
      </c>
      <c r="BJ91" s="3">
        <f>SUMPRODUCT(React!$C$89:$BJ$89,Curves!$O$22:$BV$22)</f>
        <v/>
      </c>
      <c r="BK91" s="3">
        <f>SUMPRODUCT(React!$C$89:$BK$89,Curves!$N$22:$BV$22)</f>
        <v/>
      </c>
      <c r="BL91" s="3">
        <f>SUMPRODUCT(React!$C$89:$BL$89,Curves!$M$22:$BV$22)</f>
        <v/>
      </c>
      <c r="BM91" s="3">
        <f>SUMPRODUCT(React!$C$89:$BM$89,Curves!$L$22:$BV$22)</f>
        <v/>
      </c>
      <c r="BN91" s="3">
        <f>SUMPRODUCT(React!$C$89:$BN$89,Curves!$K$22:$BV$22)</f>
        <v/>
      </c>
      <c r="BO91" s="3">
        <f>SUMPRODUCT(React!$C$89:$BO$89,Curves!$J$22:$BV$22)</f>
        <v/>
      </c>
      <c r="BP91" s="3">
        <f>SUMPRODUCT(React!$C$89:$BP$89,Curves!$I$22:$BV$22)</f>
        <v/>
      </c>
      <c r="BQ91" s="3">
        <f>SUMPRODUCT(React!$C$89:$BQ$89,Curves!$H$22:$BV$22)</f>
        <v/>
      </c>
      <c r="BR91" s="3">
        <f>SUMPRODUCT(React!$C$89:$BR$89,Curves!$G$22:$BV$22)</f>
        <v/>
      </c>
      <c r="BS91" s="3">
        <f>SUMPRODUCT(React!$C$89:$BS$89,Curves!$F$22:$BV$22)</f>
        <v/>
      </c>
      <c r="BT91" s="3">
        <f>SUMPRODUCT(React!$C$89:$BT$89,Curves!$E$22:$BV$22)</f>
        <v/>
      </c>
      <c r="BU91" s="3">
        <f>SUMPRODUCT(React!$C$89:$BU$89,Curves!$D$22:$BV$22)</f>
        <v/>
      </c>
      <c r="BV91" s="3">
        <f>SUMPRODUCT(React!$C$89:$BV$89,Curves!$C$22:$BV$22)</f>
        <v/>
      </c>
    </row>
    <row r="92">
      <c r="A92" t="inlineStr">
        <is>
          <t>churned</t>
        </is>
      </c>
      <c r="B92" t="inlineStr">
        <is>
          <t>APAC|NITRO_M</t>
        </is>
      </c>
      <c r="C92" s="3">
        <f>React!$C$89*Curves!$BV$18</f>
        <v/>
      </c>
      <c r="D92" s="3">
        <f>SUMPRODUCT(React!$C$89:$D$89,Curves!$BU$18:$BV$18)</f>
        <v/>
      </c>
      <c r="E92" s="3">
        <f>SUMPRODUCT(React!$C$89:$E$89,Curves!$BT$18:$BV$18)</f>
        <v/>
      </c>
      <c r="F92" s="3">
        <f>SUMPRODUCT(React!$C$89:$F$89,Curves!$BS$18:$BV$18)</f>
        <v/>
      </c>
      <c r="G92" s="3">
        <f>SUMPRODUCT(React!$C$89:$G$89,Curves!$BR$18:$BV$18)</f>
        <v/>
      </c>
      <c r="H92" s="3">
        <f>SUMPRODUCT(React!$C$89:$H$89,Curves!$BQ$18:$BV$18)</f>
        <v/>
      </c>
      <c r="I92" s="3">
        <f>SUMPRODUCT(React!$C$89:$I$89,Curves!$BP$18:$BV$18)</f>
        <v/>
      </c>
      <c r="J92" s="3">
        <f>SUMPRODUCT(React!$C$89:$J$89,Curves!$BO$18:$BV$18)</f>
        <v/>
      </c>
      <c r="K92" s="3">
        <f>SUMPRODUCT(React!$C$89:$K$89,Curves!$BN$18:$BV$18)</f>
        <v/>
      </c>
      <c r="L92" s="3">
        <f>SUMPRODUCT(React!$C$89:$L$89,Curves!$BM$18:$BV$18)</f>
        <v/>
      </c>
      <c r="M92" s="3">
        <f>SUMPRODUCT(React!$C$89:$M$89,Curves!$BL$18:$BV$18)</f>
        <v/>
      </c>
      <c r="N92" s="3">
        <f>SUMPRODUCT(React!$C$89:$N$89,Curves!$BK$18:$BV$18)</f>
        <v/>
      </c>
      <c r="O92" s="3">
        <f>SUMPRODUCT(React!$C$89:$O$89,Curves!$BJ$18:$BV$18)</f>
        <v/>
      </c>
      <c r="P92" s="3">
        <f>SUMPRODUCT(React!$C$89:$P$89,Curves!$BI$18:$BV$18)</f>
        <v/>
      </c>
      <c r="Q92" s="3">
        <f>SUMPRODUCT(React!$C$89:$Q$89,Curves!$BH$18:$BV$18)</f>
        <v/>
      </c>
      <c r="R92" s="3">
        <f>SUMPRODUCT(React!$C$89:$R$89,Curves!$BG$18:$BV$18)</f>
        <v/>
      </c>
      <c r="S92" s="3">
        <f>SUMPRODUCT(React!$C$89:$S$89,Curves!$BF$18:$BV$18)</f>
        <v/>
      </c>
      <c r="T92" s="3">
        <f>SUMPRODUCT(React!$C$89:$T$89,Curves!$BE$18:$BV$18)</f>
        <v/>
      </c>
      <c r="U92" s="3">
        <f>SUMPRODUCT(React!$C$89:$U$89,Curves!$BD$18:$BV$18)</f>
        <v/>
      </c>
      <c r="V92" s="3">
        <f>SUMPRODUCT(React!$C$89:$V$89,Curves!$BC$18:$BV$18)</f>
        <v/>
      </c>
      <c r="W92" s="3">
        <f>SUMPRODUCT(React!$C$89:$W$89,Curves!$BB$18:$BV$18)</f>
        <v/>
      </c>
      <c r="X92" s="3">
        <f>SUMPRODUCT(React!$C$89:$X$89,Curves!$BA$18:$BV$18)</f>
        <v/>
      </c>
      <c r="Y92" s="3">
        <f>SUMPRODUCT(React!$C$89:$Y$89,Curves!$AZ$18:$BV$18)</f>
        <v/>
      </c>
      <c r="Z92" s="3">
        <f>SUMPRODUCT(React!$C$89:$Z$89,Curves!$AY$18:$BV$18)</f>
        <v/>
      </c>
      <c r="AA92" s="3">
        <f>SUMPRODUCT(React!$C$89:$AA$89,Curves!$AX$18:$BV$18)</f>
        <v/>
      </c>
      <c r="AB92" s="3">
        <f>SUMPRODUCT(React!$C$89:$AB$89,Curves!$AW$18:$BV$18)</f>
        <v/>
      </c>
      <c r="AC92" s="3">
        <f>SUMPRODUCT(React!$C$89:$AC$89,Curves!$AV$18:$BV$18)</f>
        <v/>
      </c>
      <c r="AD92" s="3">
        <f>SUMPRODUCT(React!$C$89:$AD$89,Curves!$AU$18:$BV$18)</f>
        <v/>
      </c>
      <c r="AE92" s="3">
        <f>SUMPRODUCT(React!$C$89:$AE$89,Curves!$AT$18:$BV$18)</f>
        <v/>
      </c>
      <c r="AF92" s="3">
        <f>SUMPRODUCT(React!$C$89:$AF$89,Curves!$AS$18:$BV$18)</f>
        <v/>
      </c>
      <c r="AG92" s="3">
        <f>SUMPRODUCT(React!$C$89:$AG$89,Curves!$AR$18:$BV$18)</f>
        <v/>
      </c>
      <c r="AH92" s="3">
        <f>SUMPRODUCT(React!$C$89:$AH$89,Curves!$AQ$18:$BV$18)</f>
        <v/>
      </c>
      <c r="AI92" s="3">
        <f>SUMPRODUCT(React!$C$89:$AI$89,Curves!$AP$18:$BV$18)</f>
        <v/>
      </c>
      <c r="AJ92" s="3">
        <f>SUMPRODUCT(React!$C$89:$AJ$89,Curves!$AO$18:$BV$18)</f>
        <v/>
      </c>
      <c r="AK92" s="3">
        <f>SUMPRODUCT(React!$C$89:$AK$89,Curves!$AN$18:$BV$18)</f>
        <v/>
      </c>
      <c r="AL92" s="3">
        <f>SUMPRODUCT(React!$C$89:$AL$89,Curves!$AM$18:$BV$18)</f>
        <v/>
      </c>
      <c r="AM92" s="3">
        <f>SUMPRODUCT(React!$C$89:$AM$89,Curves!$AL$18:$BV$18)</f>
        <v/>
      </c>
      <c r="AN92" s="3">
        <f>SUMPRODUCT(React!$C$89:$AN$89,Curves!$AK$18:$BV$18)</f>
        <v/>
      </c>
      <c r="AO92" s="3">
        <f>SUMPRODUCT(React!$C$89:$AO$89,Curves!$AJ$18:$BV$18)</f>
        <v/>
      </c>
      <c r="AP92" s="3">
        <f>SUMPRODUCT(React!$C$89:$AP$89,Curves!$AI$18:$BV$18)</f>
        <v/>
      </c>
      <c r="AQ92" s="3">
        <f>SUMPRODUCT(React!$C$89:$AQ$89,Curves!$AH$18:$BV$18)</f>
        <v/>
      </c>
      <c r="AR92" s="3">
        <f>SUMPRODUCT(React!$C$89:$AR$89,Curves!$AG$18:$BV$18)</f>
        <v/>
      </c>
      <c r="AS92" s="3">
        <f>SUMPRODUCT(React!$C$89:$AS$89,Curves!$AF$18:$BV$18)</f>
        <v/>
      </c>
      <c r="AT92" s="3">
        <f>SUMPRODUCT(React!$C$89:$AT$89,Curves!$AE$18:$BV$18)</f>
        <v/>
      </c>
      <c r="AU92" s="3">
        <f>SUMPRODUCT(React!$C$89:$AU$89,Curves!$AD$18:$BV$18)</f>
        <v/>
      </c>
      <c r="AV92" s="3">
        <f>SUMPRODUCT(React!$C$89:$AV$89,Curves!$AC$18:$BV$18)</f>
        <v/>
      </c>
      <c r="AW92" s="3">
        <f>SUMPRODUCT(React!$C$89:$AW$89,Curves!$AB$18:$BV$18)</f>
        <v/>
      </c>
      <c r="AX92" s="3">
        <f>SUMPRODUCT(React!$C$89:$AX$89,Curves!$AA$18:$BV$18)</f>
        <v/>
      </c>
      <c r="AY92" s="3">
        <f>SUMPRODUCT(React!$C$89:$AY$89,Curves!$Z$18:$BV$18)</f>
        <v/>
      </c>
      <c r="AZ92" s="3">
        <f>SUMPRODUCT(React!$C$89:$AZ$89,Curves!$Y$18:$BV$18)</f>
        <v/>
      </c>
      <c r="BA92" s="3">
        <f>SUMPRODUCT(React!$C$89:$BA$89,Curves!$X$18:$BV$18)</f>
        <v/>
      </c>
      <c r="BB92" s="3">
        <f>SUMPRODUCT(React!$C$89:$BB$89,Curves!$W$18:$BV$18)</f>
        <v/>
      </c>
      <c r="BC92" s="3">
        <f>SUMPRODUCT(React!$C$89:$BC$89,Curves!$V$18:$BV$18)</f>
        <v/>
      </c>
      <c r="BD92" s="3">
        <f>SUMPRODUCT(React!$C$89:$BD$89,Curves!$U$18:$BV$18)</f>
        <v/>
      </c>
      <c r="BE92" s="3">
        <f>SUMPRODUCT(React!$C$89:$BE$89,Curves!$T$18:$BV$18)</f>
        <v/>
      </c>
      <c r="BF92" s="3">
        <f>SUMPRODUCT(React!$C$89:$BF$89,Curves!$S$18:$BV$18)</f>
        <v/>
      </c>
      <c r="BG92" s="3">
        <f>SUMPRODUCT(React!$C$89:$BG$89,Curves!$R$18:$BV$18)</f>
        <v/>
      </c>
      <c r="BH92" s="3">
        <f>SUMPRODUCT(React!$C$89:$BH$89,Curves!$Q$18:$BV$18)</f>
        <v/>
      </c>
      <c r="BI92" s="3">
        <f>SUMPRODUCT(React!$C$89:$BI$89,Curves!$P$18:$BV$18)</f>
        <v/>
      </c>
      <c r="BJ92" s="3">
        <f>SUMPRODUCT(React!$C$89:$BJ$89,Curves!$O$18:$BV$18)</f>
        <v/>
      </c>
      <c r="BK92" s="3">
        <f>SUMPRODUCT(React!$C$89:$BK$89,Curves!$N$18:$BV$18)</f>
        <v/>
      </c>
      <c r="BL92" s="3">
        <f>SUMPRODUCT(React!$C$89:$BL$89,Curves!$M$18:$BV$18)</f>
        <v/>
      </c>
      <c r="BM92" s="3">
        <f>SUMPRODUCT(React!$C$89:$BM$89,Curves!$L$18:$BV$18)</f>
        <v/>
      </c>
      <c r="BN92" s="3">
        <f>SUMPRODUCT(React!$C$89:$BN$89,Curves!$K$18:$BV$18)</f>
        <v/>
      </c>
      <c r="BO92" s="3">
        <f>SUMPRODUCT(React!$C$89:$BO$89,Curves!$J$18:$BV$18)</f>
        <v/>
      </c>
      <c r="BP92" s="3">
        <f>SUMPRODUCT(React!$C$89:$BP$89,Curves!$I$18:$BV$18)</f>
        <v/>
      </c>
      <c r="BQ92" s="3">
        <f>SUMPRODUCT(React!$C$89:$BQ$89,Curves!$H$18:$BV$18)</f>
        <v/>
      </c>
      <c r="BR92" s="3">
        <f>SUMPRODUCT(React!$C$89:$BR$89,Curves!$G$18:$BV$18)</f>
        <v/>
      </c>
      <c r="BS92" s="3">
        <f>SUMPRODUCT(React!$C$89:$BS$89,Curves!$F$18:$BV$18)</f>
        <v/>
      </c>
      <c r="BT92" s="3">
        <f>SUMPRODUCT(React!$C$89:$BT$89,Curves!$E$18:$BV$18)</f>
        <v/>
      </c>
      <c r="BU92" s="3">
        <f>SUMPRODUCT(React!$C$89:$BU$89,Curves!$D$18:$BV$18)</f>
        <v/>
      </c>
      <c r="BV92" s="3">
        <f>SUMPRODUCT(React!$C$89:$BV$89,Curves!$C$18:$BV$18)</f>
        <v/>
      </c>
    </row>
    <row r="94">
      <c r="A94" t="inlineStr">
        <is>
          <t>churn pool inflow</t>
        </is>
      </c>
      <c r="B94" t="inlineStr">
        <is>
          <t>APAC|NITRO_A</t>
        </is>
      </c>
      <c r="C94" s="3">
        <f>Paid!C57+Legacy!C59</f>
        <v/>
      </c>
      <c r="D94" s="3">
        <f>Paid!D57+Legacy!D59</f>
        <v/>
      </c>
      <c r="E94" s="3">
        <f>Paid!E57+Legacy!E59</f>
        <v/>
      </c>
      <c r="F94" s="3">
        <f>Paid!F57+Legacy!F59</f>
        <v/>
      </c>
      <c r="G94" s="3">
        <f>Paid!G57+Legacy!G59</f>
        <v/>
      </c>
      <c r="H94" s="3">
        <f>Paid!H57+Legacy!H59</f>
        <v/>
      </c>
      <c r="I94" s="3">
        <f>Paid!I57+Legacy!I59</f>
        <v/>
      </c>
      <c r="J94" s="3">
        <f>Paid!J57+Legacy!J59</f>
        <v/>
      </c>
      <c r="K94" s="3">
        <f>Paid!K57+Legacy!K59</f>
        <v/>
      </c>
      <c r="L94" s="3">
        <f>Paid!L57+Legacy!L59</f>
        <v/>
      </c>
      <c r="M94" s="3">
        <f>Paid!M57+Legacy!M59</f>
        <v/>
      </c>
      <c r="N94" s="3">
        <f>Paid!N57+Legacy!N59</f>
        <v/>
      </c>
      <c r="O94" s="3">
        <f>Paid!O57+Legacy!O59</f>
        <v/>
      </c>
      <c r="P94" s="3">
        <f>Paid!P57+Legacy!P59</f>
        <v/>
      </c>
      <c r="Q94" s="3">
        <f>Paid!Q57+Legacy!Q59</f>
        <v/>
      </c>
      <c r="R94" s="3">
        <f>Paid!R57+Legacy!R59</f>
        <v/>
      </c>
      <c r="S94" s="3">
        <f>Paid!S57+Legacy!S59</f>
        <v/>
      </c>
      <c r="T94" s="3">
        <f>Paid!T57+Legacy!T59</f>
        <v/>
      </c>
      <c r="U94" s="3">
        <f>Paid!U57+Legacy!U59</f>
        <v/>
      </c>
      <c r="V94" s="3">
        <f>Paid!V57+Legacy!V59</f>
        <v/>
      </c>
      <c r="W94" s="3">
        <f>Paid!W57+Legacy!W59</f>
        <v/>
      </c>
      <c r="X94" s="3">
        <f>Paid!X57+Legacy!X59</f>
        <v/>
      </c>
      <c r="Y94" s="3">
        <f>Paid!Y57+Legacy!Y59</f>
        <v/>
      </c>
      <c r="Z94" s="3">
        <f>Paid!Z57+Legacy!Z59</f>
        <v/>
      </c>
      <c r="AA94" s="3">
        <f>Paid!AA57+Legacy!AA59</f>
        <v/>
      </c>
      <c r="AB94" s="3">
        <f>Paid!AB57+Legacy!AB59</f>
        <v/>
      </c>
      <c r="AC94" s="3">
        <f>Paid!AC57+Legacy!AC59</f>
        <v/>
      </c>
      <c r="AD94" s="3">
        <f>Paid!AD57+Legacy!AD59</f>
        <v/>
      </c>
      <c r="AE94" s="3">
        <f>Paid!AE57+Legacy!AE59</f>
        <v/>
      </c>
      <c r="AF94" s="3">
        <f>Paid!AF57+Legacy!AF59</f>
        <v/>
      </c>
      <c r="AG94" s="3">
        <f>Paid!AG57+Legacy!AG59</f>
        <v/>
      </c>
      <c r="AH94" s="3">
        <f>Paid!AH57+Legacy!AH59</f>
        <v/>
      </c>
      <c r="AI94" s="3">
        <f>Paid!AI57+Legacy!AI59</f>
        <v/>
      </c>
      <c r="AJ94" s="3">
        <f>Paid!AJ57+Legacy!AJ59</f>
        <v/>
      </c>
      <c r="AK94" s="3">
        <f>Paid!AK57+Legacy!AK59</f>
        <v/>
      </c>
      <c r="AL94" s="3">
        <f>Paid!AL57+Legacy!AL59</f>
        <v/>
      </c>
      <c r="AM94" s="3">
        <f>Paid!AM57+Legacy!AM59</f>
        <v/>
      </c>
      <c r="AN94" s="3">
        <f>Paid!AN57+Legacy!AN59</f>
        <v/>
      </c>
      <c r="AO94" s="3">
        <f>Paid!AO57+Legacy!AO59</f>
        <v/>
      </c>
      <c r="AP94" s="3">
        <f>Paid!AP57+Legacy!AP59</f>
        <v/>
      </c>
      <c r="AQ94" s="3">
        <f>Paid!AQ57+Legacy!AQ59</f>
        <v/>
      </c>
      <c r="AR94" s="3">
        <f>Paid!AR57+Legacy!AR59</f>
        <v/>
      </c>
      <c r="AS94" s="3">
        <f>Paid!AS57+Legacy!AS59</f>
        <v/>
      </c>
      <c r="AT94" s="3">
        <f>Paid!AT57+Legacy!AT59</f>
        <v/>
      </c>
      <c r="AU94" s="3">
        <f>Paid!AU57+Legacy!AU59</f>
        <v/>
      </c>
      <c r="AV94" s="3">
        <f>Paid!AV57+Legacy!AV59</f>
        <v/>
      </c>
      <c r="AW94" s="3">
        <f>Paid!AW57+Legacy!AW59</f>
        <v/>
      </c>
      <c r="AX94" s="3">
        <f>Paid!AX57+Legacy!AX59</f>
        <v/>
      </c>
      <c r="AY94" s="3">
        <f>Paid!AY57+Legacy!AY59</f>
        <v/>
      </c>
      <c r="AZ94" s="3">
        <f>Paid!AZ57+Legacy!AZ59</f>
        <v/>
      </c>
      <c r="BA94" s="3">
        <f>Paid!BA57+Legacy!BA59</f>
        <v/>
      </c>
      <c r="BB94" s="3">
        <f>Paid!BB57+Legacy!BB59</f>
        <v/>
      </c>
      <c r="BC94" s="3">
        <f>Paid!BC57+Legacy!BC59</f>
        <v/>
      </c>
      <c r="BD94" s="3">
        <f>Paid!BD57+Legacy!BD59</f>
        <v/>
      </c>
      <c r="BE94" s="3">
        <f>Paid!BE57+Legacy!BE59</f>
        <v/>
      </c>
      <c r="BF94" s="3">
        <f>Paid!BF57+Legacy!BF59</f>
        <v/>
      </c>
      <c r="BG94" s="3">
        <f>Paid!BG57+Legacy!BG59</f>
        <v/>
      </c>
      <c r="BH94" s="3">
        <f>Paid!BH57+Legacy!BH59</f>
        <v/>
      </c>
      <c r="BI94" s="3">
        <f>Paid!BI57+Legacy!BI59</f>
        <v/>
      </c>
      <c r="BJ94" s="3">
        <f>Paid!BJ57+Legacy!BJ59</f>
        <v/>
      </c>
      <c r="BK94" s="3">
        <f>Paid!BK57+Legacy!BK59</f>
        <v/>
      </c>
      <c r="BL94" s="3">
        <f>Paid!BL57+Legacy!BL59</f>
        <v/>
      </c>
      <c r="BM94" s="3">
        <f>Paid!BM57+Legacy!BM59</f>
        <v/>
      </c>
      <c r="BN94" s="3">
        <f>Paid!BN57+Legacy!BN59</f>
        <v/>
      </c>
      <c r="BO94" s="3">
        <f>Paid!BO57+Legacy!BO59</f>
        <v/>
      </c>
      <c r="BP94" s="3">
        <f>Paid!BP57+Legacy!BP59</f>
        <v/>
      </c>
      <c r="BQ94" s="3">
        <f>Paid!BQ57+Legacy!BQ59</f>
        <v/>
      </c>
      <c r="BR94" s="3">
        <f>Paid!BR57+Legacy!BR59</f>
        <v/>
      </c>
      <c r="BS94" s="3">
        <f>Paid!BS57+Legacy!BS59</f>
        <v/>
      </c>
      <c r="BT94" s="3">
        <f>Paid!BT57+Legacy!BT59</f>
        <v/>
      </c>
      <c r="BU94" s="3">
        <f>Paid!BU57+Legacy!BU59</f>
        <v/>
      </c>
      <c r="BV94" s="3">
        <f>Paid!BV57+Legacy!BV59</f>
        <v/>
      </c>
    </row>
    <row r="95">
      <c r="A95" t="inlineStr">
        <is>
          <t>reactivations out</t>
        </is>
      </c>
      <c r="B95" t="inlineStr">
        <is>
          <t>APAC|NITRO_A</t>
        </is>
      </c>
      <c r="C95" s="3">
        <f>React!$C$94*Curves!$BV$19</f>
        <v/>
      </c>
      <c r="D95" s="3">
        <f>SUMPRODUCT(React!$C$94:$D$94,Curves!$BU$19:$BV$19)</f>
        <v/>
      </c>
      <c r="E95" s="3">
        <f>SUMPRODUCT(React!$C$94:$E$94,Curves!$BT$19:$BV$19)</f>
        <v/>
      </c>
      <c r="F95" s="3">
        <f>SUMPRODUCT(React!$C$94:$F$94,Curves!$BS$19:$BV$19)</f>
        <v/>
      </c>
      <c r="G95" s="3">
        <f>SUMPRODUCT(React!$C$94:$G$94,Curves!$BR$19:$BV$19)</f>
        <v/>
      </c>
      <c r="H95" s="3">
        <f>SUMPRODUCT(React!$C$94:$H$94,Curves!$BQ$19:$BV$19)</f>
        <v/>
      </c>
      <c r="I95" s="3">
        <f>SUMPRODUCT(React!$C$94:$I$94,Curves!$BP$19:$BV$19)</f>
        <v/>
      </c>
      <c r="J95" s="3">
        <f>SUMPRODUCT(React!$C$94:$J$94,Curves!$BO$19:$BV$19)</f>
        <v/>
      </c>
      <c r="K95" s="3">
        <f>SUMPRODUCT(React!$C$94:$K$94,Curves!$BN$19:$BV$19)</f>
        <v/>
      </c>
      <c r="L95" s="3">
        <f>SUMPRODUCT(React!$C$94:$L$94,Curves!$BM$19:$BV$19)</f>
        <v/>
      </c>
      <c r="M95" s="3">
        <f>SUMPRODUCT(React!$C$94:$M$94,Curves!$BL$19:$BV$19)</f>
        <v/>
      </c>
      <c r="N95" s="3">
        <f>SUMPRODUCT(React!$C$94:$N$94,Curves!$BK$19:$BV$19)</f>
        <v/>
      </c>
      <c r="O95" s="3">
        <f>SUMPRODUCT(React!$C$94:$O$94,Curves!$BJ$19:$BV$19)</f>
        <v/>
      </c>
      <c r="P95" s="3">
        <f>SUMPRODUCT(React!$C$94:$P$94,Curves!$BI$19:$BV$19)</f>
        <v/>
      </c>
      <c r="Q95" s="3">
        <f>SUMPRODUCT(React!$C$94:$Q$94,Curves!$BH$19:$BV$19)</f>
        <v/>
      </c>
      <c r="R95" s="3">
        <f>SUMPRODUCT(React!$C$94:$R$94,Curves!$BG$19:$BV$19)</f>
        <v/>
      </c>
      <c r="S95" s="3">
        <f>SUMPRODUCT(React!$C$94:$S$94,Curves!$BF$19:$BV$19)</f>
        <v/>
      </c>
      <c r="T95" s="3">
        <f>SUMPRODUCT(React!$C$94:$T$94,Curves!$BE$19:$BV$19)</f>
        <v/>
      </c>
      <c r="U95" s="3">
        <f>SUMPRODUCT(React!$C$94:$U$94,Curves!$BD$19:$BV$19)</f>
        <v/>
      </c>
      <c r="V95" s="3">
        <f>SUMPRODUCT(React!$C$94:$V$94,Curves!$BC$19:$BV$19)</f>
        <v/>
      </c>
      <c r="W95" s="3">
        <f>SUMPRODUCT(React!$C$94:$W$94,Curves!$BB$19:$BV$19)</f>
        <v/>
      </c>
      <c r="X95" s="3">
        <f>SUMPRODUCT(React!$C$94:$X$94,Curves!$BA$19:$BV$19)</f>
        <v/>
      </c>
      <c r="Y95" s="3">
        <f>SUMPRODUCT(React!$C$94:$Y$94,Curves!$AZ$19:$BV$19)</f>
        <v/>
      </c>
      <c r="Z95" s="3">
        <f>SUMPRODUCT(React!$C$94:$Z$94,Curves!$AY$19:$BV$19)</f>
        <v/>
      </c>
      <c r="AA95" s="3">
        <f>SUMPRODUCT(React!$C$94:$AA$94,Curves!$AX$19:$BV$19)</f>
        <v/>
      </c>
      <c r="AB95" s="3">
        <f>SUMPRODUCT(React!$C$94:$AB$94,Curves!$AW$19:$BV$19)</f>
        <v/>
      </c>
      <c r="AC95" s="3">
        <f>SUMPRODUCT(React!$C$94:$AC$94,Curves!$AV$19:$BV$19)</f>
        <v/>
      </c>
      <c r="AD95" s="3">
        <f>SUMPRODUCT(React!$C$94:$AD$94,Curves!$AU$19:$BV$19)</f>
        <v/>
      </c>
      <c r="AE95" s="3">
        <f>SUMPRODUCT(React!$C$94:$AE$94,Curves!$AT$19:$BV$19)</f>
        <v/>
      </c>
      <c r="AF95" s="3">
        <f>SUMPRODUCT(React!$C$94:$AF$94,Curves!$AS$19:$BV$19)</f>
        <v/>
      </c>
      <c r="AG95" s="3">
        <f>SUMPRODUCT(React!$C$94:$AG$94,Curves!$AR$19:$BV$19)</f>
        <v/>
      </c>
      <c r="AH95" s="3">
        <f>SUMPRODUCT(React!$C$94:$AH$94,Curves!$AQ$19:$BV$19)</f>
        <v/>
      </c>
      <c r="AI95" s="3">
        <f>SUMPRODUCT(React!$C$94:$AI$94,Curves!$AP$19:$BV$19)</f>
        <v/>
      </c>
      <c r="AJ95" s="3">
        <f>SUMPRODUCT(React!$C$94:$AJ$94,Curves!$AO$19:$BV$19)</f>
        <v/>
      </c>
      <c r="AK95" s="3">
        <f>SUMPRODUCT(React!$C$94:$AK$94,Curves!$AN$19:$BV$19)</f>
        <v/>
      </c>
      <c r="AL95" s="3">
        <f>SUMPRODUCT(React!$C$94:$AL$94,Curves!$AM$19:$BV$19)</f>
        <v/>
      </c>
      <c r="AM95" s="3">
        <f>SUMPRODUCT(React!$C$94:$AM$94,Curves!$AL$19:$BV$19)</f>
        <v/>
      </c>
      <c r="AN95" s="3">
        <f>SUMPRODUCT(React!$C$94:$AN$94,Curves!$AK$19:$BV$19)</f>
        <v/>
      </c>
      <c r="AO95" s="3">
        <f>SUMPRODUCT(React!$C$94:$AO$94,Curves!$AJ$19:$BV$19)</f>
        <v/>
      </c>
      <c r="AP95" s="3">
        <f>SUMPRODUCT(React!$C$94:$AP$94,Curves!$AI$19:$BV$19)</f>
        <v/>
      </c>
      <c r="AQ95" s="3">
        <f>SUMPRODUCT(React!$C$94:$AQ$94,Curves!$AH$19:$BV$19)</f>
        <v/>
      </c>
      <c r="AR95" s="3">
        <f>SUMPRODUCT(React!$C$94:$AR$94,Curves!$AG$19:$BV$19)</f>
        <v/>
      </c>
      <c r="AS95" s="3">
        <f>SUMPRODUCT(React!$C$94:$AS$94,Curves!$AF$19:$BV$19)</f>
        <v/>
      </c>
      <c r="AT95" s="3">
        <f>SUMPRODUCT(React!$C$94:$AT$94,Curves!$AE$19:$BV$19)</f>
        <v/>
      </c>
      <c r="AU95" s="3">
        <f>SUMPRODUCT(React!$C$94:$AU$94,Curves!$AD$19:$BV$19)</f>
        <v/>
      </c>
      <c r="AV95" s="3">
        <f>SUMPRODUCT(React!$C$94:$AV$94,Curves!$AC$19:$BV$19)</f>
        <v/>
      </c>
      <c r="AW95" s="3">
        <f>SUMPRODUCT(React!$C$94:$AW$94,Curves!$AB$19:$BV$19)</f>
        <v/>
      </c>
      <c r="AX95" s="3">
        <f>SUMPRODUCT(React!$C$94:$AX$94,Curves!$AA$19:$BV$19)</f>
        <v/>
      </c>
      <c r="AY95" s="3">
        <f>SUMPRODUCT(React!$C$94:$AY$94,Curves!$Z$19:$BV$19)</f>
        <v/>
      </c>
      <c r="AZ95" s="3">
        <f>SUMPRODUCT(React!$C$94:$AZ$94,Curves!$Y$19:$BV$19)</f>
        <v/>
      </c>
      <c r="BA95" s="3">
        <f>SUMPRODUCT(React!$C$94:$BA$94,Curves!$X$19:$BV$19)</f>
        <v/>
      </c>
      <c r="BB95" s="3">
        <f>SUMPRODUCT(React!$C$94:$BB$94,Curves!$W$19:$BV$19)</f>
        <v/>
      </c>
      <c r="BC95" s="3">
        <f>SUMPRODUCT(React!$C$94:$BC$94,Curves!$V$19:$BV$19)</f>
        <v/>
      </c>
      <c r="BD95" s="3">
        <f>SUMPRODUCT(React!$C$94:$BD$94,Curves!$U$19:$BV$19)</f>
        <v/>
      </c>
      <c r="BE95" s="3">
        <f>SUMPRODUCT(React!$C$94:$BE$94,Curves!$T$19:$BV$19)</f>
        <v/>
      </c>
      <c r="BF95" s="3">
        <f>SUMPRODUCT(React!$C$94:$BF$94,Curves!$S$19:$BV$19)</f>
        <v/>
      </c>
      <c r="BG95" s="3">
        <f>SUMPRODUCT(React!$C$94:$BG$94,Curves!$R$19:$BV$19)</f>
        <v/>
      </c>
      <c r="BH95" s="3">
        <f>SUMPRODUCT(React!$C$94:$BH$94,Curves!$Q$19:$BV$19)</f>
        <v/>
      </c>
      <c r="BI95" s="3">
        <f>SUMPRODUCT(React!$C$94:$BI$94,Curves!$P$19:$BV$19)</f>
        <v/>
      </c>
      <c r="BJ95" s="3">
        <f>SUMPRODUCT(React!$C$94:$BJ$94,Curves!$O$19:$BV$19)</f>
        <v/>
      </c>
      <c r="BK95" s="3">
        <f>SUMPRODUCT(React!$C$94:$BK$94,Curves!$N$19:$BV$19)</f>
        <v/>
      </c>
      <c r="BL95" s="3">
        <f>SUMPRODUCT(React!$C$94:$BL$94,Curves!$M$19:$BV$19)</f>
        <v/>
      </c>
      <c r="BM95" s="3">
        <f>SUMPRODUCT(React!$C$94:$BM$94,Curves!$L$19:$BV$19)</f>
        <v/>
      </c>
      <c r="BN95" s="3">
        <f>SUMPRODUCT(React!$C$94:$BN$94,Curves!$K$19:$BV$19)</f>
        <v/>
      </c>
      <c r="BO95" s="3">
        <f>SUMPRODUCT(React!$C$94:$BO$94,Curves!$J$19:$BV$19)</f>
        <v/>
      </c>
      <c r="BP95" s="3">
        <f>SUMPRODUCT(React!$C$94:$BP$94,Curves!$I$19:$BV$19)</f>
        <v/>
      </c>
      <c r="BQ95" s="3">
        <f>SUMPRODUCT(React!$C$94:$BQ$94,Curves!$H$19:$BV$19)</f>
        <v/>
      </c>
      <c r="BR95" s="3">
        <f>SUMPRODUCT(React!$C$94:$BR$94,Curves!$G$19:$BV$19)</f>
        <v/>
      </c>
      <c r="BS95" s="3">
        <f>SUMPRODUCT(React!$C$94:$BS$94,Curves!$F$19:$BV$19)</f>
        <v/>
      </c>
      <c r="BT95" s="3">
        <f>SUMPRODUCT(React!$C$94:$BT$94,Curves!$E$19:$BV$19)</f>
        <v/>
      </c>
      <c r="BU95" s="3">
        <f>SUMPRODUCT(React!$C$94:$BU$94,Curves!$D$19:$BV$19)</f>
        <v/>
      </c>
      <c r="BV95" s="3">
        <f>SUMPRODUCT(React!$C$94:$BV$94,Curves!$C$19:$BV$19)</f>
        <v/>
      </c>
    </row>
    <row r="96">
      <c r="A96" t="inlineStr">
        <is>
          <t>reactivated in</t>
        </is>
      </c>
      <c r="B96" t="inlineStr">
        <is>
          <t>APAC|NITRO_A</t>
        </is>
      </c>
      <c r="C96" s="3">
        <f>0</f>
        <v/>
      </c>
      <c r="D96" s="3">
        <f>0</f>
        <v/>
      </c>
      <c r="E96" s="3">
        <f>0</f>
        <v/>
      </c>
      <c r="F96" s="3">
        <f>0</f>
        <v/>
      </c>
      <c r="G96" s="3">
        <f>0</f>
        <v/>
      </c>
      <c r="H96" s="3">
        <f>0</f>
        <v/>
      </c>
      <c r="I96" s="3">
        <f>0</f>
        <v/>
      </c>
      <c r="J96" s="3">
        <f>0</f>
        <v/>
      </c>
      <c r="K96" s="3">
        <f>0</f>
        <v/>
      </c>
      <c r="L96" s="3">
        <f>0</f>
        <v/>
      </c>
      <c r="M96" s="3">
        <f>0</f>
        <v/>
      </c>
      <c r="N96" s="3">
        <f>0</f>
        <v/>
      </c>
      <c r="O96" s="3">
        <f>0</f>
        <v/>
      </c>
      <c r="P96" s="3">
        <f>0</f>
        <v/>
      </c>
      <c r="Q96" s="3">
        <f>0</f>
        <v/>
      </c>
      <c r="R96" s="3">
        <f>0</f>
        <v/>
      </c>
      <c r="S96" s="3">
        <f>0</f>
        <v/>
      </c>
      <c r="T96" s="3">
        <f>0</f>
        <v/>
      </c>
      <c r="U96" s="3">
        <f>0</f>
        <v/>
      </c>
      <c r="V96" s="3">
        <f>0</f>
        <v/>
      </c>
      <c r="W96" s="3">
        <f>0</f>
        <v/>
      </c>
      <c r="X96" s="3">
        <f>0</f>
        <v/>
      </c>
      <c r="Y96" s="3">
        <f>0</f>
        <v/>
      </c>
      <c r="Z96" s="3">
        <f>0</f>
        <v/>
      </c>
      <c r="AA96" s="3">
        <f>0</f>
        <v/>
      </c>
      <c r="AB96" s="3">
        <f>0</f>
        <v/>
      </c>
      <c r="AC96" s="3">
        <f>0</f>
        <v/>
      </c>
      <c r="AD96" s="3">
        <f>0</f>
        <v/>
      </c>
      <c r="AE96" s="3">
        <f>0</f>
        <v/>
      </c>
      <c r="AF96" s="3">
        <f>0</f>
        <v/>
      </c>
      <c r="AG96" s="3">
        <f>0</f>
        <v/>
      </c>
      <c r="AH96" s="3">
        <f>0</f>
        <v/>
      </c>
      <c r="AI96" s="3">
        <f>0</f>
        <v/>
      </c>
      <c r="AJ96" s="3">
        <f>0</f>
        <v/>
      </c>
      <c r="AK96" s="3">
        <f>0</f>
        <v/>
      </c>
      <c r="AL96" s="3">
        <f>0</f>
        <v/>
      </c>
      <c r="AM96" s="3">
        <f>0</f>
        <v/>
      </c>
      <c r="AN96" s="3">
        <f>0</f>
        <v/>
      </c>
      <c r="AO96" s="3">
        <f>0</f>
        <v/>
      </c>
      <c r="AP96" s="3">
        <f>0</f>
        <v/>
      </c>
      <c r="AQ96" s="3">
        <f>0</f>
        <v/>
      </c>
      <c r="AR96" s="3">
        <f>0</f>
        <v/>
      </c>
      <c r="AS96" s="3">
        <f>0</f>
        <v/>
      </c>
      <c r="AT96" s="3">
        <f>0</f>
        <v/>
      </c>
      <c r="AU96" s="3">
        <f>0</f>
        <v/>
      </c>
      <c r="AV96" s="3">
        <f>0</f>
        <v/>
      </c>
      <c r="AW96" s="3">
        <f>0</f>
        <v/>
      </c>
      <c r="AX96" s="3">
        <f>0</f>
        <v/>
      </c>
      <c r="AY96" s="3">
        <f>0</f>
        <v/>
      </c>
      <c r="AZ96" s="3">
        <f>0</f>
        <v/>
      </c>
      <c r="BA96" s="3">
        <f>0</f>
        <v/>
      </c>
      <c r="BB96" s="3">
        <f>0</f>
        <v/>
      </c>
      <c r="BC96" s="3">
        <f>0</f>
        <v/>
      </c>
      <c r="BD96" s="3">
        <f>0</f>
        <v/>
      </c>
      <c r="BE96" s="3">
        <f>0</f>
        <v/>
      </c>
      <c r="BF96" s="3">
        <f>0</f>
        <v/>
      </c>
      <c r="BG96" s="3">
        <f>0</f>
        <v/>
      </c>
      <c r="BH96" s="3">
        <f>0</f>
        <v/>
      </c>
      <c r="BI96" s="3">
        <f>0</f>
        <v/>
      </c>
      <c r="BJ96" s="3">
        <f>0</f>
        <v/>
      </c>
      <c r="BK96" s="3">
        <f>0</f>
        <v/>
      </c>
      <c r="BL96" s="3">
        <f>0</f>
        <v/>
      </c>
      <c r="BM96" s="3">
        <f>0</f>
        <v/>
      </c>
      <c r="BN96" s="3">
        <f>0</f>
        <v/>
      </c>
      <c r="BO96" s="3">
        <f>0</f>
        <v/>
      </c>
      <c r="BP96" s="3">
        <f>0</f>
        <v/>
      </c>
      <c r="BQ96" s="3">
        <f>0</f>
        <v/>
      </c>
      <c r="BR96" s="3">
        <f>0</f>
        <v/>
      </c>
      <c r="BS96" s="3">
        <f>0</f>
        <v/>
      </c>
      <c r="BT96" s="3">
        <f>0</f>
        <v/>
      </c>
      <c r="BU96" s="3">
        <f>0</f>
        <v/>
      </c>
      <c r="BV96" s="3">
        <f>0</f>
        <v/>
      </c>
    </row>
    <row r="97">
      <c r="A97" t="inlineStr">
        <is>
          <t>active</t>
        </is>
      </c>
      <c r="B97" t="inlineStr">
        <is>
          <t>APAC|NITRO_A</t>
        </is>
      </c>
      <c r="C97" s="3">
        <f>React!$C$96*Curves!$BV$17</f>
        <v/>
      </c>
      <c r="D97" s="3">
        <f>SUMPRODUCT(React!$C$96:$D$96,Curves!$BU$17:$BV$17)</f>
        <v/>
      </c>
      <c r="E97" s="3">
        <f>SUMPRODUCT(React!$C$96:$E$96,Curves!$BT$17:$BV$17)</f>
        <v/>
      </c>
      <c r="F97" s="3">
        <f>SUMPRODUCT(React!$C$96:$F$96,Curves!$BS$17:$BV$17)</f>
        <v/>
      </c>
      <c r="G97" s="3">
        <f>SUMPRODUCT(React!$C$96:$G$96,Curves!$BR$17:$BV$17)</f>
        <v/>
      </c>
      <c r="H97" s="3">
        <f>SUMPRODUCT(React!$C$96:$H$96,Curves!$BQ$17:$BV$17)</f>
        <v/>
      </c>
      <c r="I97" s="3">
        <f>SUMPRODUCT(React!$C$96:$I$96,Curves!$BP$17:$BV$17)</f>
        <v/>
      </c>
      <c r="J97" s="3">
        <f>SUMPRODUCT(React!$C$96:$J$96,Curves!$BO$17:$BV$17)</f>
        <v/>
      </c>
      <c r="K97" s="3">
        <f>SUMPRODUCT(React!$C$96:$K$96,Curves!$BN$17:$BV$17)</f>
        <v/>
      </c>
      <c r="L97" s="3">
        <f>SUMPRODUCT(React!$C$96:$L$96,Curves!$BM$17:$BV$17)</f>
        <v/>
      </c>
      <c r="M97" s="3">
        <f>SUMPRODUCT(React!$C$96:$M$96,Curves!$BL$17:$BV$17)</f>
        <v/>
      </c>
      <c r="N97" s="3">
        <f>SUMPRODUCT(React!$C$96:$N$96,Curves!$BK$17:$BV$17)</f>
        <v/>
      </c>
      <c r="O97" s="3">
        <f>SUMPRODUCT(React!$C$96:$O$96,Curves!$BJ$17:$BV$17)</f>
        <v/>
      </c>
      <c r="P97" s="3">
        <f>SUMPRODUCT(React!$C$96:$P$96,Curves!$BI$17:$BV$17)</f>
        <v/>
      </c>
      <c r="Q97" s="3">
        <f>SUMPRODUCT(React!$C$96:$Q$96,Curves!$BH$17:$BV$17)</f>
        <v/>
      </c>
      <c r="R97" s="3">
        <f>SUMPRODUCT(React!$C$96:$R$96,Curves!$BG$17:$BV$17)</f>
        <v/>
      </c>
      <c r="S97" s="3">
        <f>SUMPRODUCT(React!$C$96:$S$96,Curves!$BF$17:$BV$17)</f>
        <v/>
      </c>
      <c r="T97" s="3">
        <f>SUMPRODUCT(React!$C$96:$T$96,Curves!$BE$17:$BV$17)</f>
        <v/>
      </c>
      <c r="U97" s="3">
        <f>SUMPRODUCT(React!$C$96:$U$96,Curves!$BD$17:$BV$17)</f>
        <v/>
      </c>
      <c r="V97" s="3">
        <f>SUMPRODUCT(React!$C$96:$V$96,Curves!$BC$17:$BV$17)</f>
        <v/>
      </c>
      <c r="W97" s="3">
        <f>SUMPRODUCT(React!$C$96:$W$96,Curves!$BB$17:$BV$17)</f>
        <v/>
      </c>
      <c r="X97" s="3">
        <f>SUMPRODUCT(React!$C$96:$X$96,Curves!$BA$17:$BV$17)</f>
        <v/>
      </c>
      <c r="Y97" s="3">
        <f>SUMPRODUCT(React!$C$96:$Y$96,Curves!$AZ$17:$BV$17)</f>
        <v/>
      </c>
      <c r="Z97" s="3">
        <f>SUMPRODUCT(React!$C$96:$Z$96,Curves!$AY$17:$BV$17)</f>
        <v/>
      </c>
      <c r="AA97" s="3">
        <f>SUMPRODUCT(React!$C$96:$AA$96,Curves!$AX$17:$BV$17)</f>
        <v/>
      </c>
      <c r="AB97" s="3">
        <f>SUMPRODUCT(React!$C$96:$AB$96,Curves!$AW$17:$BV$17)</f>
        <v/>
      </c>
      <c r="AC97" s="3">
        <f>SUMPRODUCT(React!$C$96:$AC$96,Curves!$AV$17:$BV$17)</f>
        <v/>
      </c>
      <c r="AD97" s="3">
        <f>SUMPRODUCT(React!$C$96:$AD$96,Curves!$AU$17:$BV$17)</f>
        <v/>
      </c>
      <c r="AE97" s="3">
        <f>SUMPRODUCT(React!$C$96:$AE$96,Curves!$AT$17:$BV$17)</f>
        <v/>
      </c>
      <c r="AF97" s="3">
        <f>SUMPRODUCT(React!$C$96:$AF$96,Curves!$AS$17:$BV$17)</f>
        <v/>
      </c>
      <c r="AG97" s="3">
        <f>SUMPRODUCT(React!$C$96:$AG$96,Curves!$AR$17:$BV$17)</f>
        <v/>
      </c>
      <c r="AH97" s="3">
        <f>SUMPRODUCT(React!$C$96:$AH$96,Curves!$AQ$17:$BV$17)</f>
        <v/>
      </c>
      <c r="AI97" s="3">
        <f>SUMPRODUCT(React!$C$96:$AI$96,Curves!$AP$17:$BV$17)</f>
        <v/>
      </c>
      <c r="AJ97" s="3">
        <f>SUMPRODUCT(React!$C$96:$AJ$96,Curves!$AO$17:$BV$17)</f>
        <v/>
      </c>
      <c r="AK97" s="3">
        <f>SUMPRODUCT(React!$C$96:$AK$96,Curves!$AN$17:$BV$17)</f>
        <v/>
      </c>
      <c r="AL97" s="3">
        <f>SUMPRODUCT(React!$C$96:$AL$96,Curves!$AM$17:$BV$17)</f>
        <v/>
      </c>
      <c r="AM97" s="3">
        <f>SUMPRODUCT(React!$C$96:$AM$96,Curves!$AL$17:$BV$17)</f>
        <v/>
      </c>
      <c r="AN97" s="3">
        <f>SUMPRODUCT(React!$C$96:$AN$96,Curves!$AK$17:$BV$17)</f>
        <v/>
      </c>
      <c r="AO97" s="3">
        <f>SUMPRODUCT(React!$C$96:$AO$96,Curves!$AJ$17:$BV$17)</f>
        <v/>
      </c>
      <c r="AP97" s="3">
        <f>SUMPRODUCT(React!$C$96:$AP$96,Curves!$AI$17:$BV$17)</f>
        <v/>
      </c>
      <c r="AQ97" s="3">
        <f>SUMPRODUCT(React!$C$96:$AQ$96,Curves!$AH$17:$BV$17)</f>
        <v/>
      </c>
      <c r="AR97" s="3">
        <f>SUMPRODUCT(React!$C$96:$AR$96,Curves!$AG$17:$BV$17)</f>
        <v/>
      </c>
      <c r="AS97" s="3">
        <f>SUMPRODUCT(React!$C$96:$AS$96,Curves!$AF$17:$BV$17)</f>
        <v/>
      </c>
      <c r="AT97" s="3">
        <f>SUMPRODUCT(React!$C$96:$AT$96,Curves!$AE$17:$BV$17)</f>
        <v/>
      </c>
      <c r="AU97" s="3">
        <f>SUMPRODUCT(React!$C$96:$AU$96,Curves!$AD$17:$BV$17)</f>
        <v/>
      </c>
      <c r="AV97" s="3">
        <f>SUMPRODUCT(React!$C$96:$AV$96,Curves!$AC$17:$BV$17)</f>
        <v/>
      </c>
      <c r="AW97" s="3">
        <f>SUMPRODUCT(React!$C$96:$AW$96,Curves!$AB$17:$BV$17)</f>
        <v/>
      </c>
      <c r="AX97" s="3">
        <f>SUMPRODUCT(React!$C$96:$AX$96,Curves!$AA$17:$BV$17)</f>
        <v/>
      </c>
      <c r="AY97" s="3">
        <f>SUMPRODUCT(React!$C$96:$AY$96,Curves!$Z$17:$BV$17)</f>
        <v/>
      </c>
      <c r="AZ97" s="3">
        <f>SUMPRODUCT(React!$C$96:$AZ$96,Curves!$Y$17:$BV$17)</f>
        <v/>
      </c>
      <c r="BA97" s="3">
        <f>SUMPRODUCT(React!$C$96:$BA$96,Curves!$X$17:$BV$17)</f>
        <v/>
      </c>
      <c r="BB97" s="3">
        <f>SUMPRODUCT(React!$C$96:$BB$96,Curves!$W$17:$BV$17)</f>
        <v/>
      </c>
      <c r="BC97" s="3">
        <f>SUMPRODUCT(React!$C$96:$BC$96,Curves!$V$17:$BV$17)</f>
        <v/>
      </c>
      <c r="BD97" s="3">
        <f>SUMPRODUCT(React!$C$96:$BD$96,Curves!$U$17:$BV$17)</f>
        <v/>
      </c>
      <c r="BE97" s="3">
        <f>SUMPRODUCT(React!$C$96:$BE$96,Curves!$T$17:$BV$17)</f>
        <v/>
      </c>
      <c r="BF97" s="3">
        <f>SUMPRODUCT(React!$C$96:$BF$96,Curves!$S$17:$BV$17)</f>
        <v/>
      </c>
      <c r="BG97" s="3">
        <f>SUMPRODUCT(React!$C$96:$BG$96,Curves!$R$17:$BV$17)</f>
        <v/>
      </c>
      <c r="BH97" s="3">
        <f>SUMPRODUCT(React!$C$96:$BH$96,Curves!$Q$17:$BV$17)</f>
        <v/>
      </c>
      <c r="BI97" s="3">
        <f>SUMPRODUCT(React!$C$96:$BI$96,Curves!$P$17:$BV$17)</f>
        <v/>
      </c>
      <c r="BJ97" s="3">
        <f>SUMPRODUCT(React!$C$96:$BJ$96,Curves!$O$17:$BV$17)</f>
        <v/>
      </c>
      <c r="BK97" s="3">
        <f>SUMPRODUCT(React!$C$96:$BK$96,Curves!$N$17:$BV$17)</f>
        <v/>
      </c>
      <c r="BL97" s="3">
        <f>SUMPRODUCT(React!$C$96:$BL$96,Curves!$M$17:$BV$17)</f>
        <v/>
      </c>
      <c r="BM97" s="3">
        <f>SUMPRODUCT(React!$C$96:$BM$96,Curves!$L$17:$BV$17)</f>
        <v/>
      </c>
      <c r="BN97" s="3">
        <f>SUMPRODUCT(React!$C$96:$BN$96,Curves!$K$17:$BV$17)</f>
        <v/>
      </c>
      <c r="BO97" s="3">
        <f>SUMPRODUCT(React!$C$96:$BO$96,Curves!$J$17:$BV$17)</f>
        <v/>
      </c>
      <c r="BP97" s="3">
        <f>SUMPRODUCT(React!$C$96:$BP$96,Curves!$I$17:$BV$17)</f>
        <v/>
      </c>
      <c r="BQ97" s="3">
        <f>SUMPRODUCT(React!$C$96:$BQ$96,Curves!$H$17:$BV$17)</f>
        <v/>
      </c>
      <c r="BR97" s="3">
        <f>SUMPRODUCT(React!$C$96:$BR$96,Curves!$G$17:$BV$17)</f>
        <v/>
      </c>
      <c r="BS97" s="3">
        <f>SUMPRODUCT(React!$C$96:$BS$96,Curves!$F$17:$BV$17)</f>
        <v/>
      </c>
      <c r="BT97" s="3">
        <f>SUMPRODUCT(React!$C$96:$BT$96,Curves!$E$17:$BV$17)</f>
        <v/>
      </c>
      <c r="BU97" s="3">
        <f>SUMPRODUCT(React!$C$96:$BU$96,Curves!$D$17:$BV$17)</f>
        <v/>
      </c>
      <c r="BV97" s="3">
        <f>SUMPRODUCT(React!$C$96:$BV$96,Curves!$C$17:$BV$17)</f>
        <v/>
      </c>
    </row>
    <row r="98">
      <c r="A98" t="inlineStr">
        <is>
          <t>active yr 1</t>
        </is>
      </c>
      <c r="B98" t="inlineStr">
        <is>
          <t>APAC|NITRO_A</t>
        </is>
      </c>
      <c r="C98" s="3">
        <f>React!$C$96*Curves!$BV$22</f>
        <v/>
      </c>
      <c r="D98" s="3">
        <f>SUMPRODUCT(React!$C$96:$D$96,Curves!$BU$22:$BV$22)</f>
        <v/>
      </c>
      <c r="E98" s="3">
        <f>SUMPRODUCT(React!$C$96:$E$96,Curves!$BT$22:$BV$22)</f>
        <v/>
      </c>
      <c r="F98" s="3">
        <f>SUMPRODUCT(React!$C$96:$F$96,Curves!$BS$22:$BV$22)</f>
        <v/>
      </c>
      <c r="G98" s="3">
        <f>SUMPRODUCT(React!$C$96:$G$96,Curves!$BR$22:$BV$22)</f>
        <v/>
      </c>
      <c r="H98" s="3">
        <f>SUMPRODUCT(React!$C$96:$H$96,Curves!$BQ$22:$BV$22)</f>
        <v/>
      </c>
      <c r="I98" s="3">
        <f>SUMPRODUCT(React!$C$96:$I$96,Curves!$BP$22:$BV$22)</f>
        <v/>
      </c>
      <c r="J98" s="3">
        <f>SUMPRODUCT(React!$C$96:$J$96,Curves!$BO$22:$BV$22)</f>
        <v/>
      </c>
      <c r="K98" s="3">
        <f>SUMPRODUCT(React!$C$96:$K$96,Curves!$BN$22:$BV$22)</f>
        <v/>
      </c>
      <c r="L98" s="3">
        <f>SUMPRODUCT(React!$C$96:$L$96,Curves!$BM$22:$BV$22)</f>
        <v/>
      </c>
      <c r="M98" s="3">
        <f>SUMPRODUCT(React!$C$96:$M$96,Curves!$BL$22:$BV$22)</f>
        <v/>
      </c>
      <c r="N98" s="3">
        <f>SUMPRODUCT(React!$C$96:$N$96,Curves!$BK$22:$BV$22)</f>
        <v/>
      </c>
      <c r="O98" s="3">
        <f>SUMPRODUCT(React!$C$96:$O$96,Curves!$BJ$22:$BV$22)</f>
        <v/>
      </c>
      <c r="P98" s="3">
        <f>SUMPRODUCT(React!$C$96:$P$96,Curves!$BI$22:$BV$22)</f>
        <v/>
      </c>
      <c r="Q98" s="3">
        <f>SUMPRODUCT(React!$C$96:$Q$96,Curves!$BH$22:$BV$22)</f>
        <v/>
      </c>
      <c r="R98" s="3">
        <f>SUMPRODUCT(React!$C$96:$R$96,Curves!$BG$22:$BV$22)</f>
        <v/>
      </c>
      <c r="S98" s="3">
        <f>SUMPRODUCT(React!$C$96:$S$96,Curves!$BF$22:$BV$22)</f>
        <v/>
      </c>
      <c r="T98" s="3">
        <f>SUMPRODUCT(React!$C$96:$T$96,Curves!$BE$22:$BV$22)</f>
        <v/>
      </c>
      <c r="U98" s="3">
        <f>SUMPRODUCT(React!$C$96:$U$96,Curves!$BD$22:$BV$22)</f>
        <v/>
      </c>
      <c r="V98" s="3">
        <f>SUMPRODUCT(React!$C$96:$V$96,Curves!$BC$22:$BV$22)</f>
        <v/>
      </c>
      <c r="W98" s="3">
        <f>SUMPRODUCT(React!$C$96:$W$96,Curves!$BB$22:$BV$22)</f>
        <v/>
      </c>
      <c r="X98" s="3">
        <f>SUMPRODUCT(React!$C$96:$X$96,Curves!$BA$22:$BV$22)</f>
        <v/>
      </c>
      <c r="Y98" s="3">
        <f>SUMPRODUCT(React!$C$96:$Y$96,Curves!$AZ$22:$BV$22)</f>
        <v/>
      </c>
      <c r="Z98" s="3">
        <f>SUMPRODUCT(React!$C$96:$Z$96,Curves!$AY$22:$BV$22)</f>
        <v/>
      </c>
      <c r="AA98" s="3">
        <f>SUMPRODUCT(React!$C$96:$AA$96,Curves!$AX$22:$BV$22)</f>
        <v/>
      </c>
      <c r="AB98" s="3">
        <f>SUMPRODUCT(React!$C$96:$AB$96,Curves!$AW$22:$BV$22)</f>
        <v/>
      </c>
      <c r="AC98" s="3">
        <f>SUMPRODUCT(React!$C$96:$AC$96,Curves!$AV$22:$BV$22)</f>
        <v/>
      </c>
      <c r="AD98" s="3">
        <f>SUMPRODUCT(React!$C$96:$AD$96,Curves!$AU$22:$BV$22)</f>
        <v/>
      </c>
      <c r="AE98" s="3">
        <f>SUMPRODUCT(React!$C$96:$AE$96,Curves!$AT$22:$BV$22)</f>
        <v/>
      </c>
      <c r="AF98" s="3">
        <f>SUMPRODUCT(React!$C$96:$AF$96,Curves!$AS$22:$BV$22)</f>
        <v/>
      </c>
      <c r="AG98" s="3">
        <f>SUMPRODUCT(React!$C$96:$AG$96,Curves!$AR$22:$BV$22)</f>
        <v/>
      </c>
      <c r="AH98" s="3">
        <f>SUMPRODUCT(React!$C$96:$AH$96,Curves!$AQ$22:$BV$22)</f>
        <v/>
      </c>
      <c r="AI98" s="3">
        <f>SUMPRODUCT(React!$C$96:$AI$96,Curves!$AP$22:$BV$22)</f>
        <v/>
      </c>
      <c r="AJ98" s="3">
        <f>SUMPRODUCT(React!$C$96:$AJ$96,Curves!$AO$22:$BV$22)</f>
        <v/>
      </c>
      <c r="AK98" s="3">
        <f>SUMPRODUCT(React!$C$96:$AK$96,Curves!$AN$22:$BV$22)</f>
        <v/>
      </c>
      <c r="AL98" s="3">
        <f>SUMPRODUCT(React!$C$96:$AL$96,Curves!$AM$22:$BV$22)</f>
        <v/>
      </c>
      <c r="AM98" s="3">
        <f>SUMPRODUCT(React!$C$96:$AM$96,Curves!$AL$22:$BV$22)</f>
        <v/>
      </c>
      <c r="AN98" s="3">
        <f>SUMPRODUCT(React!$C$96:$AN$96,Curves!$AK$22:$BV$22)</f>
        <v/>
      </c>
      <c r="AO98" s="3">
        <f>SUMPRODUCT(React!$C$96:$AO$96,Curves!$AJ$22:$BV$22)</f>
        <v/>
      </c>
      <c r="AP98" s="3">
        <f>SUMPRODUCT(React!$C$96:$AP$96,Curves!$AI$22:$BV$22)</f>
        <v/>
      </c>
      <c r="AQ98" s="3">
        <f>SUMPRODUCT(React!$C$96:$AQ$96,Curves!$AH$22:$BV$22)</f>
        <v/>
      </c>
      <c r="AR98" s="3">
        <f>SUMPRODUCT(React!$C$96:$AR$96,Curves!$AG$22:$BV$22)</f>
        <v/>
      </c>
      <c r="AS98" s="3">
        <f>SUMPRODUCT(React!$C$96:$AS$96,Curves!$AF$22:$BV$22)</f>
        <v/>
      </c>
      <c r="AT98" s="3">
        <f>SUMPRODUCT(React!$C$96:$AT$96,Curves!$AE$22:$BV$22)</f>
        <v/>
      </c>
      <c r="AU98" s="3">
        <f>SUMPRODUCT(React!$C$96:$AU$96,Curves!$AD$22:$BV$22)</f>
        <v/>
      </c>
      <c r="AV98" s="3">
        <f>SUMPRODUCT(React!$C$96:$AV$96,Curves!$AC$22:$BV$22)</f>
        <v/>
      </c>
      <c r="AW98" s="3">
        <f>SUMPRODUCT(React!$C$96:$AW$96,Curves!$AB$22:$BV$22)</f>
        <v/>
      </c>
      <c r="AX98" s="3">
        <f>SUMPRODUCT(React!$C$96:$AX$96,Curves!$AA$22:$BV$22)</f>
        <v/>
      </c>
      <c r="AY98" s="3">
        <f>SUMPRODUCT(React!$C$96:$AY$96,Curves!$Z$22:$BV$22)</f>
        <v/>
      </c>
      <c r="AZ98" s="3">
        <f>SUMPRODUCT(React!$C$96:$AZ$96,Curves!$Y$22:$BV$22)</f>
        <v/>
      </c>
      <c r="BA98" s="3">
        <f>SUMPRODUCT(React!$C$96:$BA$96,Curves!$X$22:$BV$22)</f>
        <v/>
      </c>
      <c r="BB98" s="3">
        <f>SUMPRODUCT(React!$C$96:$BB$96,Curves!$W$22:$BV$22)</f>
        <v/>
      </c>
      <c r="BC98" s="3">
        <f>SUMPRODUCT(React!$C$96:$BC$96,Curves!$V$22:$BV$22)</f>
        <v/>
      </c>
      <c r="BD98" s="3">
        <f>SUMPRODUCT(React!$C$96:$BD$96,Curves!$U$22:$BV$22)</f>
        <v/>
      </c>
      <c r="BE98" s="3">
        <f>SUMPRODUCT(React!$C$96:$BE$96,Curves!$T$22:$BV$22)</f>
        <v/>
      </c>
      <c r="BF98" s="3">
        <f>SUMPRODUCT(React!$C$96:$BF$96,Curves!$S$22:$BV$22)</f>
        <v/>
      </c>
      <c r="BG98" s="3">
        <f>SUMPRODUCT(React!$C$96:$BG$96,Curves!$R$22:$BV$22)</f>
        <v/>
      </c>
      <c r="BH98" s="3">
        <f>SUMPRODUCT(React!$C$96:$BH$96,Curves!$Q$22:$BV$22)</f>
        <v/>
      </c>
      <c r="BI98" s="3">
        <f>SUMPRODUCT(React!$C$96:$BI$96,Curves!$P$22:$BV$22)</f>
        <v/>
      </c>
      <c r="BJ98" s="3">
        <f>SUMPRODUCT(React!$C$96:$BJ$96,Curves!$O$22:$BV$22)</f>
        <v/>
      </c>
      <c r="BK98" s="3">
        <f>SUMPRODUCT(React!$C$96:$BK$96,Curves!$N$22:$BV$22)</f>
        <v/>
      </c>
      <c r="BL98" s="3">
        <f>SUMPRODUCT(React!$C$96:$BL$96,Curves!$M$22:$BV$22)</f>
        <v/>
      </c>
      <c r="BM98" s="3">
        <f>SUMPRODUCT(React!$C$96:$BM$96,Curves!$L$22:$BV$22)</f>
        <v/>
      </c>
      <c r="BN98" s="3">
        <f>SUMPRODUCT(React!$C$96:$BN$96,Curves!$K$22:$BV$22)</f>
        <v/>
      </c>
      <c r="BO98" s="3">
        <f>SUMPRODUCT(React!$C$96:$BO$96,Curves!$J$22:$BV$22)</f>
        <v/>
      </c>
      <c r="BP98" s="3">
        <f>SUMPRODUCT(React!$C$96:$BP$96,Curves!$I$22:$BV$22)</f>
        <v/>
      </c>
      <c r="BQ98" s="3">
        <f>SUMPRODUCT(React!$C$96:$BQ$96,Curves!$H$22:$BV$22)</f>
        <v/>
      </c>
      <c r="BR98" s="3">
        <f>SUMPRODUCT(React!$C$96:$BR$96,Curves!$G$22:$BV$22)</f>
        <v/>
      </c>
      <c r="BS98" s="3">
        <f>SUMPRODUCT(React!$C$96:$BS$96,Curves!$F$22:$BV$22)</f>
        <v/>
      </c>
      <c r="BT98" s="3">
        <f>SUMPRODUCT(React!$C$96:$BT$96,Curves!$E$22:$BV$22)</f>
        <v/>
      </c>
      <c r="BU98" s="3">
        <f>SUMPRODUCT(React!$C$96:$BU$96,Curves!$D$22:$BV$22)</f>
        <v/>
      </c>
      <c r="BV98" s="3">
        <f>SUMPRODUCT(React!$C$96:$BV$96,Curves!$C$22:$BV$22)</f>
        <v/>
      </c>
    </row>
    <row r="99">
      <c r="A99" t="inlineStr">
        <is>
          <t>churned</t>
        </is>
      </c>
      <c r="B99" t="inlineStr">
        <is>
          <t>APAC|NITRO_A</t>
        </is>
      </c>
      <c r="C99" s="3">
        <f>React!$C$96*Curves!$BV$18</f>
        <v/>
      </c>
      <c r="D99" s="3">
        <f>SUMPRODUCT(React!$C$96:$D$96,Curves!$BU$18:$BV$18)</f>
        <v/>
      </c>
      <c r="E99" s="3">
        <f>SUMPRODUCT(React!$C$96:$E$96,Curves!$BT$18:$BV$18)</f>
        <v/>
      </c>
      <c r="F99" s="3">
        <f>SUMPRODUCT(React!$C$96:$F$96,Curves!$BS$18:$BV$18)</f>
        <v/>
      </c>
      <c r="G99" s="3">
        <f>SUMPRODUCT(React!$C$96:$G$96,Curves!$BR$18:$BV$18)</f>
        <v/>
      </c>
      <c r="H99" s="3">
        <f>SUMPRODUCT(React!$C$96:$H$96,Curves!$BQ$18:$BV$18)</f>
        <v/>
      </c>
      <c r="I99" s="3">
        <f>SUMPRODUCT(React!$C$96:$I$96,Curves!$BP$18:$BV$18)</f>
        <v/>
      </c>
      <c r="J99" s="3">
        <f>SUMPRODUCT(React!$C$96:$J$96,Curves!$BO$18:$BV$18)</f>
        <v/>
      </c>
      <c r="K99" s="3">
        <f>SUMPRODUCT(React!$C$96:$K$96,Curves!$BN$18:$BV$18)</f>
        <v/>
      </c>
      <c r="L99" s="3">
        <f>SUMPRODUCT(React!$C$96:$L$96,Curves!$BM$18:$BV$18)</f>
        <v/>
      </c>
      <c r="M99" s="3">
        <f>SUMPRODUCT(React!$C$96:$M$96,Curves!$BL$18:$BV$18)</f>
        <v/>
      </c>
      <c r="N99" s="3">
        <f>SUMPRODUCT(React!$C$96:$N$96,Curves!$BK$18:$BV$18)</f>
        <v/>
      </c>
      <c r="O99" s="3">
        <f>SUMPRODUCT(React!$C$96:$O$96,Curves!$BJ$18:$BV$18)</f>
        <v/>
      </c>
      <c r="P99" s="3">
        <f>SUMPRODUCT(React!$C$96:$P$96,Curves!$BI$18:$BV$18)</f>
        <v/>
      </c>
      <c r="Q99" s="3">
        <f>SUMPRODUCT(React!$C$96:$Q$96,Curves!$BH$18:$BV$18)</f>
        <v/>
      </c>
      <c r="R99" s="3">
        <f>SUMPRODUCT(React!$C$96:$R$96,Curves!$BG$18:$BV$18)</f>
        <v/>
      </c>
      <c r="S99" s="3">
        <f>SUMPRODUCT(React!$C$96:$S$96,Curves!$BF$18:$BV$18)</f>
        <v/>
      </c>
      <c r="T99" s="3">
        <f>SUMPRODUCT(React!$C$96:$T$96,Curves!$BE$18:$BV$18)</f>
        <v/>
      </c>
      <c r="U99" s="3">
        <f>SUMPRODUCT(React!$C$96:$U$96,Curves!$BD$18:$BV$18)</f>
        <v/>
      </c>
      <c r="V99" s="3">
        <f>SUMPRODUCT(React!$C$96:$V$96,Curves!$BC$18:$BV$18)</f>
        <v/>
      </c>
      <c r="W99" s="3">
        <f>SUMPRODUCT(React!$C$96:$W$96,Curves!$BB$18:$BV$18)</f>
        <v/>
      </c>
      <c r="X99" s="3">
        <f>SUMPRODUCT(React!$C$96:$X$96,Curves!$BA$18:$BV$18)</f>
        <v/>
      </c>
      <c r="Y99" s="3">
        <f>SUMPRODUCT(React!$C$96:$Y$96,Curves!$AZ$18:$BV$18)</f>
        <v/>
      </c>
      <c r="Z99" s="3">
        <f>SUMPRODUCT(React!$C$96:$Z$96,Curves!$AY$18:$BV$18)</f>
        <v/>
      </c>
      <c r="AA99" s="3">
        <f>SUMPRODUCT(React!$C$96:$AA$96,Curves!$AX$18:$BV$18)</f>
        <v/>
      </c>
      <c r="AB99" s="3">
        <f>SUMPRODUCT(React!$C$96:$AB$96,Curves!$AW$18:$BV$18)</f>
        <v/>
      </c>
      <c r="AC99" s="3">
        <f>SUMPRODUCT(React!$C$96:$AC$96,Curves!$AV$18:$BV$18)</f>
        <v/>
      </c>
      <c r="AD99" s="3">
        <f>SUMPRODUCT(React!$C$96:$AD$96,Curves!$AU$18:$BV$18)</f>
        <v/>
      </c>
      <c r="AE99" s="3">
        <f>SUMPRODUCT(React!$C$96:$AE$96,Curves!$AT$18:$BV$18)</f>
        <v/>
      </c>
      <c r="AF99" s="3">
        <f>SUMPRODUCT(React!$C$96:$AF$96,Curves!$AS$18:$BV$18)</f>
        <v/>
      </c>
      <c r="AG99" s="3">
        <f>SUMPRODUCT(React!$C$96:$AG$96,Curves!$AR$18:$BV$18)</f>
        <v/>
      </c>
      <c r="AH99" s="3">
        <f>SUMPRODUCT(React!$C$96:$AH$96,Curves!$AQ$18:$BV$18)</f>
        <v/>
      </c>
      <c r="AI99" s="3">
        <f>SUMPRODUCT(React!$C$96:$AI$96,Curves!$AP$18:$BV$18)</f>
        <v/>
      </c>
      <c r="AJ99" s="3">
        <f>SUMPRODUCT(React!$C$96:$AJ$96,Curves!$AO$18:$BV$18)</f>
        <v/>
      </c>
      <c r="AK99" s="3">
        <f>SUMPRODUCT(React!$C$96:$AK$96,Curves!$AN$18:$BV$18)</f>
        <v/>
      </c>
      <c r="AL99" s="3">
        <f>SUMPRODUCT(React!$C$96:$AL$96,Curves!$AM$18:$BV$18)</f>
        <v/>
      </c>
      <c r="AM99" s="3">
        <f>SUMPRODUCT(React!$C$96:$AM$96,Curves!$AL$18:$BV$18)</f>
        <v/>
      </c>
      <c r="AN99" s="3">
        <f>SUMPRODUCT(React!$C$96:$AN$96,Curves!$AK$18:$BV$18)</f>
        <v/>
      </c>
      <c r="AO99" s="3">
        <f>SUMPRODUCT(React!$C$96:$AO$96,Curves!$AJ$18:$BV$18)</f>
        <v/>
      </c>
      <c r="AP99" s="3">
        <f>SUMPRODUCT(React!$C$96:$AP$96,Curves!$AI$18:$BV$18)</f>
        <v/>
      </c>
      <c r="AQ99" s="3">
        <f>SUMPRODUCT(React!$C$96:$AQ$96,Curves!$AH$18:$BV$18)</f>
        <v/>
      </c>
      <c r="AR99" s="3">
        <f>SUMPRODUCT(React!$C$96:$AR$96,Curves!$AG$18:$BV$18)</f>
        <v/>
      </c>
      <c r="AS99" s="3">
        <f>SUMPRODUCT(React!$C$96:$AS$96,Curves!$AF$18:$BV$18)</f>
        <v/>
      </c>
      <c r="AT99" s="3">
        <f>SUMPRODUCT(React!$C$96:$AT$96,Curves!$AE$18:$BV$18)</f>
        <v/>
      </c>
      <c r="AU99" s="3">
        <f>SUMPRODUCT(React!$C$96:$AU$96,Curves!$AD$18:$BV$18)</f>
        <v/>
      </c>
      <c r="AV99" s="3">
        <f>SUMPRODUCT(React!$C$96:$AV$96,Curves!$AC$18:$BV$18)</f>
        <v/>
      </c>
      <c r="AW99" s="3">
        <f>SUMPRODUCT(React!$C$96:$AW$96,Curves!$AB$18:$BV$18)</f>
        <v/>
      </c>
      <c r="AX99" s="3">
        <f>SUMPRODUCT(React!$C$96:$AX$96,Curves!$AA$18:$BV$18)</f>
        <v/>
      </c>
      <c r="AY99" s="3">
        <f>SUMPRODUCT(React!$C$96:$AY$96,Curves!$Z$18:$BV$18)</f>
        <v/>
      </c>
      <c r="AZ99" s="3">
        <f>SUMPRODUCT(React!$C$96:$AZ$96,Curves!$Y$18:$BV$18)</f>
        <v/>
      </c>
      <c r="BA99" s="3">
        <f>SUMPRODUCT(React!$C$96:$BA$96,Curves!$X$18:$BV$18)</f>
        <v/>
      </c>
      <c r="BB99" s="3">
        <f>SUMPRODUCT(React!$C$96:$BB$96,Curves!$W$18:$BV$18)</f>
        <v/>
      </c>
      <c r="BC99" s="3">
        <f>SUMPRODUCT(React!$C$96:$BC$96,Curves!$V$18:$BV$18)</f>
        <v/>
      </c>
      <c r="BD99" s="3">
        <f>SUMPRODUCT(React!$C$96:$BD$96,Curves!$U$18:$BV$18)</f>
        <v/>
      </c>
      <c r="BE99" s="3">
        <f>SUMPRODUCT(React!$C$96:$BE$96,Curves!$T$18:$BV$18)</f>
        <v/>
      </c>
      <c r="BF99" s="3">
        <f>SUMPRODUCT(React!$C$96:$BF$96,Curves!$S$18:$BV$18)</f>
        <v/>
      </c>
      <c r="BG99" s="3">
        <f>SUMPRODUCT(React!$C$96:$BG$96,Curves!$R$18:$BV$18)</f>
        <v/>
      </c>
      <c r="BH99" s="3">
        <f>SUMPRODUCT(React!$C$96:$BH$96,Curves!$Q$18:$BV$18)</f>
        <v/>
      </c>
      <c r="BI99" s="3">
        <f>SUMPRODUCT(React!$C$96:$BI$96,Curves!$P$18:$BV$18)</f>
        <v/>
      </c>
      <c r="BJ99" s="3">
        <f>SUMPRODUCT(React!$C$96:$BJ$96,Curves!$O$18:$BV$18)</f>
        <v/>
      </c>
      <c r="BK99" s="3">
        <f>SUMPRODUCT(React!$C$96:$BK$96,Curves!$N$18:$BV$18)</f>
        <v/>
      </c>
      <c r="BL99" s="3">
        <f>SUMPRODUCT(React!$C$96:$BL$96,Curves!$M$18:$BV$18)</f>
        <v/>
      </c>
      <c r="BM99" s="3">
        <f>SUMPRODUCT(React!$C$96:$BM$96,Curves!$L$18:$BV$18)</f>
        <v/>
      </c>
      <c r="BN99" s="3">
        <f>SUMPRODUCT(React!$C$96:$BN$96,Curves!$K$18:$BV$18)</f>
        <v/>
      </c>
      <c r="BO99" s="3">
        <f>SUMPRODUCT(React!$C$96:$BO$96,Curves!$J$18:$BV$18)</f>
        <v/>
      </c>
      <c r="BP99" s="3">
        <f>SUMPRODUCT(React!$C$96:$BP$96,Curves!$I$18:$BV$18)</f>
        <v/>
      </c>
      <c r="BQ99" s="3">
        <f>SUMPRODUCT(React!$C$96:$BQ$96,Curves!$H$18:$BV$18)</f>
        <v/>
      </c>
      <c r="BR99" s="3">
        <f>SUMPRODUCT(React!$C$96:$BR$96,Curves!$G$18:$BV$18)</f>
        <v/>
      </c>
      <c r="BS99" s="3">
        <f>SUMPRODUCT(React!$C$96:$BS$96,Curves!$F$18:$BV$18)</f>
        <v/>
      </c>
      <c r="BT99" s="3">
        <f>SUMPRODUCT(React!$C$96:$BT$96,Curves!$E$18:$BV$18)</f>
        <v/>
      </c>
      <c r="BU99" s="3">
        <f>SUMPRODUCT(React!$C$96:$BU$96,Curves!$D$18:$BV$18)</f>
        <v/>
      </c>
      <c r="BV99" s="3">
        <f>SUMPRODUCT(React!$C$96:$BV$96,Curves!$C$18:$BV$18)</f>
        <v/>
      </c>
    </row>
    <row r="101">
      <c r="A101" t="inlineStr">
        <is>
          <t>churn pool inflow</t>
        </is>
      </c>
      <c r="B101" t="inlineStr">
        <is>
          <t>APAC|BASIC_M</t>
        </is>
      </c>
      <c r="C101" s="3">
        <f>Paid!C61+Legacy!C63</f>
        <v/>
      </c>
      <c r="D101" s="3">
        <f>Paid!D61+Legacy!D63</f>
        <v/>
      </c>
      <c r="E101" s="3">
        <f>Paid!E61+Legacy!E63</f>
        <v/>
      </c>
      <c r="F101" s="3">
        <f>Paid!F61+Legacy!F63</f>
        <v/>
      </c>
      <c r="G101" s="3">
        <f>Paid!G61+Legacy!G63</f>
        <v/>
      </c>
      <c r="H101" s="3">
        <f>Paid!H61+Legacy!H63</f>
        <v/>
      </c>
      <c r="I101" s="3">
        <f>Paid!I61+Legacy!I63</f>
        <v/>
      </c>
      <c r="J101" s="3">
        <f>Paid!J61+Legacy!J63</f>
        <v/>
      </c>
      <c r="K101" s="3">
        <f>Paid!K61+Legacy!K63</f>
        <v/>
      </c>
      <c r="L101" s="3">
        <f>Paid!L61+Legacy!L63</f>
        <v/>
      </c>
      <c r="M101" s="3">
        <f>Paid!M61+Legacy!M63</f>
        <v/>
      </c>
      <c r="N101" s="3">
        <f>Paid!N61+Legacy!N63</f>
        <v/>
      </c>
      <c r="O101" s="3">
        <f>Paid!O61+Legacy!O63</f>
        <v/>
      </c>
      <c r="P101" s="3">
        <f>Paid!P61+Legacy!P63</f>
        <v/>
      </c>
      <c r="Q101" s="3">
        <f>Paid!Q61+Legacy!Q63</f>
        <v/>
      </c>
      <c r="R101" s="3">
        <f>Paid!R61+Legacy!R63</f>
        <v/>
      </c>
      <c r="S101" s="3">
        <f>Paid!S61+Legacy!S63</f>
        <v/>
      </c>
      <c r="T101" s="3">
        <f>Paid!T61+Legacy!T63</f>
        <v/>
      </c>
      <c r="U101" s="3">
        <f>Paid!U61+Legacy!U63</f>
        <v/>
      </c>
      <c r="V101" s="3">
        <f>Paid!V61+Legacy!V63</f>
        <v/>
      </c>
      <c r="W101" s="3">
        <f>Paid!W61+Legacy!W63</f>
        <v/>
      </c>
      <c r="X101" s="3">
        <f>Paid!X61+Legacy!X63</f>
        <v/>
      </c>
      <c r="Y101" s="3">
        <f>Paid!Y61+Legacy!Y63</f>
        <v/>
      </c>
      <c r="Z101" s="3">
        <f>Paid!Z61+Legacy!Z63</f>
        <v/>
      </c>
      <c r="AA101" s="3">
        <f>Paid!AA61+Legacy!AA63</f>
        <v/>
      </c>
      <c r="AB101" s="3">
        <f>Paid!AB61+Legacy!AB63</f>
        <v/>
      </c>
      <c r="AC101" s="3">
        <f>Paid!AC61+Legacy!AC63</f>
        <v/>
      </c>
      <c r="AD101" s="3">
        <f>Paid!AD61+Legacy!AD63</f>
        <v/>
      </c>
      <c r="AE101" s="3">
        <f>Paid!AE61+Legacy!AE63</f>
        <v/>
      </c>
      <c r="AF101" s="3">
        <f>Paid!AF61+Legacy!AF63</f>
        <v/>
      </c>
      <c r="AG101" s="3">
        <f>Paid!AG61+Legacy!AG63</f>
        <v/>
      </c>
      <c r="AH101" s="3">
        <f>Paid!AH61+Legacy!AH63</f>
        <v/>
      </c>
      <c r="AI101" s="3">
        <f>Paid!AI61+Legacy!AI63</f>
        <v/>
      </c>
      <c r="AJ101" s="3">
        <f>Paid!AJ61+Legacy!AJ63</f>
        <v/>
      </c>
      <c r="AK101" s="3">
        <f>Paid!AK61+Legacy!AK63</f>
        <v/>
      </c>
      <c r="AL101" s="3">
        <f>Paid!AL61+Legacy!AL63</f>
        <v/>
      </c>
      <c r="AM101" s="3">
        <f>Paid!AM61+Legacy!AM63</f>
        <v/>
      </c>
      <c r="AN101" s="3">
        <f>Paid!AN61+Legacy!AN63</f>
        <v/>
      </c>
      <c r="AO101" s="3">
        <f>Paid!AO61+Legacy!AO63</f>
        <v/>
      </c>
      <c r="AP101" s="3">
        <f>Paid!AP61+Legacy!AP63</f>
        <v/>
      </c>
      <c r="AQ101" s="3">
        <f>Paid!AQ61+Legacy!AQ63</f>
        <v/>
      </c>
      <c r="AR101" s="3">
        <f>Paid!AR61+Legacy!AR63</f>
        <v/>
      </c>
      <c r="AS101" s="3">
        <f>Paid!AS61+Legacy!AS63</f>
        <v/>
      </c>
      <c r="AT101" s="3">
        <f>Paid!AT61+Legacy!AT63</f>
        <v/>
      </c>
      <c r="AU101" s="3">
        <f>Paid!AU61+Legacy!AU63</f>
        <v/>
      </c>
      <c r="AV101" s="3">
        <f>Paid!AV61+Legacy!AV63</f>
        <v/>
      </c>
      <c r="AW101" s="3">
        <f>Paid!AW61+Legacy!AW63</f>
        <v/>
      </c>
      <c r="AX101" s="3">
        <f>Paid!AX61+Legacy!AX63</f>
        <v/>
      </c>
      <c r="AY101" s="3">
        <f>Paid!AY61+Legacy!AY63</f>
        <v/>
      </c>
      <c r="AZ101" s="3">
        <f>Paid!AZ61+Legacy!AZ63</f>
        <v/>
      </c>
      <c r="BA101" s="3">
        <f>Paid!BA61+Legacy!BA63</f>
        <v/>
      </c>
      <c r="BB101" s="3">
        <f>Paid!BB61+Legacy!BB63</f>
        <v/>
      </c>
      <c r="BC101" s="3">
        <f>Paid!BC61+Legacy!BC63</f>
        <v/>
      </c>
      <c r="BD101" s="3">
        <f>Paid!BD61+Legacy!BD63</f>
        <v/>
      </c>
      <c r="BE101" s="3">
        <f>Paid!BE61+Legacy!BE63</f>
        <v/>
      </c>
      <c r="BF101" s="3">
        <f>Paid!BF61+Legacy!BF63</f>
        <v/>
      </c>
      <c r="BG101" s="3">
        <f>Paid!BG61+Legacy!BG63</f>
        <v/>
      </c>
      <c r="BH101" s="3">
        <f>Paid!BH61+Legacy!BH63</f>
        <v/>
      </c>
      <c r="BI101" s="3">
        <f>Paid!BI61+Legacy!BI63</f>
        <v/>
      </c>
      <c r="BJ101" s="3">
        <f>Paid!BJ61+Legacy!BJ63</f>
        <v/>
      </c>
      <c r="BK101" s="3">
        <f>Paid!BK61+Legacy!BK63</f>
        <v/>
      </c>
      <c r="BL101" s="3">
        <f>Paid!BL61+Legacy!BL63</f>
        <v/>
      </c>
      <c r="BM101" s="3">
        <f>Paid!BM61+Legacy!BM63</f>
        <v/>
      </c>
      <c r="BN101" s="3">
        <f>Paid!BN61+Legacy!BN63</f>
        <v/>
      </c>
      <c r="BO101" s="3">
        <f>Paid!BO61+Legacy!BO63</f>
        <v/>
      </c>
      <c r="BP101" s="3">
        <f>Paid!BP61+Legacy!BP63</f>
        <v/>
      </c>
      <c r="BQ101" s="3">
        <f>Paid!BQ61+Legacy!BQ63</f>
        <v/>
      </c>
      <c r="BR101" s="3">
        <f>Paid!BR61+Legacy!BR63</f>
        <v/>
      </c>
      <c r="BS101" s="3">
        <f>Paid!BS61+Legacy!BS63</f>
        <v/>
      </c>
      <c r="BT101" s="3">
        <f>Paid!BT61+Legacy!BT63</f>
        <v/>
      </c>
      <c r="BU101" s="3">
        <f>Paid!BU61+Legacy!BU63</f>
        <v/>
      </c>
      <c r="BV101" s="3">
        <f>Paid!BV61+Legacy!BV63</f>
        <v/>
      </c>
    </row>
    <row r="102">
      <c r="A102" t="inlineStr">
        <is>
          <t>reactivations out</t>
        </is>
      </c>
      <c r="B102" t="inlineStr">
        <is>
          <t>APAC|BASIC_M</t>
        </is>
      </c>
      <c r="C102" s="3">
        <f>React!$C$101*Curves!$BV$19</f>
        <v/>
      </c>
      <c r="D102" s="3">
        <f>SUMPRODUCT(React!$C$101:$D$101,Curves!$BU$19:$BV$19)</f>
        <v/>
      </c>
      <c r="E102" s="3">
        <f>SUMPRODUCT(React!$C$101:$E$101,Curves!$BT$19:$BV$19)</f>
        <v/>
      </c>
      <c r="F102" s="3">
        <f>SUMPRODUCT(React!$C$101:$F$101,Curves!$BS$19:$BV$19)</f>
        <v/>
      </c>
      <c r="G102" s="3">
        <f>SUMPRODUCT(React!$C$101:$G$101,Curves!$BR$19:$BV$19)</f>
        <v/>
      </c>
      <c r="H102" s="3">
        <f>SUMPRODUCT(React!$C$101:$H$101,Curves!$BQ$19:$BV$19)</f>
        <v/>
      </c>
      <c r="I102" s="3">
        <f>SUMPRODUCT(React!$C$101:$I$101,Curves!$BP$19:$BV$19)</f>
        <v/>
      </c>
      <c r="J102" s="3">
        <f>SUMPRODUCT(React!$C$101:$J$101,Curves!$BO$19:$BV$19)</f>
        <v/>
      </c>
      <c r="K102" s="3">
        <f>SUMPRODUCT(React!$C$101:$K$101,Curves!$BN$19:$BV$19)</f>
        <v/>
      </c>
      <c r="L102" s="3">
        <f>SUMPRODUCT(React!$C$101:$L$101,Curves!$BM$19:$BV$19)</f>
        <v/>
      </c>
      <c r="M102" s="3">
        <f>SUMPRODUCT(React!$C$101:$M$101,Curves!$BL$19:$BV$19)</f>
        <v/>
      </c>
      <c r="N102" s="3">
        <f>SUMPRODUCT(React!$C$101:$N$101,Curves!$BK$19:$BV$19)</f>
        <v/>
      </c>
      <c r="O102" s="3">
        <f>SUMPRODUCT(React!$C$101:$O$101,Curves!$BJ$19:$BV$19)</f>
        <v/>
      </c>
      <c r="P102" s="3">
        <f>SUMPRODUCT(React!$C$101:$P$101,Curves!$BI$19:$BV$19)</f>
        <v/>
      </c>
      <c r="Q102" s="3">
        <f>SUMPRODUCT(React!$C$101:$Q$101,Curves!$BH$19:$BV$19)</f>
        <v/>
      </c>
      <c r="R102" s="3">
        <f>SUMPRODUCT(React!$C$101:$R$101,Curves!$BG$19:$BV$19)</f>
        <v/>
      </c>
      <c r="S102" s="3">
        <f>SUMPRODUCT(React!$C$101:$S$101,Curves!$BF$19:$BV$19)</f>
        <v/>
      </c>
      <c r="T102" s="3">
        <f>SUMPRODUCT(React!$C$101:$T$101,Curves!$BE$19:$BV$19)</f>
        <v/>
      </c>
      <c r="U102" s="3">
        <f>SUMPRODUCT(React!$C$101:$U$101,Curves!$BD$19:$BV$19)</f>
        <v/>
      </c>
      <c r="V102" s="3">
        <f>SUMPRODUCT(React!$C$101:$V$101,Curves!$BC$19:$BV$19)</f>
        <v/>
      </c>
      <c r="W102" s="3">
        <f>SUMPRODUCT(React!$C$101:$W$101,Curves!$BB$19:$BV$19)</f>
        <v/>
      </c>
      <c r="X102" s="3">
        <f>SUMPRODUCT(React!$C$101:$X$101,Curves!$BA$19:$BV$19)</f>
        <v/>
      </c>
      <c r="Y102" s="3">
        <f>SUMPRODUCT(React!$C$101:$Y$101,Curves!$AZ$19:$BV$19)</f>
        <v/>
      </c>
      <c r="Z102" s="3">
        <f>SUMPRODUCT(React!$C$101:$Z$101,Curves!$AY$19:$BV$19)</f>
        <v/>
      </c>
      <c r="AA102" s="3">
        <f>SUMPRODUCT(React!$C$101:$AA$101,Curves!$AX$19:$BV$19)</f>
        <v/>
      </c>
      <c r="AB102" s="3">
        <f>SUMPRODUCT(React!$C$101:$AB$101,Curves!$AW$19:$BV$19)</f>
        <v/>
      </c>
      <c r="AC102" s="3">
        <f>SUMPRODUCT(React!$C$101:$AC$101,Curves!$AV$19:$BV$19)</f>
        <v/>
      </c>
      <c r="AD102" s="3">
        <f>SUMPRODUCT(React!$C$101:$AD$101,Curves!$AU$19:$BV$19)</f>
        <v/>
      </c>
      <c r="AE102" s="3">
        <f>SUMPRODUCT(React!$C$101:$AE$101,Curves!$AT$19:$BV$19)</f>
        <v/>
      </c>
      <c r="AF102" s="3">
        <f>SUMPRODUCT(React!$C$101:$AF$101,Curves!$AS$19:$BV$19)</f>
        <v/>
      </c>
      <c r="AG102" s="3">
        <f>SUMPRODUCT(React!$C$101:$AG$101,Curves!$AR$19:$BV$19)</f>
        <v/>
      </c>
      <c r="AH102" s="3">
        <f>SUMPRODUCT(React!$C$101:$AH$101,Curves!$AQ$19:$BV$19)</f>
        <v/>
      </c>
      <c r="AI102" s="3">
        <f>SUMPRODUCT(React!$C$101:$AI$101,Curves!$AP$19:$BV$19)</f>
        <v/>
      </c>
      <c r="AJ102" s="3">
        <f>SUMPRODUCT(React!$C$101:$AJ$101,Curves!$AO$19:$BV$19)</f>
        <v/>
      </c>
      <c r="AK102" s="3">
        <f>SUMPRODUCT(React!$C$101:$AK$101,Curves!$AN$19:$BV$19)</f>
        <v/>
      </c>
      <c r="AL102" s="3">
        <f>SUMPRODUCT(React!$C$101:$AL$101,Curves!$AM$19:$BV$19)</f>
        <v/>
      </c>
      <c r="AM102" s="3">
        <f>SUMPRODUCT(React!$C$101:$AM$101,Curves!$AL$19:$BV$19)</f>
        <v/>
      </c>
      <c r="AN102" s="3">
        <f>SUMPRODUCT(React!$C$101:$AN$101,Curves!$AK$19:$BV$19)</f>
        <v/>
      </c>
      <c r="AO102" s="3">
        <f>SUMPRODUCT(React!$C$101:$AO$101,Curves!$AJ$19:$BV$19)</f>
        <v/>
      </c>
      <c r="AP102" s="3">
        <f>SUMPRODUCT(React!$C$101:$AP$101,Curves!$AI$19:$BV$19)</f>
        <v/>
      </c>
      <c r="AQ102" s="3">
        <f>SUMPRODUCT(React!$C$101:$AQ$101,Curves!$AH$19:$BV$19)</f>
        <v/>
      </c>
      <c r="AR102" s="3">
        <f>SUMPRODUCT(React!$C$101:$AR$101,Curves!$AG$19:$BV$19)</f>
        <v/>
      </c>
      <c r="AS102" s="3">
        <f>SUMPRODUCT(React!$C$101:$AS$101,Curves!$AF$19:$BV$19)</f>
        <v/>
      </c>
      <c r="AT102" s="3">
        <f>SUMPRODUCT(React!$C$101:$AT$101,Curves!$AE$19:$BV$19)</f>
        <v/>
      </c>
      <c r="AU102" s="3">
        <f>SUMPRODUCT(React!$C$101:$AU$101,Curves!$AD$19:$BV$19)</f>
        <v/>
      </c>
      <c r="AV102" s="3">
        <f>SUMPRODUCT(React!$C$101:$AV$101,Curves!$AC$19:$BV$19)</f>
        <v/>
      </c>
      <c r="AW102" s="3">
        <f>SUMPRODUCT(React!$C$101:$AW$101,Curves!$AB$19:$BV$19)</f>
        <v/>
      </c>
      <c r="AX102" s="3">
        <f>SUMPRODUCT(React!$C$101:$AX$101,Curves!$AA$19:$BV$19)</f>
        <v/>
      </c>
      <c r="AY102" s="3">
        <f>SUMPRODUCT(React!$C$101:$AY$101,Curves!$Z$19:$BV$19)</f>
        <v/>
      </c>
      <c r="AZ102" s="3">
        <f>SUMPRODUCT(React!$C$101:$AZ$101,Curves!$Y$19:$BV$19)</f>
        <v/>
      </c>
      <c r="BA102" s="3">
        <f>SUMPRODUCT(React!$C$101:$BA$101,Curves!$X$19:$BV$19)</f>
        <v/>
      </c>
      <c r="BB102" s="3">
        <f>SUMPRODUCT(React!$C$101:$BB$101,Curves!$W$19:$BV$19)</f>
        <v/>
      </c>
      <c r="BC102" s="3">
        <f>SUMPRODUCT(React!$C$101:$BC$101,Curves!$V$19:$BV$19)</f>
        <v/>
      </c>
      <c r="BD102" s="3">
        <f>SUMPRODUCT(React!$C$101:$BD$101,Curves!$U$19:$BV$19)</f>
        <v/>
      </c>
      <c r="BE102" s="3">
        <f>SUMPRODUCT(React!$C$101:$BE$101,Curves!$T$19:$BV$19)</f>
        <v/>
      </c>
      <c r="BF102" s="3">
        <f>SUMPRODUCT(React!$C$101:$BF$101,Curves!$S$19:$BV$19)</f>
        <v/>
      </c>
      <c r="BG102" s="3">
        <f>SUMPRODUCT(React!$C$101:$BG$101,Curves!$R$19:$BV$19)</f>
        <v/>
      </c>
      <c r="BH102" s="3">
        <f>SUMPRODUCT(React!$C$101:$BH$101,Curves!$Q$19:$BV$19)</f>
        <v/>
      </c>
      <c r="BI102" s="3">
        <f>SUMPRODUCT(React!$C$101:$BI$101,Curves!$P$19:$BV$19)</f>
        <v/>
      </c>
      <c r="BJ102" s="3">
        <f>SUMPRODUCT(React!$C$101:$BJ$101,Curves!$O$19:$BV$19)</f>
        <v/>
      </c>
      <c r="BK102" s="3">
        <f>SUMPRODUCT(React!$C$101:$BK$101,Curves!$N$19:$BV$19)</f>
        <v/>
      </c>
      <c r="BL102" s="3">
        <f>SUMPRODUCT(React!$C$101:$BL$101,Curves!$M$19:$BV$19)</f>
        <v/>
      </c>
      <c r="BM102" s="3">
        <f>SUMPRODUCT(React!$C$101:$BM$101,Curves!$L$19:$BV$19)</f>
        <v/>
      </c>
      <c r="BN102" s="3">
        <f>SUMPRODUCT(React!$C$101:$BN$101,Curves!$K$19:$BV$19)</f>
        <v/>
      </c>
      <c r="BO102" s="3">
        <f>SUMPRODUCT(React!$C$101:$BO$101,Curves!$J$19:$BV$19)</f>
        <v/>
      </c>
      <c r="BP102" s="3">
        <f>SUMPRODUCT(React!$C$101:$BP$101,Curves!$I$19:$BV$19)</f>
        <v/>
      </c>
      <c r="BQ102" s="3">
        <f>SUMPRODUCT(React!$C$101:$BQ$101,Curves!$H$19:$BV$19)</f>
        <v/>
      </c>
      <c r="BR102" s="3">
        <f>SUMPRODUCT(React!$C$101:$BR$101,Curves!$G$19:$BV$19)</f>
        <v/>
      </c>
      <c r="BS102" s="3">
        <f>SUMPRODUCT(React!$C$101:$BS$101,Curves!$F$19:$BV$19)</f>
        <v/>
      </c>
      <c r="BT102" s="3">
        <f>SUMPRODUCT(React!$C$101:$BT$101,Curves!$E$19:$BV$19)</f>
        <v/>
      </c>
      <c r="BU102" s="3">
        <f>SUMPRODUCT(React!$C$101:$BU$101,Curves!$D$19:$BV$19)</f>
        <v/>
      </c>
      <c r="BV102" s="3">
        <f>SUMPRODUCT(React!$C$101:$BV$101,Curves!$C$19:$BV$19)</f>
        <v/>
      </c>
    </row>
    <row r="103">
      <c r="A103" t="inlineStr">
        <is>
          <t>reactivated in</t>
        </is>
      </c>
      <c r="B103" t="inlineStr">
        <is>
          <t>APAC|BASIC_M</t>
        </is>
      </c>
      <c r="C103" s="3">
        <f>C102+C109</f>
        <v/>
      </c>
      <c r="D103" s="3">
        <f>D102+D109</f>
        <v/>
      </c>
      <c r="E103" s="3">
        <f>E102+E109</f>
        <v/>
      </c>
      <c r="F103" s="3">
        <f>F102+F109</f>
        <v/>
      </c>
      <c r="G103" s="3">
        <f>G102+G109</f>
        <v/>
      </c>
      <c r="H103" s="3">
        <f>H102+H109</f>
        <v/>
      </c>
      <c r="I103" s="3">
        <f>I102+I109</f>
        <v/>
      </c>
      <c r="J103" s="3">
        <f>J102+J109</f>
        <v/>
      </c>
      <c r="K103" s="3">
        <f>K102+K109</f>
        <v/>
      </c>
      <c r="L103" s="3">
        <f>L102+L109</f>
        <v/>
      </c>
      <c r="M103" s="3">
        <f>M102+M109</f>
        <v/>
      </c>
      <c r="N103" s="3">
        <f>N102+N109</f>
        <v/>
      </c>
      <c r="O103" s="3">
        <f>O102+O109</f>
        <v/>
      </c>
      <c r="P103" s="3">
        <f>P102+P109</f>
        <v/>
      </c>
      <c r="Q103" s="3">
        <f>Q102+Q109</f>
        <v/>
      </c>
      <c r="R103" s="3">
        <f>R102+R109</f>
        <v/>
      </c>
      <c r="S103" s="3">
        <f>S102+S109</f>
        <v/>
      </c>
      <c r="T103" s="3">
        <f>T102+T109</f>
        <v/>
      </c>
      <c r="U103" s="3">
        <f>U102+U109</f>
        <v/>
      </c>
      <c r="V103" s="3">
        <f>V102+V109</f>
        <v/>
      </c>
      <c r="W103" s="3">
        <f>W102+W109</f>
        <v/>
      </c>
      <c r="X103" s="3">
        <f>X102+X109</f>
        <v/>
      </c>
      <c r="Y103" s="3">
        <f>Y102+Y109</f>
        <v/>
      </c>
      <c r="Z103" s="3">
        <f>Z102+Z109</f>
        <v/>
      </c>
      <c r="AA103" s="3">
        <f>AA102+AA109</f>
        <v/>
      </c>
      <c r="AB103" s="3">
        <f>AB102+AB109</f>
        <v/>
      </c>
      <c r="AC103" s="3">
        <f>AC102+AC109</f>
        <v/>
      </c>
      <c r="AD103" s="3">
        <f>AD102+AD109</f>
        <v/>
      </c>
      <c r="AE103" s="3">
        <f>AE102+AE109</f>
        <v/>
      </c>
      <c r="AF103" s="3">
        <f>AF102+AF109</f>
        <v/>
      </c>
      <c r="AG103" s="3">
        <f>AG102+AG109</f>
        <v/>
      </c>
      <c r="AH103" s="3">
        <f>AH102+AH109</f>
        <v/>
      </c>
      <c r="AI103" s="3">
        <f>AI102+AI109</f>
        <v/>
      </c>
      <c r="AJ103" s="3">
        <f>AJ102+AJ109</f>
        <v/>
      </c>
      <c r="AK103" s="3">
        <f>AK102+AK109</f>
        <v/>
      </c>
      <c r="AL103" s="3">
        <f>AL102+AL109</f>
        <v/>
      </c>
      <c r="AM103" s="3">
        <f>AM102+AM109</f>
        <v/>
      </c>
      <c r="AN103" s="3">
        <f>AN102+AN109</f>
        <v/>
      </c>
      <c r="AO103" s="3">
        <f>AO102+AO109</f>
        <v/>
      </c>
      <c r="AP103" s="3">
        <f>AP102+AP109</f>
        <v/>
      </c>
      <c r="AQ103" s="3">
        <f>AQ102+AQ109</f>
        <v/>
      </c>
      <c r="AR103" s="3">
        <f>AR102+AR109</f>
        <v/>
      </c>
      <c r="AS103" s="3">
        <f>AS102+AS109</f>
        <v/>
      </c>
      <c r="AT103" s="3">
        <f>AT102+AT109</f>
        <v/>
      </c>
      <c r="AU103" s="3">
        <f>AU102+AU109</f>
        <v/>
      </c>
      <c r="AV103" s="3">
        <f>AV102+AV109</f>
        <v/>
      </c>
      <c r="AW103" s="3">
        <f>AW102+AW109</f>
        <v/>
      </c>
      <c r="AX103" s="3">
        <f>AX102+AX109</f>
        <v/>
      </c>
      <c r="AY103" s="3">
        <f>AY102+AY109</f>
        <v/>
      </c>
      <c r="AZ103" s="3">
        <f>AZ102+AZ109</f>
        <v/>
      </c>
      <c r="BA103" s="3">
        <f>BA102+BA109</f>
        <v/>
      </c>
      <c r="BB103" s="3">
        <f>BB102+BB109</f>
        <v/>
      </c>
      <c r="BC103" s="3">
        <f>BC102+BC109</f>
        <v/>
      </c>
      <c r="BD103" s="3">
        <f>BD102+BD109</f>
        <v/>
      </c>
      <c r="BE103" s="3">
        <f>BE102+BE109</f>
        <v/>
      </c>
      <c r="BF103" s="3">
        <f>BF102+BF109</f>
        <v/>
      </c>
      <c r="BG103" s="3">
        <f>BG102+BG109</f>
        <v/>
      </c>
      <c r="BH103" s="3">
        <f>BH102+BH109</f>
        <v/>
      </c>
      <c r="BI103" s="3">
        <f>BI102+BI109</f>
        <v/>
      </c>
      <c r="BJ103" s="3">
        <f>BJ102+BJ109</f>
        <v/>
      </c>
      <c r="BK103" s="3">
        <f>BK102+BK109</f>
        <v/>
      </c>
      <c r="BL103" s="3">
        <f>BL102+BL109</f>
        <v/>
      </c>
      <c r="BM103" s="3">
        <f>BM102+BM109</f>
        <v/>
      </c>
      <c r="BN103" s="3">
        <f>BN102+BN109</f>
        <v/>
      </c>
      <c r="BO103" s="3">
        <f>BO102+BO109</f>
        <v/>
      </c>
      <c r="BP103" s="3">
        <f>BP102+BP109</f>
        <v/>
      </c>
      <c r="BQ103" s="3">
        <f>BQ102+BQ109</f>
        <v/>
      </c>
      <c r="BR103" s="3">
        <f>BR102+BR109</f>
        <v/>
      </c>
      <c r="BS103" s="3">
        <f>BS102+BS109</f>
        <v/>
      </c>
      <c r="BT103" s="3">
        <f>BT102+BT109</f>
        <v/>
      </c>
      <c r="BU103" s="3">
        <f>BU102+BU109</f>
        <v/>
      </c>
      <c r="BV103" s="3">
        <f>BV102+BV109</f>
        <v/>
      </c>
    </row>
    <row r="104">
      <c r="A104" t="inlineStr">
        <is>
          <t>active</t>
        </is>
      </c>
      <c r="B104" t="inlineStr">
        <is>
          <t>APAC|BASIC_M</t>
        </is>
      </c>
      <c r="C104" s="3">
        <f>React!$C$103*Curves!$BV$17</f>
        <v/>
      </c>
      <c r="D104" s="3">
        <f>SUMPRODUCT(React!$C$103:$D$103,Curves!$BU$17:$BV$17)</f>
        <v/>
      </c>
      <c r="E104" s="3">
        <f>SUMPRODUCT(React!$C$103:$E$103,Curves!$BT$17:$BV$17)</f>
        <v/>
      </c>
      <c r="F104" s="3">
        <f>SUMPRODUCT(React!$C$103:$F$103,Curves!$BS$17:$BV$17)</f>
        <v/>
      </c>
      <c r="G104" s="3">
        <f>SUMPRODUCT(React!$C$103:$G$103,Curves!$BR$17:$BV$17)</f>
        <v/>
      </c>
      <c r="H104" s="3">
        <f>SUMPRODUCT(React!$C$103:$H$103,Curves!$BQ$17:$BV$17)</f>
        <v/>
      </c>
      <c r="I104" s="3">
        <f>SUMPRODUCT(React!$C$103:$I$103,Curves!$BP$17:$BV$17)</f>
        <v/>
      </c>
      <c r="J104" s="3">
        <f>SUMPRODUCT(React!$C$103:$J$103,Curves!$BO$17:$BV$17)</f>
        <v/>
      </c>
      <c r="K104" s="3">
        <f>SUMPRODUCT(React!$C$103:$K$103,Curves!$BN$17:$BV$17)</f>
        <v/>
      </c>
      <c r="L104" s="3">
        <f>SUMPRODUCT(React!$C$103:$L$103,Curves!$BM$17:$BV$17)</f>
        <v/>
      </c>
      <c r="M104" s="3">
        <f>SUMPRODUCT(React!$C$103:$M$103,Curves!$BL$17:$BV$17)</f>
        <v/>
      </c>
      <c r="N104" s="3">
        <f>SUMPRODUCT(React!$C$103:$N$103,Curves!$BK$17:$BV$17)</f>
        <v/>
      </c>
      <c r="O104" s="3">
        <f>SUMPRODUCT(React!$C$103:$O$103,Curves!$BJ$17:$BV$17)</f>
        <v/>
      </c>
      <c r="P104" s="3">
        <f>SUMPRODUCT(React!$C$103:$P$103,Curves!$BI$17:$BV$17)</f>
        <v/>
      </c>
      <c r="Q104" s="3">
        <f>SUMPRODUCT(React!$C$103:$Q$103,Curves!$BH$17:$BV$17)</f>
        <v/>
      </c>
      <c r="R104" s="3">
        <f>SUMPRODUCT(React!$C$103:$R$103,Curves!$BG$17:$BV$17)</f>
        <v/>
      </c>
      <c r="S104" s="3">
        <f>SUMPRODUCT(React!$C$103:$S$103,Curves!$BF$17:$BV$17)</f>
        <v/>
      </c>
      <c r="T104" s="3">
        <f>SUMPRODUCT(React!$C$103:$T$103,Curves!$BE$17:$BV$17)</f>
        <v/>
      </c>
      <c r="U104" s="3">
        <f>SUMPRODUCT(React!$C$103:$U$103,Curves!$BD$17:$BV$17)</f>
        <v/>
      </c>
      <c r="V104" s="3">
        <f>SUMPRODUCT(React!$C$103:$V$103,Curves!$BC$17:$BV$17)</f>
        <v/>
      </c>
      <c r="W104" s="3">
        <f>SUMPRODUCT(React!$C$103:$W$103,Curves!$BB$17:$BV$17)</f>
        <v/>
      </c>
      <c r="X104" s="3">
        <f>SUMPRODUCT(React!$C$103:$X$103,Curves!$BA$17:$BV$17)</f>
        <v/>
      </c>
      <c r="Y104" s="3">
        <f>SUMPRODUCT(React!$C$103:$Y$103,Curves!$AZ$17:$BV$17)</f>
        <v/>
      </c>
      <c r="Z104" s="3">
        <f>SUMPRODUCT(React!$C$103:$Z$103,Curves!$AY$17:$BV$17)</f>
        <v/>
      </c>
      <c r="AA104" s="3">
        <f>SUMPRODUCT(React!$C$103:$AA$103,Curves!$AX$17:$BV$17)</f>
        <v/>
      </c>
      <c r="AB104" s="3">
        <f>SUMPRODUCT(React!$C$103:$AB$103,Curves!$AW$17:$BV$17)</f>
        <v/>
      </c>
      <c r="AC104" s="3">
        <f>SUMPRODUCT(React!$C$103:$AC$103,Curves!$AV$17:$BV$17)</f>
        <v/>
      </c>
      <c r="AD104" s="3">
        <f>SUMPRODUCT(React!$C$103:$AD$103,Curves!$AU$17:$BV$17)</f>
        <v/>
      </c>
      <c r="AE104" s="3">
        <f>SUMPRODUCT(React!$C$103:$AE$103,Curves!$AT$17:$BV$17)</f>
        <v/>
      </c>
      <c r="AF104" s="3">
        <f>SUMPRODUCT(React!$C$103:$AF$103,Curves!$AS$17:$BV$17)</f>
        <v/>
      </c>
      <c r="AG104" s="3">
        <f>SUMPRODUCT(React!$C$103:$AG$103,Curves!$AR$17:$BV$17)</f>
        <v/>
      </c>
      <c r="AH104" s="3">
        <f>SUMPRODUCT(React!$C$103:$AH$103,Curves!$AQ$17:$BV$17)</f>
        <v/>
      </c>
      <c r="AI104" s="3">
        <f>SUMPRODUCT(React!$C$103:$AI$103,Curves!$AP$17:$BV$17)</f>
        <v/>
      </c>
      <c r="AJ104" s="3">
        <f>SUMPRODUCT(React!$C$103:$AJ$103,Curves!$AO$17:$BV$17)</f>
        <v/>
      </c>
      <c r="AK104" s="3">
        <f>SUMPRODUCT(React!$C$103:$AK$103,Curves!$AN$17:$BV$17)</f>
        <v/>
      </c>
      <c r="AL104" s="3">
        <f>SUMPRODUCT(React!$C$103:$AL$103,Curves!$AM$17:$BV$17)</f>
        <v/>
      </c>
      <c r="AM104" s="3">
        <f>SUMPRODUCT(React!$C$103:$AM$103,Curves!$AL$17:$BV$17)</f>
        <v/>
      </c>
      <c r="AN104" s="3">
        <f>SUMPRODUCT(React!$C$103:$AN$103,Curves!$AK$17:$BV$17)</f>
        <v/>
      </c>
      <c r="AO104" s="3">
        <f>SUMPRODUCT(React!$C$103:$AO$103,Curves!$AJ$17:$BV$17)</f>
        <v/>
      </c>
      <c r="AP104" s="3">
        <f>SUMPRODUCT(React!$C$103:$AP$103,Curves!$AI$17:$BV$17)</f>
        <v/>
      </c>
      <c r="AQ104" s="3">
        <f>SUMPRODUCT(React!$C$103:$AQ$103,Curves!$AH$17:$BV$17)</f>
        <v/>
      </c>
      <c r="AR104" s="3">
        <f>SUMPRODUCT(React!$C$103:$AR$103,Curves!$AG$17:$BV$17)</f>
        <v/>
      </c>
      <c r="AS104" s="3">
        <f>SUMPRODUCT(React!$C$103:$AS$103,Curves!$AF$17:$BV$17)</f>
        <v/>
      </c>
      <c r="AT104" s="3">
        <f>SUMPRODUCT(React!$C$103:$AT$103,Curves!$AE$17:$BV$17)</f>
        <v/>
      </c>
      <c r="AU104" s="3">
        <f>SUMPRODUCT(React!$C$103:$AU$103,Curves!$AD$17:$BV$17)</f>
        <v/>
      </c>
      <c r="AV104" s="3">
        <f>SUMPRODUCT(React!$C$103:$AV$103,Curves!$AC$17:$BV$17)</f>
        <v/>
      </c>
      <c r="AW104" s="3">
        <f>SUMPRODUCT(React!$C$103:$AW$103,Curves!$AB$17:$BV$17)</f>
        <v/>
      </c>
      <c r="AX104" s="3">
        <f>SUMPRODUCT(React!$C$103:$AX$103,Curves!$AA$17:$BV$17)</f>
        <v/>
      </c>
      <c r="AY104" s="3">
        <f>SUMPRODUCT(React!$C$103:$AY$103,Curves!$Z$17:$BV$17)</f>
        <v/>
      </c>
      <c r="AZ104" s="3">
        <f>SUMPRODUCT(React!$C$103:$AZ$103,Curves!$Y$17:$BV$17)</f>
        <v/>
      </c>
      <c r="BA104" s="3">
        <f>SUMPRODUCT(React!$C$103:$BA$103,Curves!$X$17:$BV$17)</f>
        <v/>
      </c>
      <c r="BB104" s="3">
        <f>SUMPRODUCT(React!$C$103:$BB$103,Curves!$W$17:$BV$17)</f>
        <v/>
      </c>
      <c r="BC104" s="3">
        <f>SUMPRODUCT(React!$C$103:$BC$103,Curves!$V$17:$BV$17)</f>
        <v/>
      </c>
      <c r="BD104" s="3">
        <f>SUMPRODUCT(React!$C$103:$BD$103,Curves!$U$17:$BV$17)</f>
        <v/>
      </c>
      <c r="BE104" s="3">
        <f>SUMPRODUCT(React!$C$103:$BE$103,Curves!$T$17:$BV$17)</f>
        <v/>
      </c>
      <c r="BF104" s="3">
        <f>SUMPRODUCT(React!$C$103:$BF$103,Curves!$S$17:$BV$17)</f>
        <v/>
      </c>
      <c r="BG104" s="3">
        <f>SUMPRODUCT(React!$C$103:$BG$103,Curves!$R$17:$BV$17)</f>
        <v/>
      </c>
      <c r="BH104" s="3">
        <f>SUMPRODUCT(React!$C$103:$BH$103,Curves!$Q$17:$BV$17)</f>
        <v/>
      </c>
      <c r="BI104" s="3">
        <f>SUMPRODUCT(React!$C$103:$BI$103,Curves!$P$17:$BV$17)</f>
        <v/>
      </c>
      <c r="BJ104" s="3">
        <f>SUMPRODUCT(React!$C$103:$BJ$103,Curves!$O$17:$BV$17)</f>
        <v/>
      </c>
      <c r="BK104" s="3">
        <f>SUMPRODUCT(React!$C$103:$BK$103,Curves!$N$17:$BV$17)</f>
        <v/>
      </c>
      <c r="BL104" s="3">
        <f>SUMPRODUCT(React!$C$103:$BL$103,Curves!$M$17:$BV$17)</f>
        <v/>
      </c>
      <c r="BM104" s="3">
        <f>SUMPRODUCT(React!$C$103:$BM$103,Curves!$L$17:$BV$17)</f>
        <v/>
      </c>
      <c r="BN104" s="3">
        <f>SUMPRODUCT(React!$C$103:$BN$103,Curves!$K$17:$BV$17)</f>
        <v/>
      </c>
      <c r="BO104" s="3">
        <f>SUMPRODUCT(React!$C$103:$BO$103,Curves!$J$17:$BV$17)</f>
        <v/>
      </c>
      <c r="BP104" s="3">
        <f>SUMPRODUCT(React!$C$103:$BP$103,Curves!$I$17:$BV$17)</f>
        <v/>
      </c>
      <c r="BQ104" s="3">
        <f>SUMPRODUCT(React!$C$103:$BQ$103,Curves!$H$17:$BV$17)</f>
        <v/>
      </c>
      <c r="BR104" s="3">
        <f>SUMPRODUCT(React!$C$103:$BR$103,Curves!$G$17:$BV$17)</f>
        <v/>
      </c>
      <c r="BS104" s="3">
        <f>SUMPRODUCT(React!$C$103:$BS$103,Curves!$F$17:$BV$17)</f>
        <v/>
      </c>
      <c r="BT104" s="3">
        <f>SUMPRODUCT(React!$C$103:$BT$103,Curves!$E$17:$BV$17)</f>
        <v/>
      </c>
      <c r="BU104" s="3">
        <f>SUMPRODUCT(React!$C$103:$BU$103,Curves!$D$17:$BV$17)</f>
        <v/>
      </c>
      <c r="BV104" s="3">
        <f>SUMPRODUCT(React!$C$103:$BV$103,Curves!$C$17:$BV$17)</f>
        <v/>
      </c>
    </row>
    <row r="105">
      <c r="A105" t="inlineStr">
        <is>
          <t>active yr 1</t>
        </is>
      </c>
      <c r="B105" t="inlineStr">
        <is>
          <t>APAC|BASIC_M</t>
        </is>
      </c>
      <c r="C105" s="3">
        <f>React!$C$103*Curves!$BV$22</f>
        <v/>
      </c>
      <c r="D105" s="3">
        <f>SUMPRODUCT(React!$C$103:$D$103,Curves!$BU$22:$BV$22)</f>
        <v/>
      </c>
      <c r="E105" s="3">
        <f>SUMPRODUCT(React!$C$103:$E$103,Curves!$BT$22:$BV$22)</f>
        <v/>
      </c>
      <c r="F105" s="3">
        <f>SUMPRODUCT(React!$C$103:$F$103,Curves!$BS$22:$BV$22)</f>
        <v/>
      </c>
      <c r="G105" s="3">
        <f>SUMPRODUCT(React!$C$103:$G$103,Curves!$BR$22:$BV$22)</f>
        <v/>
      </c>
      <c r="H105" s="3">
        <f>SUMPRODUCT(React!$C$103:$H$103,Curves!$BQ$22:$BV$22)</f>
        <v/>
      </c>
      <c r="I105" s="3">
        <f>SUMPRODUCT(React!$C$103:$I$103,Curves!$BP$22:$BV$22)</f>
        <v/>
      </c>
      <c r="J105" s="3">
        <f>SUMPRODUCT(React!$C$103:$J$103,Curves!$BO$22:$BV$22)</f>
        <v/>
      </c>
      <c r="K105" s="3">
        <f>SUMPRODUCT(React!$C$103:$K$103,Curves!$BN$22:$BV$22)</f>
        <v/>
      </c>
      <c r="L105" s="3">
        <f>SUMPRODUCT(React!$C$103:$L$103,Curves!$BM$22:$BV$22)</f>
        <v/>
      </c>
      <c r="M105" s="3">
        <f>SUMPRODUCT(React!$C$103:$M$103,Curves!$BL$22:$BV$22)</f>
        <v/>
      </c>
      <c r="N105" s="3">
        <f>SUMPRODUCT(React!$C$103:$N$103,Curves!$BK$22:$BV$22)</f>
        <v/>
      </c>
      <c r="O105" s="3">
        <f>SUMPRODUCT(React!$C$103:$O$103,Curves!$BJ$22:$BV$22)</f>
        <v/>
      </c>
      <c r="P105" s="3">
        <f>SUMPRODUCT(React!$C$103:$P$103,Curves!$BI$22:$BV$22)</f>
        <v/>
      </c>
      <c r="Q105" s="3">
        <f>SUMPRODUCT(React!$C$103:$Q$103,Curves!$BH$22:$BV$22)</f>
        <v/>
      </c>
      <c r="R105" s="3">
        <f>SUMPRODUCT(React!$C$103:$R$103,Curves!$BG$22:$BV$22)</f>
        <v/>
      </c>
      <c r="S105" s="3">
        <f>SUMPRODUCT(React!$C$103:$S$103,Curves!$BF$22:$BV$22)</f>
        <v/>
      </c>
      <c r="T105" s="3">
        <f>SUMPRODUCT(React!$C$103:$T$103,Curves!$BE$22:$BV$22)</f>
        <v/>
      </c>
      <c r="U105" s="3">
        <f>SUMPRODUCT(React!$C$103:$U$103,Curves!$BD$22:$BV$22)</f>
        <v/>
      </c>
      <c r="V105" s="3">
        <f>SUMPRODUCT(React!$C$103:$V$103,Curves!$BC$22:$BV$22)</f>
        <v/>
      </c>
      <c r="W105" s="3">
        <f>SUMPRODUCT(React!$C$103:$W$103,Curves!$BB$22:$BV$22)</f>
        <v/>
      </c>
      <c r="X105" s="3">
        <f>SUMPRODUCT(React!$C$103:$X$103,Curves!$BA$22:$BV$22)</f>
        <v/>
      </c>
      <c r="Y105" s="3">
        <f>SUMPRODUCT(React!$C$103:$Y$103,Curves!$AZ$22:$BV$22)</f>
        <v/>
      </c>
      <c r="Z105" s="3">
        <f>SUMPRODUCT(React!$C$103:$Z$103,Curves!$AY$22:$BV$22)</f>
        <v/>
      </c>
      <c r="AA105" s="3">
        <f>SUMPRODUCT(React!$C$103:$AA$103,Curves!$AX$22:$BV$22)</f>
        <v/>
      </c>
      <c r="AB105" s="3">
        <f>SUMPRODUCT(React!$C$103:$AB$103,Curves!$AW$22:$BV$22)</f>
        <v/>
      </c>
      <c r="AC105" s="3">
        <f>SUMPRODUCT(React!$C$103:$AC$103,Curves!$AV$22:$BV$22)</f>
        <v/>
      </c>
      <c r="AD105" s="3">
        <f>SUMPRODUCT(React!$C$103:$AD$103,Curves!$AU$22:$BV$22)</f>
        <v/>
      </c>
      <c r="AE105" s="3">
        <f>SUMPRODUCT(React!$C$103:$AE$103,Curves!$AT$22:$BV$22)</f>
        <v/>
      </c>
      <c r="AF105" s="3">
        <f>SUMPRODUCT(React!$C$103:$AF$103,Curves!$AS$22:$BV$22)</f>
        <v/>
      </c>
      <c r="AG105" s="3">
        <f>SUMPRODUCT(React!$C$103:$AG$103,Curves!$AR$22:$BV$22)</f>
        <v/>
      </c>
      <c r="AH105" s="3">
        <f>SUMPRODUCT(React!$C$103:$AH$103,Curves!$AQ$22:$BV$22)</f>
        <v/>
      </c>
      <c r="AI105" s="3">
        <f>SUMPRODUCT(React!$C$103:$AI$103,Curves!$AP$22:$BV$22)</f>
        <v/>
      </c>
      <c r="AJ105" s="3">
        <f>SUMPRODUCT(React!$C$103:$AJ$103,Curves!$AO$22:$BV$22)</f>
        <v/>
      </c>
      <c r="AK105" s="3">
        <f>SUMPRODUCT(React!$C$103:$AK$103,Curves!$AN$22:$BV$22)</f>
        <v/>
      </c>
      <c r="AL105" s="3">
        <f>SUMPRODUCT(React!$C$103:$AL$103,Curves!$AM$22:$BV$22)</f>
        <v/>
      </c>
      <c r="AM105" s="3">
        <f>SUMPRODUCT(React!$C$103:$AM$103,Curves!$AL$22:$BV$22)</f>
        <v/>
      </c>
      <c r="AN105" s="3">
        <f>SUMPRODUCT(React!$C$103:$AN$103,Curves!$AK$22:$BV$22)</f>
        <v/>
      </c>
      <c r="AO105" s="3">
        <f>SUMPRODUCT(React!$C$103:$AO$103,Curves!$AJ$22:$BV$22)</f>
        <v/>
      </c>
      <c r="AP105" s="3">
        <f>SUMPRODUCT(React!$C$103:$AP$103,Curves!$AI$22:$BV$22)</f>
        <v/>
      </c>
      <c r="AQ105" s="3">
        <f>SUMPRODUCT(React!$C$103:$AQ$103,Curves!$AH$22:$BV$22)</f>
        <v/>
      </c>
      <c r="AR105" s="3">
        <f>SUMPRODUCT(React!$C$103:$AR$103,Curves!$AG$22:$BV$22)</f>
        <v/>
      </c>
      <c r="AS105" s="3">
        <f>SUMPRODUCT(React!$C$103:$AS$103,Curves!$AF$22:$BV$22)</f>
        <v/>
      </c>
      <c r="AT105" s="3">
        <f>SUMPRODUCT(React!$C$103:$AT$103,Curves!$AE$22:$BV$22)</f>
        <v/>
      </c>
      <c r="AU105" s="3">
        <f>SUMPRODUCT(React!$C$103:$AU$103,Curves!$AD$22:$BV$22)</f>
        <v/>
      </c>
      <c r="AV105" s="3">
        <f>SUMPRODUCT(React!$C$103:$AV$103,Curves!$AC$22:$BV$22)</f>
        <v/>
      </c>
      <c r="AW105" s="3">
        <f>SUMPRODUCT(React!$C$103:$AW$103,Curves!$AB$22:$BV$22)</f>
        <v/>
      </c>
      <c r="AX105" s="3">
        <f>SUMPRODUCT(React!$C$103:$AX$103,Curves!$AA$22:$BV$22)</f>
        <v/>
      </c>
      <c r="AY105" s="3">
        <f>SUMPRODUCT(React!$C$103:$AY$103,Curves!$Z$22:$BV$22)</f>
        <v/>
      </c>
      <c r="AZ105" s="3">
        <f>SUMPRODUCT(React!$C$103:$AZ$103,Curves!$Y$22:$BV$22)</f>
        <v/>
      </c>
      <c r="BA105" s="3">
        <f>SUMPRODUCT(React!$C$103:$BA$103,Curves!$X$22:$BV$22)</f>
        <v/>
      </c>
      <c r="BB105" s="3">
        <f>SUMPRODUCT(React!$C$103:$BB$103,Curves!$W$22:$BV$22)</f>
        <v/>
      </c>
      <c r="BC105" s="3">
        <f>SUMPRODUCT(React!$C$103:$BC$103,Curves!$V$22:$BV$22)</f>
        <v/>
      </c>
      <c r="BD105" s="3">
        <f>SUMPRODUCT(React!$C$103:$BD$103,Curves!$U$22:$BV$22)</f>
        <v/>
      </c>
      <c r="BE105" s="3">
        <f>SUMPRODUCT(React!$C$103:$BE$103,Curves!$T$22:$BV$22)</f>
        <v/>
      </c>
      <c r="BF105" s="3">
        <f>SUMPRODUCT(React!$C$103:$BF$103,Curves!$S$22:$BV$22)</f>
        <v/>
      </c>
      <c r="BG105" s="3">
        <f>SUMPRODUCT(React!$C$103:$BG$103,Curves!$R$22:$BV$22)</f>
        <v/>
      </c>
      <c r="BH105" s="3">
        <f>SUMPRODUCT(React!$C$103:$BH$103,Curves!$Q$22:$BV$22)</f>
        <v/>
      </c>
      <c r="BI105" s="3">
        <f>SUMPRODUCT(React!$C$103:$BI$103,Curves!$P$22:$BV$22)</f>
        <v/>
      </c>
      <c r="BJ105" s="3">
        <f>SUMPRODUCT(React!$C$103:$BJ$103,Curves!$O$22:$BV$22)</f>
        <v/>
      </c>
      <c r="BK105" s="3">
        <f>SUMPRODUCT(React!$C$103:$BK$103,Curves!$N$22:$BV$22)</f>
        <v/>
      </c>
      <c r="BL105" s="3">
        <f>SUMPRODUCT(React!$C$103:$BL$103,Curves!$M$22:$BV$22)</f>
        <v/>
      </c>
      <c r="BM105" s="3">
        <f>SUMPRODUCT(React!$C$103:$BM$103,Curves!$L$22:$BV$22)</f>
        <v/>
      </c>
      <c r="BN105" s="3">
        <f>SUMPRODUCT(React!$C$103:$BN$103,Curves!$K$22:$BV$22)</f>
        <v/>
      </c>
      <c r="BO105" s="3">
        <f>SUMPRODUCT(React!$C$103:$BO$103,Curves!$J$22:$BV$22)</f>
        <v/>
      </c>
      <c r="BP105" s="3">
        <f>SUMPRODUCT(React!$C$103:$BP$103,Curves!$I$22:$BV$22)</f>
        <v/>
      </c>
      <c r="BQ105" s="3">
        <f>SUMPRODUCT(React!$C$103:$BQ$103,Curves!$H$22:$BV$22)</f>
        <v/>
      </c>
      <c r="BR105" s="3">
        <f>SUMPRODUCT(React!$C$103:$BR$103,Curves!$G$22:$BV$22)</f>
        <v/>
      </c>
      <c r="BS105" s="3">
        <f>SUMPRODUCT(React!$C$103:$BS$103,Curves!$F$22:$BV$22)</f>
        <v/>
      </c>
      <c r="BT105" s="3">
        <f>SUMPRODUCT(React!$C$103:$BT$103,Curves!$E$22:$BV$22)</f>
        <v/>
      </c>
      <c r="BU105" s="3">
        <f>SUMPRODUCT(React!$C$103:$BU$103,Curves!$D$22:$BV$22)</f>
        <v/>
      </c>
      <c r="BV105" s="3">
        <f>SUMPRODUCT(React!$C$103:$BV$103,Curves!$C$22:$BV$22)</f>
        <v/>
      </c>
    </row>
    <row r="106">
      <c r="A106" t="inlineStr">
        <is>
          <t>churned</t>
        </is>
      </c>
      <c r="B106" t="inlineStr">
        <is>
          <t>APAC|BASIC_M</t>
        </is>
      </c>
      <c r="C106" s="3">
        <f>React!$C$103*Curves!$BV$18</f>
        <v/>
      </c>
      <c r="D106" s="3">
        <f>SUMPRODUCT(React!$C$103:$D$103,Curves!$BU$18:$BV$18)</f>
        <v/>
      </c>
      <c r="E106" s="3">
        <f>SUMPRODUCT(React!$C$103:$E$103,Curves!$BT$18:$BV$18)</f>
        <v/>
      </c>
      <c r="F106" s="3">
        <f>SUMPRODUCT(React!$C$103:$F$103,Curves!$BS$18:$BV$18)</f>
        <v/>
      </c>
      <c r="G106" s="3">
        <f>SUMPRODUCT(React!$C$103:$G$103,Curves!$BR$18:$BV$18)</f>
        <v/>
      </c>
      <c r="H106" s="3">
        <f>SUMPRODUCT(React!$C$103:$H$103,Curves!$BQ$18:$BV$18)</f>
        <v/>
      </c>
      <c r="I106" s="3">
        <f>SUMPRODUCT(React!$C$103:$I$103,Curves!$BP$18:$BV$18)</f>
        <v/>
      </c>
      <c r="J106" s="3">
        <f>SUMPRODUCT(React!$C$103:$J$103,Curves!$BO$18:$BV$18)</f>
        <v/>
      </c>
      <c r="K106" s="3">
        <f>SUMPRODUCT(React!$C$103:$K$103,Curves!$BN$18:$BV$18)</f>
        <v/>
      </c>
      <c r="L106" s="3">
        <f>SUMPRODUCT(React!$C$103:$L$103,Curves!$BM$18:$BV$18)</f>
        <v/>
      </c>
      <c r="M106" s="3">
        <f>SUMPRODUCT(React!$C$103:$M$103,Curves!$BL$18:$BV$18)</f>
        <v/>
      </c>
      <c r="N106" s="3">
        <f>SUMPRODUCT(React!$C$103:$N$103,Curves!$BK$18:$BV$18)</f>
        <v/>
      </c>
      <c r="O106" s="3">
        <f>SUMPRODUCT(React!$C$103:$O$103,Curves!$BJ$18:$BV$18)</f>
        <v/>
      </c>
      <c r="P106" s="3">
        <f>SUMPRODUCT(React!$C$103:$P$103,Curves!$BI$18:$BV$18)</f>
        <v/>
      </c>
      <c r="Q106" s="3">
        <f>SUMPRODUCT(React!$C$103:$Q$103,Curves!$BH$18:$BV$18)</f>
        <v/>
      </c>
      <c r="R106" s="3">
        <f>SUMPRODUCT(React!$C$103:$R$103,Curves!$BG$18:$BV$18)</f>
        <v/>
      </c>
      <c r="S106" s="3">
        <f>SUMPRODUCT(React!$C$103:$S$103,Curves!$BF$18:$BV$18)</f>
        <v/>
      </c>
      <c r="T106" s="3">
        <f>SUMPRODUCT(React!$C$103:$T$103,Curves!$BE$18:$BV$18)</f>
        <v/>
      </c>
      <c r="U106" s="3">
        <f>SUMPRODUCT(React!$C$103:$U$103,Curves!$BD$18:$BV$18)</f>
        <v/>
      </c>
      <c r="V106" s="3">
        <f>SUMPRODUCT(React!$C$103:$V$103,Curves!$BC$18:$BV$18)</f>
        <v/>
      </c>
      <c r="W106" s="3">
        <f>SUMPRODUCT(React!$C$103:$W$103,Curves!$BB$18:$BV$18)</f>
        <v/>
      </c>
      <c r="X106" s="3">
        <f>SUMPRODUCT(React!$C$103:$X$103,Curves!$BA$18:$BV$18)</f>
        <v/>
      </c>
      <c r="Y106" s="3">
        <f>SUMPRODUCT(React!$C$103:$Y$103,Curves!$AZ$18:$BV$18)</f>
        <v/>
      </c>
      <c r="Z106" s="3">
        <f>SUMPRODUCT(React!$C$103:$Z$103,Curves!$AY$18:$BV$18)</f>
        <v/>
      </c>
      <c r="AA106" s="3">
        <f>SUMPRODUCT(React!$C$103:$AA$103,Curves!$AX$18:$BV$18)</f>
        <v/>
      </c>
      <c r="AB106" s="3">
        <f>SUMPRODUCT(React!$C$103:$AB$103,Curves!$AW$18:$BV$18)</f>
        <v/>
      </c>
      <c r="AC106" s="3">
        <f>SUMPRODUCT(React!$C$103:$AC$103,Curves!$AV$18:$BV$18)</f>
        <v/>
      </c>
      <c r="AD106" s="3">
        <f>SUMPRODUCT(React!$C$103:$AD$103,Curves!$AU$18:$BV$18)</f>
        <v/>
      </c>
      <c r="AE106" s="3">
        <f>SUMPRODUCT(React!$C$103:$AE$103,Curves!$AT$18:$BV$18)</f>
        <v/>
      </c>
      <c r="AF106" s="3">
        <f>SUMPRODUCT(React!$C$103:$AF$103,Curves!$AS$18:$BV$18)</f>
        <v/>
      </c>
      <c r="AG106" s="3">
        <f>SUMPRODUCT(React!$C$103:$AG$103,Curves!$AR$18:$BV$18)</f>
        <v/>
      </c>
      <c r="AH106" s="3">
        <f>SUMPRODUCT(React!$C$103:$AH$103,Curves!$AQ$18:$BV$18)</f>
        <v/>
      </c>
      <c r="AI106" s="3">
        <f>SUMPRODUCT(React!$C$103:$AI$103,Curves!$AP$18:$BV$18)</f>
        <v/>
      </c>
      <c r="AJ106" s="3">
        <f>SUMPRODUCT(React!$C$103:$AJ$103,Curves!$AO$18:$BV$18)</f>
        <v/>
      </c>
      <c r="AK106" s="3">
        <f>SUMPRODUCT(React!$C$103:$AK$103,Curves!$AN$18:$BV$18)</f>
        <v/>
      </c>
      <c r="AL106" s="3">
        <f>SUMPRODUCT(React!$C$103:$AL$103,Curves!$AM$18:$BV$18)</f>
        <v/>
      </c>
      <c r="AM106" s="3">
        <f>SUMPRODUCT(React!$C$103:$AM$103,Curves!$AL$18:$BV$18)</f>
        <v/>
      </c>
      <c r="AN106" s="3">
        <f>SUMPRODUCT(React!$C$103:$AN$103,Curves!$AK$18:$BV$18)</f>
        <v/>
      </c>
      <c r="AO106" s="3">
        <f>SUMPRODUCT(React!$C$103:$AO$103,Curves!$AJ$18:$BV$18)</f>
        <v/>
      </c>
      <c r="AP106" s="3">
        <f>SUMPRODUCT(React!$C$103:$AP$103,Curves!$AI$18:$BV$18)</f>
        <v/>
      </c>
      <c r="AQ106" s="3">
        <f>SUMPRODUCT(React!$C$103:$AQ$103,Curves!$AH$18:$BV$18)</f>
        <v/>
      </c>
      <c r="AR106" s="3">
        <f>SUMPRODUCT(React!$C$103:$AR$103,Curves!$AG$18:$BV$18)</f>
        <v/>
      </c>
      <c r="AS106" s="3">
        <f>SUMPRODUCT(React!$C$103:$AS$103,Curves!$AF$18:$BV$18)</f>
        <v/>
      </c>
      <c r="AT106" s="3">
        <f>SUMPRODUCT(React!$C$103:$AT$103,Curves!$AE$18:$BV$18)</f>
        <v/>
      </c>
      <c r="AU106" s="3">
        <f>SUMPRODUCT(React!$C$103:$AU$103,Curves!$AD$18:$BV$18)</f>
        <v/>
      </c>
      <c r="AV106" s="3">
        <f>SUMPRODUCT(React!$C$103:$AV$103,Curves!$AC$18:$BV$18)</f>
        <v/>
      </c>
      <c r="AW106" s="3">
        <f>SUMPRODUCT(React!$C$103:$AW$103,Curves!$AB$18:$BV$18)</f>
        <v/>
      </c>
      <c r="AX106" s="3">
        <f>SUMPRODUCT(React!$C$103:$AX$103,Curves!$AA$18:$BV$18)</f>
        <v/>
      </c>
      <c r="AY106" s="3">
        <f>SUMPRODUCT(React!$C$103:$AY$103,Curves!$Z$18:$BV$18)</f>
        <v/>
      </c>
      <c r="AZ106" s="3">
        <f>SUMPRODUCT(React!$C$103:$AZ$103,Curves!$Y$18:$BV$18)</f>
        <v/>
      </c>
      <c r="BA106" s="3">
        <f>SUMPRODUCT(React!$C$103:$BA$103,Curves!$X$18:$BV$18)</f>
        <v/>
      </c>
      <c r="BB106" s="3">
        <f>SUMPRODUCT(React!$C$103:$BB$103,Curves!$W$18:$BV$18)</f>
        <v/>
      </c>
      <c r="BC106" s="3">
        <f>SUMPRODUCT(React!$C$103:$BC$103,Curves!$V$18:$BV$18)</f>
        <v/>
      </c>
      <c r="BD106" s="3">
        <f>SUMPRODUCT(React!$C$103:$BD$103,Curves!$U$18:$BV$18)</f>
        <v/>
      </c>
      <c r="BE106" s="3">
        <f>SUMPRODUCT(React!$C$103:$BE$103,Curves!$T$18:$BV$18)</f>
        <v/>
      </c>
      <c r="BF106" s="3">
        <f>SUMPRODUCT(React!$C$103:$BF$103,Curves!$S$18:$BV$18)</f>
        <v/>
      </c>
      <c r="BG106" s="3">
        <f>SUMPRODUCT(React!$C$103:$BG$103,Curves!$R$18:$BV$18)</f>
        <v/>
      </c>
      <c r="BH106" s="3">
        <f>SUMPRODUCT(React!$C$103:$BH$103,Curves!$Q$18:$BV$18)</f>
        <v/>
      </c>
      <c r="BI106" s="3">
        <f>SUMPRODUCT(React!$C$103:$BI$103,Curves!$P$18:$BV$18)</f>
        <v/>
      </c>
      <c r="BJ106" s="3">
        <f>SUMPRODUCT(React!$C$103:$BJ$103,Curves!$O$18:$BV$18)</f>
        <v/>
      </c>
      <c r="BK106" s="3">
        <f>SUMPRODUCT(React!$C$103:$BK$103,Curves!$N$18:$BV$18)</f>
        <v/>
      </c>
      <c r="BL106" s="3">
        <f>SUMPRODUCT(React!$C$103:$BL$103,Curves!$M$18:$BV$18)</f>
        <v/>
      </c>
      <c r="BM106" s="3">
        <f>SUMPRODUCT(React!$C$103:$BM$103,Curves!$L$18:$BV$18)</f>
        <v/>
      </c>
      <c r="BN106" s="3">
        <f>SUMPRODUCT(React!$C$103:$BN$103,Curves!$K$18:$BV$18)</f>
        <v/>
      </c>
      <c r="BO106" s="3">
        <f>SUMPRODUCT(React!$C$103:$BO$103,Curves!$J$18:$BV$18)</f>
        <v/>
      </c>
      <c r="BP106" s="3">
        <f>SUMPRODUCT(React!$C$103:$BP$103,Curves!$I$18:$BV$18)</f>
        <v/>
      </c>
      <c r="BQ106" s="3">
        <f>SUMPRODUCT(React!$C$103:$BQ$103,Curves!$H$18:$BV$18)</f>
        <v/>
      </c>
      <c r="BR106" s="3">
        <f>SUMPRODUCT(React!$C$103:$BR$103,Curves!$G$18:$BV$18)</f>
        <v/>
      </c>
      <c r="BS106" s="3">
        <f>SUMPRODUCT(React!$C$103:$BS$103,Curves!$F$18:$BV$18)</f>
        <v/>
      </c>
      <c r="BT106" s="3">
        <f>SUMPRODUCT(React!$C$103:$BT$103,Curves!$E$18:$BV$18)</f>
        <v/>
      </c>
      <c r="BU106" s="3">
        <f>SUMPRODUCT(React!$C$103:$BU$103,Curves!$D$18:$BV$18)</f>
        <v/>
      </c>
      <c r="BV106" s="3">
        <f>SUMPRODUCT(React!$C$103:$BV$103,Curves!$C$18:$BV$18)</f>
        <v/>
      </c>
    </row>
    <row r="108">
      <c r="A108" t="inlineStr">
        <is>
          <t>churn pool inflow</t>
        </is>
      </c>
      <c r="B108" t="inlineStr">
        <is>
          <t>APAC|BASIC_A</t>
        </is>
      </c>
      <c r="C108" s="3">
        <f>Paid!C65+Legacy!C67</f>
        <v/>
      </c>
      <c r="D108" s="3">
        <f>Paid!D65+Legacy!D67</f>
        <v/>
      </c>
      <c r="E108" s="3">
        <f>Paid!E65+Legacy!E67</f>
        <v/>
      </c>
      <c r="F108" s="3">
        <f>Paid!F65+Legacy!F67</f>
        <v/>
      </c>
      <c r="G108" s="3">
        <f>Paid!G65+Legacy!G67</f>
        <v/>
      </c>
      <c r="H108" s="3">
        <f>Paid!H65+Legacy!H67</f>
        <v/>
      </c>
      <c r="I108" s="3">
        <f>Paid!I65+Legacy!I67</f>
        <v/>
      </c>
      <c r="J108" s="3">
        <f>Paid!J65+Legacy!J67</f>
        <v/>
      </c>
      <c r="K108" s="3">
        <f>Paid!K65+Legacy!K67</f>
        <v/>
      </c>
      <c r="L108" s="3">
        <f>Paid!L65+Legacy!L67</f>
        <v/>
      </c>
      <c r="M108" s="3">
        <f>Paid!M65+Legacy!M67</f>
        <v/>
      </c>
      <c r="N108" s="3">
        <f>Paid!N65+Legacy!N67</f>
        <v/>
      </c>
      <c r="O108" s="3">
        <f>Paid!O65+Legacy!O67</f>
        <v/>
      </c>
      <c r="P108" s="3">
        <f>Paid!P65+Legacy!P67</f>
        <v/>
      </c>
      <c r="Q108" s="3">
        <f>Paid!Q65+Legacy!Q67</f>
        <v/>
      </c>
      <c r="R108" s="3">
        <f>Paid!R65+Legacy!R67</f>
        <v/>
      </c>
      <c r="S108" s="3">
        <f>Paid!S65+Legacy!S67</f>
        <v/>
      </c>
      <c r="T108" s="3">
        <f>Paid!T65+Legacy!T67</f>
        <v/>
      </c>
      <c r="U108" s="3">
        <f>Paid!U65+Legacy!U67</f>
        <v/>
      </c>
      <c r="V108" s="3">
        <f>Paid!V65+Legacy!V67</f>
        <v/>
      </c>
      <c r="W108" s="3">
        <f>Paid!W65+Legacy!W67</f>
        <v/>
      </c>
      <c r="X108" s="3">
        <f>Paid!X65+Legacy!X67</f>
        <v/>
      </c>
      <c r="Y108" s="3">
        <f>Paid!Y65+Legacy!Y67</f>
        <v/>
      </c>
      <c r="Z108" s="3">
        <f>Paid!Z65+Legacy!Z67</f>
        <v/>
      </c>
      <c r="AA108" s="3">
        <f>Paid!AA65+Legacy!AA67</f>
        <v/>
      </c>
      <c r="AB108" s="3">
        <f>Paid!AB65+Legacy!AB67</f>
        <v/>
      </c>
      <c r="AC108" s="3">
        <f>Paid!AC65+Legacy!AC67</f>
        <v/>
      </c>
      <c r="AD108" s="3">
        <f>Paid!AD65+Legacy!AD67</f>
        <v/>
      </c>
      <c r="AE108" s="3">
        <f>Paid!AE65+Legacy!AE67</f>
        <v/>
      </c>
      <c r="AF108" s="3">
        <f>Paid!AF65+Legacy!AF67</f>
        <v/>
      </c>
      <c r="AG108" s="3">
        <f>Paid!AG65+Legacy!AG67</f>
        <v/>
      </c>
      <c r="AH108" s="3">
        <f>Paid!AH65+Legacy!AH67</f>
        <v/>
      </c>
      <c r="AI108" s="3">
        <f>Paid!AI65+Legacy!AI67</f>
        <v/>
      </c>
      <c r="AJ108" s="3">
        <f>Paid!AJ65+Legacy!AJ67</f>
        <v/>
      </c>
      <c r="AK108" s="3">
        <f>Paid!AK65+Legacy!AK67</f>
        <v/>
      </c>
      <c r="AL108" s="3">
        <f>Paid!AL65+Legacy!AL67</f>
        <v/>
      </c>
      <c r="AM108" s="3">
        <f>Paid!AM65+Legacy!AM67</f>
        <v/>
      </c>
      <c r="AN108" s="3">
        <f>Paid!AN65+Legacy!AN67</f>
        <v/>
      </c>
      <c r="AO108" s="3">
        <f>Paid!AO65+Legacy!AO67</f>
        <v/>
      </c>
      <c r="AP108" s="3">
        <f>Paid!AP65+Legacy!AP67</f>
        <v/>
      </c>
      <c r="AQ108" s="3">
        <f>Paid!AQ65+Legacy!AQ67</f>
        <v/>
      </c>
      <c r="AR108" s="3">
        <f>Paid!AR65+Legacy!AR67</f>
        <v/>
      </c>
      <c r="AS108" s="3">
        <f>Paid!AS65+Legacy!AS67</f>
        <v/>
      </c>
      <c r="AT108" s="3">
        <f>Paid!AT65+Legacy!AT67</f>
        <v/>
      </c>
      <c r="AU108" s="3">
        <f>Paid!AU65+Legacy!AU67</f>
        <v/>
      </c>
      <c r="AV108" s="3">
        <f>Paid!AV65+Legacy!AV67</f>
        <v/>
      </c>
      <c r="AW108" s="3">
        <f>Paid!AW65+Legacy!AW67</f>
        <v/>
      </c>
      <c r="AX108" s="3">
        <f>Paid!AX65+Legacy!AX67</f>
        <v/>
      </c>
      <c r="AY108" s="3">
        <f>Paid!AY65+Legacy!AY67</f>
        <v/>
      </c>
      <c r="AZ108" s="3">
        <f>Paid!AZ65+Legacy!AZ67</f>
        <v/>
      </c>
      <c r="BA108" s="3">
        <f>Paid!BA65+Legacy!BA67</f>
        <v/>
      </c>
      <c r="BB108" s="3">
        <f>Paid!BB65+Legacy!BB67</f>
        <v/>
      </c>
      <c r="BC108" s="3">
        <f>Paid!BC65+Legacy!BC67</f>
        <v/>
      </c>
      <c r="BD108" s="3">
        <f>Paid!BD65+Legacy!BD67</f>
        <v/>
      </c>
      <c r="BE108" s="3">
        <f>Paid!BE65+Legacy!BE67</f>
        <v/>
      </c>
      <c r="BF108" s="3">
        <f>Paid!BF65+Legacy!BF67</f>
        <v/>
      </c>
      <c r="BG108" s="3">
        <f>Paid!BG65+Legacy!BG67</f>
        <v/>
      </c>
      <c r="BH108" s="3">
        <f>Paid!BH65+Legacy!BH67</f>
        <v/>
      </c>
      <c r="BI108" s="3">
        <f>Paid!BI65+Legacy!BI67</f>
        <v/>
      </c>
      <c r="BJ108" s="3">
        <f>Paid!BJ65+Legacy!BJ67</f>
        <v/>
      </c>
      <c r="BK108" s="3">
        <f>Paid!BK65+Legacy!BK67</f>
        <v/>
      </c>
      <c r="BL108" s="3">
        <f>Paid!BL65+Legacy!BL67</f>
        <v/>
      </c>
      <c r="BM108" s="3">
        <f>Paid!BM65+Legacy!BM67</f>
        <v/>
      </c>
      <c r="BN108" s="3">
        <f>Paid!BN65+Legacy!BN67</f>
        <v/>
      </c>
      <c r="BO108" s="3">
        <f>Paid!BO65+Legacy!BO67</f>
        <v/>
      </c>
      <c r="BP108" s="3">
        <f>Paid!BP65+Legacy!BP67</f>
        <v/>
      </c>
      <c r="BQ108" s="3">
        <f>Paid!BQ65+Legacy!BQ67</f>
        <v/>
      </c>
      <c r="BR108" s="3">
        <f>Paid!BR65+Legacy!BR67</f>
        <v/>
      </c>
      <c r="BS108" s="3">
        <f>Paid!BS65+Legacy!BS67</f>
        <v/>
      </c>
      <c r="BT108" s="3">
        <f>Paid!BT65+Legacy!BT67</f>
        <v/>
      </c>
      <c r="BU108" s="3">
        <f>Paid!BU65+Legacy!BU67</f>
        <v/>
      </c>
      <c r="BV108" s="3">
        <f>Paid!BV65+Legacy!BV67</f>
        <v/>
      </c>
    </row>
    <row r="109">
      <c r="A109" t="inlineStr">
        <is>
          <t>reactivations out</t>
        </is>
      </c>
      <c r="B109" t="inlineStr">
        <is>
          <t>APAC|BASIC_A</t>
        </is>
      </c>
      <c r="C109" s="3">
        <f>React!$C$108*Curves!$BV$19</f>
        <v/>
      </c>
      <c r="D109" s="3">
        <f>SUMPRODUCT(React!$C$108:$D$108,Curves!$BU$19:$BV$19)</f>
        <v/>
      </c>
      <c r="E109" s="3">
        <f>SUMPRODUCT(React!$C$108:$E$108,Curves!$BT$19:$BV$19)</f>
        <v/>
      </c>
      <c r="F109" s="3">
        <f>SUMPRODUCT(React!$C$108:$F$108,Curves!$BS$19:$BV$19)</f>
        <v/>
      </c>
      <c r="G109" s="3">
        <f>SUMPRODUCT(React!$C$108:$G$108,Curves!$BR$19:$BV$19)</f>
        <v/>
      </c>
      <c r="H109" s="3">
        <f>SUMPRODUCT(React!$C$108:$H$108,Curves!$BQ$19:$BV$19)</f>
        <v/>
      </c>
      <c r="I109" s="3">
        <f>SUMPRODUCT(React!$C$108:$I$108,Curves!$BP$19:$BV$19)</f>
        <v/>
      </c>
      <c r="J109" s="3">
        <f>SUMPRODUCT(React!$C$108:$J$108,Curves!$BO$19:$BV$19)</f>
        <v/>
      </c>
      <c r="K109" s="3">
        <f>SUMPRODUCT(React!$C$108:$K$108,Curves!$BN$19:$BV$19)</f>
        <v/>
      </c>
      <c r="L109" s="3">
        <f>SUMPRODUCT(React!$C$108:$L$108,Curves!$BM$19:$BV$19)</f>
        <v/>
      </c>
      <c r="M109" s="3">
        <f>SUMPRODUCT(React!$C$108:$M$108,Curves!$BL$19:$BV$19)</f>
        <v/>
      </c>
      <c r="N109" s="3">
        <f>SUMPRODUCT(React!$C$108:$N$108,Curves!$BK$19:$BV$19)</f>
        <v/>
      </c>
      <c r="O109" s="3">
        <f>SUMPRODUCT(React!$C$108:$O$108,Curves!$BJ$19:$BV$19)</f>
        <v/>
      </c>
      <c r="P109" s="3">
        <f>SUMPRODUCT(React!$C$108:$P$108,Curves!$BI$19:$BV$19)</f>
        <v/>
      </c>
      <c r="Q109" s="3">
        <f>SUMPRODUCT(React!$C$108:$Q$108,Curves!$BH$19:$BV$19)</f>
        <v/>
      </c>
      <c r="R109" s="3">
        <f>SUMPRODUCT(React!$C$108:$R$108,Curves!$BG$19:$BV$19)</f>
        <v/>
      </c>
      <c r="S109" s="3">
        <f>SUMPRODUCT(React!$C$108:$S$108,Curves!$BF$19:$BV$19)</f>
        <v/>
      </c>
      <c r="T109" s="3">
        <f>SUMPRODUCT(React!$C$108:$T$108,Curves!$BE$19:$BV$19)</f>
        <v/>
      </c>
      <c r="U109" s="3">
        <f>SUMPRODUCT(React!$C$108:$U$108,Curves!$BD$19:$BV$19)</f>
        <v/>
      </c>
      <c r="V109" s="3">
        <f>SUMPRODUCT(React!$C$108:$V$108,Curves!$BC$19:$BV$19)</f>
        <v/>
      </c>
      <c r="W109" s="3">
        <f>SUMPRODUCT(React!$C$108:$W$108,Curves!$BB$19:$BV$19)</f>
        <v/>
      </c>
      <c r="X109" s="3">
        <f>SUMPRODUCT(React!$C$108:$X$108,Curves!$BA$19:$BV$19)</f>
        <v/>
      </c>
      <c r="Y109" s="3">
        <f>SUMPRODUCT(React!$C$108:$Y$108,Curves!$AZ$19:$BV$19)</f>
        <v/>
      </c>
      <c r="Z109" s="3">
        <f>SUMPRODUCT(React!$C$108:$Z$108,Curves!$AY$19:$BV$19)</f>
        <v/>
      </c>
      <c r="AA109" s="3">
        <f>SUMPRODUCT(React!$C$108:$AA$108,Curves!$AX$19:$BV$19)</f>
        <v/>
      </c>
      <c r="AB109" s="3">
        <f>SUMPRODUCT(React!$C$108:$AB$108,Curves!$AW$19:$BV$19)</f>
        <v/>
      </c>
      <c r="AC109" s="3">
        <f>SUMPRODUCT(React!$C$108:$AC$108,Curves!$AV$19:$BV$19)</f>
        <v/>
      </c>
      <c r="AD109" s="3">
        <f>SUMPRODUCT(React!$C$108:$AD$108,Curves!$AU$19:$BV$19)</f>
        <v/>
      </c>
      <c r="AE109" s="3">
        <f>SUMPRODUCT(React!$C$108:$AE$108,Curves!$AT$19:$BV$19)</f>
        <v/>
      </c>
      <c r="AF109" s="3">
        <f>SUMPRODUCT(React!$C$108:$AF$108,Curves!$AS$19:$BV$19)</f>
        <v/>
      </c>
      <c r="AG109" s="3">
        <f>SUMPRODUCT(React!$C$108:$AG$108,Curves!$AR$19:$BV$19)</f>
        <v/>
      </c>
      <c r="AH109" s="3">
        <f>SUMPRODUCT(React!$C$108:$AH$108,Curves!$AQ$19:$BV$19)</f>
        <v/>
      </c>
      <c r="AI109" s="3">
        <f>SUMPRODUCT(React!$C$108:$AI$108,Curves!$AP$19:$BV$19)</f>
        <v/>
      </c>
      <c r="AJ109" s="3">
        <f>SUMPRODUCT(React!$C$108:$AJ$108,Curves!$AO$19:$BV$19)</f>
        <v/>
      </c>
      <c r="AK109" s="3">
        <f>SUMPRODUCT(React!$C$108:$AK$108,Curves!$AN$19:$BV$19)</f>
        <v/>
      </c>
      <c r="AL109" s="3">
        <f>SUMPRODUCT(React!$C$108:$AL$108,Curves!$AM$19:$BV$19)</f>
        <v/>
      </c>
      <c r="AM109" s="3">
        <f>SUMPRODUCT(React!$C$108:$AM$108,Curves!$AL$19:$BV$19)</f>
        <v/>
      </c>
      <c r="AN109" s="3">
        <f>SUMPRODUCT(React!$C$108:$AN$108,Curves!$AK$19:$BV$19)</f>
        <v/>
      </c>
      <c r="AO109" s="3">
        <f>SUMPRODUCT(React!$C$108:$AO$108,Curves!$AJ$19:$BV$19)</f>
        <v/>
      </c>
      <c r="AP109" s="3">
        <f>SUMPRODUCT(React!$C$108:$AP$108,Curves!$AI$19:$BV$19)</f>
        <v/>
      </c>
      <c r="AQ109" s="3">
        <f>SUMPRODUCT(React!$C$108:$AQ$108,Curves!$AH$19:$BV$19)</f>
        <v/>
      </c>
      <c r="AR109" s="3">
        <f>SUMPRODUCT(React!$C$108:$AR$108,Curves!$AG$19:$BV$19)</f>
        <v/>
      </c>
      <c r="AS109" s="3">
        <f>SUMPRODUCT(React!$C$108:$AS$108,Curves!$AF$19:$BV$19)</f>
        <v/>
      </c>
      <c r="AT109" s="3">
        <f>SUMPRODUCT(React!$C$108:$AT$108,Curves!$AE$19:$BV$19)</f>
        <v/>
      </c>
      <c r="AU109" s="3">
        <f>SUMPRODUCT(React!$C$108:$AU$108,Curves!$AD$19:$BV$19)</f>
        <v/>
      </c>
      <c r="AV109" s="3">
        <f>SUMPRODUCT(React!$C$108:$AV$108,Curves!$AC$19:$BV$19)</f>
        <v/>
      </c>
      <c r="AW109" s="3">
        <f>SUMPRODUCT(React!$C$108:$AW$108,Curves!$AB$19:$BV$19)</f>
        <v/>
      </c>
      <c r="AX109" s="3">
        <f>SUMPRODUCT(React!$C$108:$AX$108,Curves!$AA$19:$BV$19)</f>
        <v/>
      </c>
      <c r="AY109" s="3">
        <f>SUMPRODUCT(React!$C$108:$AY$108,Curves!$Z$19:$BV$19)</f>
        <v/>
      </c>
      <c r="AZ109" s="3">
        <f>SUMPRODUCT(React!$C$108:$AZ$108,Curves!$Y$19:$BV$19)</f>
        <v/>
      </c>
      <c r="BA109" s="3">
        <f>SUMPRODUCT(React!$C$108:$BA$108,Curves!$X$19:$BV$19)</f>
        <v/>
      </c>
      <c r="BB109" s="3">
        <f>SUMPRODUCT(React!$C$108:$BB$108,Curves!$W$19:$BV$19)</f>
        <v/>
      </c>
      <c r="BC109" s="3">
        <f>SUMPRODUCT(React!$C$108:$BC$108,Curves!$V$19:$BV$19)</f>
        <v/>
      </c>
      <c r="BD109" s="3">
        <f>SUMPRODUCT(React!$C$108:$BD$108,Curves!$U$19:$BV$19)</f>
        <v/>
      </c>
      <c r="BE109" s="3">
        <f>SUMPRODUCT(React!$C$108:$BE$108,Curves!$T$19:$BV$19)</f>
        <v/>
      </c>
      <c r="BF109" s="3">
        <f>SUMPRODUCT(React!$C$108:$BF$108,Curves!$S$19:$BV$19)</f>
        <v/>
      </c>
      <c r="BG109" s="3">
        <f>SUMPRODUCT(React!$C$108:$BG$108,Curves!$R$19:$BV$19)</f>
        <v/>
      </c>
      <c r="BH109" s="3">
        <f>SUMPRODUCT(React!$C$108:$BH$108,Curves!$Q$19:$BV$19)</f>
        <v/>
      </c>
      <c r="BI109" s="3">
        <f>SUMPRODUCT(React!$C$108:$BI$108,Curves!$P$19:$BV$19)</f>
        <v/>
      </c>
      <c r="BJ109" s="3">
        <f>SUMPRODUCT(React!$C$108:$BJ$108,Curves!$O$19:$BV$19)</f>
        <v/>
      </c>
      <c r="BK109" s="3">
        <f>SUMPRODUCT(React!$C$108:$BK$108,Curves!$N$19:$BV$19)</f>
        <v/>
      </c>
      <c r="BL109" s="3">
        <f>SUMPRODUCT(React!$C$108:$BL$108,Curves!$M$19:$BV$19)</f>
        <v/>
      </c>
      <c r="BM109" s="3">
        <f>SUMPRODUCT(React!$C$108:$BM$108,Curves!$L$19:$BV$19)</f>
        <v/>
      </c>
      <c r="BN109" s="3">
        <f>SUMPRODUCT(React!$C$108:$BN$108,Curves!$K$19:$BV$19)</f>
        <v/>
      </c>
      <c r="BO109" s="3">
        <f>SUMPRODUCT(React!$C$108:$BO$108,Curves!$J$19:$BV$19)</f>
        <v/>
      </c>
      <c r="BP109" s="3">
        <f>SUMPRODUCT(React!$C$108:$BP$108,Curves!$I$19:$BV$19)</f>
        <v/>
      </c>
      <c r="BQ109" s="3">
        <f>SUMPRODUCT(React!$C$108:$BQ$108,Curves!$H$19:$BV$19)</f>
        <v/>
      </c>
      <c r="BR109" s="3">
        <f>SUMPRODUCT(React!$C$108:$BR$108,Curves!$G$19:$BV$19)</f>
        <v/>
      </c>
      <c r="BS109" s="3">
        <f>SUMPRODUCT(React!$C$108:$BS$108,Curves!$F$19:$BV$19)</f>
        <v/>
      </c>
      <c r="BT109" s="3">
        <f>SUMPRODUCT(React!$C$108:$BT$108,Curves!$E$19:$BV$19)</f>
        <v/>
      </c>
      <c r="BU109" s="3">
        <f>SUMPRODUCT(React!$C$108:$BU$108,Curves!$D$19:$BV$19)</f>
        <v/>
      </c>
      <c r="BV109" s="3">
        <f>SUMPRODUCT(React!$C$108:$BV$108,Curves!$C$19:$BV$19)</f>
        <v/>
      </c>
    </row>
    <row r="110">
      <c r="A110" t="inlineStr">
        <is>
          <t>reactivated in</t>
        </is>
      </c>
      <c r="B110" t="inlineStr">
        <is>
          <t>APAC|BASIC_A</t>
        </is>
      </c>
      <c r="C110" s="3">
        <f>0</f>
        <v/>
      </c>
      <c r="D110" s="3">
        <f>0</f>
        <v/>
      </c>
      <c r="E110" s="3">
        <f>0</f>
        <v/>
      </c>
      <c r="F110" s="3">
        <f>0</f>
        <v/>
      </c>
      <c r="G110" s="3">
        <f>0</f>
        <v/>
      </c>
      <c r="H110" s="3">
        <f>0</f>
        <v/>
      </c>
      <c r="I110" s="3">
        <f>0</f>
        <v/>
      </c>
      <c r="J110" s="3">
        <f>0</f>
        <v/>
      </c>
      <c r="K110" s="3">
        <f>0</f>
        <v/>
      </c>
      <c r="L110" s="3">
        <f>0</f>
        <v/>
      </c>
      <c r="M110" s="3">
        <f>0</f>
        <v/>
      </c>
      <c r="N110" s="3">
        <f>0</f>
        <v/>
      </c>
      <c r="O110" s="3">
        <f>0</f>
        <v/>
      </c>
      <c r="P110" s="3">
        <f>0</f>
        <v/>
      </c>
      <c r="Q110" s="3">
        <f>0</f>
        <v/>
      </c>
      <c r="R110" s="3">
        <f>0</f>
        <v/>
      </c>
      <c r="S110" s="3">
        <f>0</f>
        <v/>
      </c>
      <c r="T110" s="3">
        <f>0</f>
        <v/>
      </c>
      <c r="U110" s="3">
        <f>0</f>
        <v/>
      </c>
      <c r="V110" s="3">
        <f>0</f>
        <v/>
      </c>
      <c r="W110" s="3">
        <f>0</f>
        <v/>
      </c>
      <c r="X110" s="3">
        <f>0</f>
        <v/>
      </c>
      <c r="Y110" s="3">
        <f>0</f>
        <v/>
      </c>
      <c r="Z110" s="3">
        <f>0</f>
        <v/>
      </c>
      <c r="AA110" s="3">
        <f>0</f>
        <v/>
      </c>
      <c r="AB110" s="3">
        <f>0</f>
        <v/>
      </c>
      <c r="AC110" s="3">
        <f>0</f>
        <v/>
      </c>
      <c r="AD110" s="3">
        <f>0</f>
        <v/>
      </c>
      <c r="AE110" s="3">
        <f>0</f>
        <v/>
      </c>
      <c r="AF110" s="3">
        <f>0</f>
        <v/>
      </c>
      <c r="AG110" s="3">
        <f>0</f>
        <v/>
      </c>
      <c r="AH110" s="3">
        <f>0</f>
        <v/>
      </c>
      <c r="AI110" s="3">
        <f>0</f>
        <v/>
      </c>
      <c r="AJ110" s="3">
        <f>0</f>
        <v/>
      </c>
      <c r="AK110" s="3">
        <f>0</f>
        <v/>
      </c>
      <c r="AL110" s="3">
        <f>0</f>
        <v/>
      </c>
      <c r="AM110" s="3">
        <f>0</f>
        <v/>
      </c>
      <c r="AN110" s="3">
        <f>0</f>
        <v/>
      </c>
      <c r="AO110" s="3">
        <f>0</f>
        <v/>
      </c>
      <c r="AP110" s="3">
        <f>0</f>
        <v/>
      </c>
      <c r="AQ110" s="3">
        <f>0</f>
        <v/>
      </c>
      <c r="AR110" s="3">
        <f>0</f>
        <v/>
      </c>
      <c r="AS110" s="3">
        <f>0</f>
        <v/>
      </c>
      <c r="AT110" s="3">
        <f>0</f>
        <v/>
      </c>
      <c r="AU110" s="3">
        <f>0</f>
        <v/>
      </c>
      <c r="AV110" s="3">
        <f>0</f>
        <v/>
      </c>
      <c r="AW110" s="3">
        <f>0</f>
        <v/>
      </c>
      <c r="AX110" s="3">
        <f>0</f>
        <v/>
      </c>
      <c r="AY110" s="3">
        <f>0</f>
        <v/>
      </c>
      <c r="AZ110" s="3">
        <f>0</f>
        <v/>
      </c>
      <c r="BA110" s="3">
        <f>0</f>
        <v/>
      </c>
      <c r="BB110" s="3">
        <f>0</f>
        <v/>
      </c>
      <c r="BC110" s="3">
        <f>0</f>
        <v/>
      </c>
      <c r="BD110" s="3">
        <f>0</f>
        <v/>
      </c>
      <c r="BE110" s="3">
        <f>0</f>
        <v/>
      </c>
      <c r="BF110" s="3">
        <f>0</f>
        <v/>
      </c>
      <c r="BG110" s="3">
        <f>0</f>
        <v/>
      </c>
      <c r="BH110" s="3">
        <f>0</f>
        <v/>
      </c>
      <c r="BI110" s="3">
        <f>0</f>
        <v/>
      </c>
      <c r="BJ110" s="3">
        <f>0</f>
        <v/>
      </c>
      <c r="BK110" s="3">
        <f>0</f>
        <v/>
      </c>
      <c r="BL110" s="3">
        <f>0</f>
        <v/>
      </c>
      <c r="BM110" s="3">
        <f>0</f>
        <v/>
      </c>
      <c r="BN110" s="3">
        <f>0</f>
        <v/>
      </c>
      <c r="BO110" s="3">
        <f>0</f>
        <v/>
      </c>
      <c r="BP110" s="3">
        <f>0</f>
        <v/>
      </c>
      <c r="BQ110" s="3">
        <f>0</f>
        <v/>
      </c>
      <c r="BR110" s="3">
        <f>0</f>
        <v/>
      </c>
      <c r="BS110" s="3">
        <f>0</f>
        <v/>
      </c>
      <c r="BT110" s="3">
        <f>0</f>
        <v/>
      </c>
      <c r="BU110" s="3">
        <f>0</f>
        <v/>
      </c>
      <c r="BV110" s="3">
        <f>0</f>
        <v/>
      </c>
    </row>
    <row r="111">
      <c r="A111" t="inlineStr">
        <is>
          <t>active</t>
        </is>
      </c>
      <c r="B111" t="inlineStr">
        <is>
          <t>APAC|BASIC_A</t>
        </is>
      </c>
      <c r="C111" s="3">
        <f>React!$C$110*Curves!$BV$17</f>
        <v/>
      </c>
      <c r="D111" s="3">
        <f>SUMPRODUCT(React!$C$110:$D$110,Curves!$BU$17:$BV$17)</f>
        <v/>
      </c>
      <c r="E111" s="3">
        <f>SUMPRODUCT(React!$C$110:$E$110,Curves!$BT$17:$BV$17)</f>
        <v/>
      </c>
      <c r="F111" s="3">
        <f>SUMPRODUCT(React!$C$110:$F$110,Curves!$BS$17:$BV$17)</f>
        <v/>
      </c>
      <c r="G111" s="3">
        <f>SUMPRODUCT(React!$C$110:$G$110,Curves!$BR$17:$BV$17)</f>
        <v/>
      </c>
      <c r="H111" s="3">
        <f>SUMPRODUCT(React!$C$110:$H$110,Curves!$BQ$17:$BV$17)</f>
        <v/>
      </c>
      <c r="I111" s="3">
        <f>SUMPRODUCT(React!$C$110:$I$110,Curves!$BP$17:$BV$17)</f>
        <v/>
      </c>
      <c r="J111" s="3">
        <f>SUMPRODUCT(React!$C$110:$J$110,Curves!$BO$17:$BV$17)</f>
        <v/>
      </c>
      <c r="K111" s="3">
        <f>SUMPRODUCT(React!$C$110:$K$110,Curves!$BN$17:$BV$17)</f>
        <v/>
      </c>
      <c r="L111" s="3">
        <f>SUMPRODUCT(React!$C$110:$L$110,Curves!$BM$17:$BV$17)</f>
        <v/>
      </c>
      <c r="M111" s="3">
        <f>SUMPRODUCT(React!$C$110:$M$110,Curves!$BL$17:$BV$17)</f>
        <v/>
      </c>
      <c r="N111" s="3">
        <f>SUMPRODUCT(React!$C$110:$N$110,Curves!$BK$17:$BV$17)</f>
        <v/>
      </c>
      <c r="O111" s="3">
        <f>SUMPRODUCT(React!$C$110:$O$110,Curves!$BJ$17:$BV$17)</f>
        <v/>
      </c>
      <c r="P111" s="3">
        <f>SUMPRODUCT(React!$C$110:$P$110,Curves!$BI$17:$BV$17)</f>
        <v/>
      </c>
      <c r="Q111" s="3">
        <f>SUMPRODUCT(React!$C$110:$Q$110,Curves!$BH$17:$BV$17)</f>
        <v/>
      </c>
      <c r="R111" s="3">
        <f>SUMPRODUCT(React!$C$110:$R$110,Curves!$BG$17:$BV$17)</f>
        <v/>
      </c>
      <c r="S111" s="3">
        <f>SUMPRODUCT(React!$C$110:$S$110,Curves!$BF$17:$BV$17)</f>
        <v/>
      </c>
      <c r="T111" s="3">
        <f>SUMPRODUCT(React!$C$110:$T$110,Curves!$BE$17:$BV$17)</f>
        <v/>
      </c>
      <c r="U111" s="3">
        <f>SUMPRODUCT(React!$C$110:$U$110,Curves!$BD$17:$BV$17)</f>
        <v/>
      </c>
      <c r="V111" s="3">
        <f>SUMPRODUCT(React!$C$110:$V$110,Curves!$BC$17:$BV$17)</f>
        <v/>
      </c>
      <c r="W111" s="3">
        <f>SUMPRODUCT(React!$C$110:$W$110,Curves!$BB$17:$BV$17)</f>
        <v/>
      </c>
      <c r="X111" s="3">
        <f>SUMPRODUCT(React!$C$110:$X$110,Curves!$BA$17:$BV$17)</f>
        <v/>
      </c>
      <c r="Y111" s="3">
        <f>SUMPRODUCT(React!$C$110:$Y$110,Curves!$AZ$17:$BV$17)</f>
        <v/>
      </c>
      <c r="Z111" s="3">
        <f>SUMPRODUCT(React!$C$110:$Z$110,Curves!$AY$17:$BV$17)</f>
        <v/>
      </c>
      <c r="AA111" s="3">
        <f>SUMPRODUCT(React!$C$110:$AA$110,Curves!$AX$17:$BV$17)</f>
        <v/>
      </c>
      <c r="AB111" s="3">
        <f>SUMPRODUCT(React!$C$110:$AB$110,Curves!$AW$17:$BV$17)</f>
        <v/>
      </c>
      <c r="AC111" s="3">
        <f>SUMPRODUCT(React!$C$110:$AC$110,Curves!$AV$17:$BV$17)</f>
        <v/>
      </c>
      <c r="AD111" s="3">
        <f>SUMPRODUCT(React!$C$110:$AD$110,Curves!$AU$17:$BV$17)</f>
        <v/>
      </c>
      <c r="AE111" s="3">
        <f>SUMPRODUCT(React!$C$110:$AE$110,Curves!$AT$17:$BV$17)</f>
        <v/>
      </c>
      <c r="AF111" s="3">
        <f>SUMPRODUCT(React!$C$110:$AF$110,Curves!$AS$17:$BV$17)</f>
        <v/>
      </c>
      <c r="AG111" s="3">
        <f>SUMPRODUCT(React!$C$110:$AG$110,Curves!$AR$17:$BV$17)</f>
        <v/>
      </c>
      <c r="AH111" s="3">
        <f>SUMPRODUCT(React!$C$110:$AH$110,Curves!$AQ$17:$BV$17)</f>
        <v/>
      </c>
      <c r="AI111" s="3">
        <f>SUMPRODUCT(React!$C$110:$AI$110,Curves!$AP$17:$BV$17)</f>
        <v/>
      </c>
      <c r="AJ111" s="3">
        <f>SUMPRODUCT(React!$C$110:$AJ$110,Curves!$AO$17:$BV$17)</f>
        <v/>
      </c>
      <c r="AK111" s="3">
        <f>SUMPRODUCT(React!$C$110:$AK$110,Curves!$AN$17:$BV$17)</f>
        <v/>
      </c>
      <c r="AL111" s="3">
        <f>SUMPRODUCT(React!$C$110:$AL$110,Curves!$AM$17:$BV$17)</f>
        <v/>
      </c>
      <c r="AM111" s="3">
        <f>SUMPRODUCT(React!$C$110:$AM$110,Curves!$AL$17:$BV$17)</f>
        <v/>
      </c>
      <c r="AN111" s="3">
        <f>SUMPRODUCT(React!$C$110:$AN$110,Curves!$AK$17:$BV$17)</f>
        <v/>
      </c>
      <c r="AO111" s="3">
        <f>SUMPRODUCT(React!$C$110:$AO$110,Curves!$AJ$17:$BV$17)</f>
        <v/>
      </c>
      <c r="AP111" s="3">
        <f>SUMPRODUCT(React!$C$110:$AP$110,Curves!$AI$17:$BV$17)</f>
        <v/>
      </c>
      <c r="AQ111" s="3">
        <f>SUMPRODUCT(React!$C$110:$AQ$110,Curves!$AH$17:$BV$17)</f>
        <v/>
      </c>
      <c r="AR111" s="3">
        <f>SUMPRODUCT(React!$C$110:$AR$110,Curves!$AG$17:$BV$17)</f>
        <v/>
      </c>
      <c r="AS111" s="3">
        <f>SUMPRODUCT(React!$C$110:$AS$110,Curves!$AF$17:$BV$17)</f>
        <v/>
      </c>
      <c r="AT111" s="3">
        <f>SUMPRODUCT(React!$C$110:$AT$110,Curves!$AE$17:$BV$17)</f>
        <v/>
      </c>
      <c r="AU111" s="3">
        <f>SUMPRODUCT(React!$C$110:$AU$110,Curves!$AD$17:$BV$17)</f>
        <v/>
      </c>
      <c r="AV111" s="3">
        <f>SUMPRODUCT(React!$C$110:$AV$110,Curves!$AC$17:$BV$17)</f>
        <v/>
      </c>
      <c r="AW111" s="3">
        <f>SUMPRODUCT(React!$C$110:$AW$110,Curves!$AB$17:$BV$17)</f>
        <v/>
      </c>
      <c r="AX111" s="3">
        <f>SUMPRODUCT(React!$C$110:$AX$110,Curves!$AA$17:$BV$17)</f>
        <v/>
      </c>
      <c r="AY111" s="3">
        <f>SUMPRODUCT(React!$C$110:$AY$110,Curves!$Z$17:$BV$17)</f>
        <v/>
      </c>
      <c r="AZ111" s="3">
        <f>SUMPRODUCT(React!$C$110:$AZ$110,Curves!$Y$17:$BV$17)</f>
        <v/>
      </c>
      <c r="BA111" s="3">
        <f>SUMPRODUCT(React!$C$110:$BA$110,Curves!$X$17:$BV$17)</f>
        <v/>
      </c>
      <c r="BB111" s="3">
        <f>SUMPRODUCT(React!$C$110:$BB$110,Curves!$W$17:$BV$17)</f>
        <v/>
      </c>
      <c r="BC111" s="3">
        <f>SUMPRODUCT(React!$C$110:$BC$110,Curves!$V$17:$BV$17)</f>
        <v/>
      </c>
      <c r="BD111" s="3">
        <f>SUMPRODUCT(React!$C$110:$BD$110,Curves!$U$17:$BV$17)</f>
        <v/>
      </c>
      <c r="BE111" s="3">
        <f>SUMPRODUCT(React!$C$110:$BE$110,Curves!$T$17:$BV$17)</f>
        <v/>
      </c>
      <c r="BF111" s="3">
        <f>SUMPRODUCT(React!$C$110:$BF$110,Curves!$S$17:$BV$17)</f>
        <v/>
      </c>
      <c r="BG111" s="3">
        <f>SUMPRODUCT(React!$C$110:$BG$110,Curves!$R$17:$BV$17)</f>
        <v/>
      </c>
      <c r="BH111" s="3">
        <f>SUMPRODUCT(React!$C$110:$BH$110,Curves!$Q$17:$BV$17)</f>
        <v/>
      </c>
      <c r="BI111" s="3">
        <f>SUMPRODUCT(React!$C$110:$BI$110,Curves!$P$17:$BV$17)</f>
        <v/>
      </c>
      <c r="BJ111" s="3">
        <f>SUMPRODUCT(React!$C$110:$BJ$110,Curves!$O$17:$BV$17)</f>
        <v/>
      </c>
      <c r="BK111" s="3">
        <f>SUMPRODUCT(React!$C$110:$BK$110,Curves!$N$17:$BV$17)</f>
        <v/>
      </c>
      <c r="BL111" s="3">
        <f>SUMPRODUCT(React!$C$110:$BL$110,Curves!$M$17:$BV$17)</f>
        <v/>
      </c>
      <c r="BM111" s="3">
        <f>SUMPRODUCT(React!$C$110:$BM$110,Curves!$L$17:$BV$17)</f>
        <v/>
      </c>
      <c r="BN111" s="3">
        <f>SUMPRODUCT(React!$C$110:$BN$110,Curves!$K$17:$BV$17)</f>
        <v/>
      </c>
      <c r="BO111" s="3">
        <f>SUMPRODUCT(React!$C$110:$BO$110,Curves!$J$17:$BV$17)</f>
        <v/>
      </c>
      <c r="BP111" s="3">
        <f>SUMPRODUCT(React!$C$110:$BP$110,Curves!$I$17:$BV$17)</f>
        <v/>
      </c>
      <c r="BQ111" s="3">
        <f>SUMPRODUCT(React!$C$110:$BQ$110,Curves!$H$17:$BV$17)</f>
        <v/>
      </c>
      <c r="BR111" s="3">
        <f>SUMPRODUCT(React!$C$110:$BR$110,Curves!$G$17:$BV$17)</f>
        <v/>
      </c>
      <c r="BS111" s="3">
        <f>SUMPRODUCT(React!$C$110:$BS$110,Curves!$F$17:$BV$17)</f>
        <v/>
      </c>
      <c r="BT111" s="3">
        <f>SUMPRODUCT(React!$C$110:$BT$110,Curves!$E$17:$BV$17)</f>
        <v/>
      </c>
      <c r="BU111" s="3">
        <f>SUMPRODUCT(React!$C$110:$BU$110,Curves!$D$17:$BV$17)</f>
        <v/>
      </c>
      <c r="BV111" s="3">
        <f>SUMPRODUCT(React!$C$110:$BV$110,Curves!$C$17:$BV$17)</f>
        <v/>
      </c>
    </row>
    <row r="112">
      <c r="A112" t="inlineStr">
        <is>
          <t>active yr 1</t>
        </is>
      </c>
      <c r="B112" t="inlineStr">
        <is>
          <t>APAC|BASIC_A</t>
        </is>
      </c>
      <c r="C112" s="3">
        <f>React!$C$110*Curves!$BV$22</f>
        <v/>
      </c>
      <c r="D112" s="3">
        <f>SUMPRODUCT(React!$C$110:$D$110,Curves!$BU$22:$BV$22)</f>
        <v/>
      </c>
      <c r="E112" s="3">
        <f>SUMPRODUCT(React!$C$110:$E$110,Curves!$BT$22:$BV$22)</f>
        <v/>
      </c>
      <c r="F112" s="3">
        <f>SUMPRODUCT(React!$C$110:$F$110,Curves!$BS$22:$BV$22)</f>
        <v/>
      </c>
      <c r="G112" s="3">
        <f>SUMPRODUCT(React!$C$110:$G$110,Curves!$BR$22:$BV$22)</f>
        <v/>
      </c>
      <c r="H112" s="3">
        <f>SUMPRODUCT(React!$C$110:$H$110,Curves!$BQ$22:$BV$22)</f>
        <v/>
      </c>
      <c r="I112" s="3">
        <f>SUMPRODUCT(React!$C$110:$I$110,Curves!$BP$22:$BV$22)</f>
        <v/>
      </c>
      <c r="J112" s="3">
        <f>SUMPRODUCT(React!$C$110:$J$110,Curves!$BO$22:$BV$22)</f>
        <v/>
      </c>
      <c r="K112" s="3">
        <f>SUMPRODUCT(React!$C$110:$K$110,Curves!$BN$22:$BV$22)</f>
        <v/>
      </c>
      <c r="L112" s="3">
        <f>SUMPRODUCT(React!$C$110:$L$110,Curves!$BM$22:$BV$22)</f>
        <v/>
      </c>
      <c r="M112" s="3">
        <f>SUMPRODUCT(React!$C$110:$M$110,Curves!$BL$22:$BV$22)</f>
        <v/>
      </c>
      <c r="N112" s="3">
        <f>SUMPRODUCT(React!$C$110:$N$110,Curves!$BK$22:$BV$22)</f>
        <v/>
      </c>
      <c r="O112" s="3">
        <f>SUMPRODUCT(React!$C$110:$O$110,Curves!$BJ$22:$BV$22)</f>
        <v/>
      </c>
      <c r="P112" s="3">
        <f>SUMPRODUCT(React!$C$110:$P$110,Curves!$BI$22:$BV$22)</f>
        <v/>
      </c>
      <c r="Q112" s="3">
        <f>SUMPRODUCT(React!$C$110:$Q$110,Curves!$BH$22:$BV$22)</f>
        <v/>
      </c>
      <c r="R112" s="3">
        <f>SUMPRODUCT(React!$C$110:$R$110,Curves!$BG$22:$BV$22)</f>
        <v/>
      </c>
      <c r="S112" s="3">
        <f>SUMPRODUCT(React!$C$110:$S$110,Curves!$BF$22:$BV$22)</f>
        <v/>
      </c>
      <c r="T112" s="3">
        <f>SUMPRODUCT(React!$C$110:$T$110,Curves!$BE$22:$BV$22)</f>
        <v/>
      </c>
      <c r="U112" s="3">
        <f>SUMPRODUCT(React!$C$110:$U$110,Curves!$BD$22:$BV$22)</f>
        <v/>
      </c>
      <c r="V112" s="3">
        <f>SUMPRODUCT(React!$C$110:$V$110,Curves!$BC$22:$BV$22)</f>
        <v/>
      </c>
      <c r="W112" s="3">
        <f>SUMPRODUCT(React!$C$110:$W$110,Curves!$BB$22:$BV$22)</f>
        <v/>
      </c>
      <c r="X112" s="3">
        <f>SUMPRODUCT(React!$C$110:$X$110,Curves!$BA$22:$BV$22)</f>
        <v/>
      </c>
      <c r="Y112" s="3">
        <f>SUMPRODUCT(React!$C$110:$Y$110,Curves!$AZ$22:$BV$22)</f>
        <v/>
      </c>
      <c r="Z112" s="3">
        <f>SUMPRODUCT(React!$C$110:$Z$110,Curves!$AY$22:$BV$22)</f>
        <v/>
      </c>
      <c r="AA112" s="3">
        <f>SUMPRODUCT(React!$C$110:$AA$110,Curves!$AX$22:$BV$22)</f>
        <v/>
      </c>
      <c r="AB112" s="3">
        <f>SUMPRODUCT(React!$C$110:$AB$110,Curves!$AW$22:$BV$22)</f>
        <v/>
      </c>
      <c r="AC112" s="3">
        <f>SUMPRODUCT(React!$C$110:$AC$110,Curves!$AV$22:$BV$22)</f>
        <v/>
      </c>
      <c r="AD112" s="3">
        <f>SUMPRODUCT(React!$C$110:$AD$110,Curves!$AU$22:$BV$22)</f>
        <v/>
      </c>
      <c r="AE112" s="3">
        <f>SUMPRODUCT(React!$C$110:$AE$110,Curves!$AT$22:$BV$22)</f>
        <v/>
      </c>
      <c r="AF112" s="3">
        <f>SUMPRODUCT(React!$C$110:$AF$110,Curves!$AS$22:$BV$22)</f>
        <v/>
      </c>
      <c r="AG112" s="3">
        <f>SUMPRODUCT(React!$C$110:$AG$110,Curves!$AR$22:$BV$22)</f>
        <v/>
      </c>
      <c r="AH112" s="3">
        <f>SUMPRODUCT(React!$C$110:$AH$110,Curves!$AQ$22:$BV$22)</f>
        <v/>
      </c>
      <c r="AI112" s="3">
        <f>SUMPRODUCT(React!$C$110:$AI$110,Curves!$AP$22:$BV$22)</f>
        <v/>
      </c>
      <c r="AJ112" s="3">
        <f>SUMPRODUCT(React!$C$110:$AJ$110,Curves!$AO$22:$BV$22)</f>
        <v/>
      </c>
      <c r="AK112" s="3">
        <f>SUMPRODUCT(React!$C$110:$AK$110,Curves!$AN$22:$BV$22)</f>
        <v/>
      </c>
      <c r="AL112" s="3">
        <f>SUMPRODUCT(React!$C$110:$AL$110,Curves!$AM$22:$BV$22)</f>
        <v/>
      </c>
      <c r="AM112" s="3">
        <f>SUMPRODUCT(React!$C$110:$AM$110,Curves!$AL$22:$BV$22)</f>
        <v/>
      </c>
      <c r="AN112" s="3">
        <f>SUMPRODUCT(React!$C$110:$AN$110,Curves!$AK$22:$BV$22)</f>
        <v/>
      </c>
      <c r="AO112" s="3">
        <f>SUMPRODUCT(React!$C$110:$AO$110,Curves!$AJ$22:$BV$22)</f>
        <v/>
      </c>
      <c r="AP112" s="3">
        <f>SUMPRODUCT(React!$C$110:$AP$110,Curves!$AI$22:$BV$22)</f>
        <v/>
      </c>
      <c r="AQ112" s="3">
        <f>SUMPRODUCT(React!$C$110:$AQ$110,Curves!$AH$22:$BV$22)</f>
        <v/>
      </c>
      <c r="AR112" s="3">
        <f>SUMPRODUCT(React!$C$110:$AR$110,Curves!$AG$22:$BV$22)</f>
        <v/>
      </c>
      <c r="AS112" s="3">
        <f>SUMPRODUCT(React!$C$110:$AS$110,Curves!$AF$22:$BV$22)</f>
        <v/>
      </c>
      <c r="AT112" s="3">
        <f>SUMPRODUCT(React!$C$110:$AT$110,Curves!$AE$22:$BV$22)</f>
        <v/>
      </c>
      <c r="AU112" s="3">
        <f>SUMPRODUCT(React!$C$110:$AU$110,Curves!$AD$22:$BV$22)</f>
        <v/>
      </c>
      <c r="AV112" s="3">
        <f>SUMPRODUCT(React!$C$110:$AV$110,Curves!$AC$22:$BV$22)</f>
        <v/>
      </c>
      <c r="AW112" s="3">
        <f>SUMPRODUCT(React!$C$110:$AW$110,Curves!$AB$22:$BV$22)</f>
        <v/>
      </c>
      <c r="AX112" s="3">
        <f>SUMPRODUCT(React!$C$110:$AX$110,Curves!$AA$22:$BV$22)</f>
        <v/>
      </c>
      <c r="AY112" s="3">
        <f>SUMPRODUCT(React!$C$110:$AY$110,Curves!$Z$22:$BV$22)</f>
        <v/>
      </c>
      <c r="AZ112" s="3">
        <f>SUMPRODUCT(React!$C$110:$AZ$110,Curves!$Y$22:$BV$22)</f>
        <v/>
      </c>
      <c r="BA112" s="3">
        <f>SUMPRODUCT(React!$C$110:$BA$110,Curves!$X$22:$BV$22)</f>
        <v/>
      </c>
      <c r="BB112" s="3">
        <f>SUMPRODUCT(React!$C$110:$BB$110,Curves!$W$22:$BV$22)</f>
        <v/>
      </c>
      <c r="BC112" s="3">
        <f>SUMPRODUCT(React!$C$110:$BC$110,Curves!$V$22:$BV$22)</f>
        <v/>
      </c>
      <c r="BD112" s="3">
        <f>SUMPRODUCT(React!$C$110:$BD$110,Curves!$U$22:$BV$22)</f>
        <v/>
      </c>
      <c r="BE112" s="3">
        <f>SUMPRODUCT(React!$C$110:$BE$110,Curves!$T$22:$BV$22)</f>
        <v/>
      </c>
      <c r="BF112" s="3">
        <f>SUMPRODUCT(React!$C$110:$BF$110,Curves!$S$22:$BV$22)</f>
        <v/>
      </c>
      <c r="BG112" s="3">
        <f>SUMPRODUCT(React!$C$110:$BG$110,Curves!$R$22:$BV$22)</f>
        <v/>
      </c>
      <c r="BH112" s="3">
        <f>SUMPRODUCT(React!$C$110:$BH$110,Curves!$Q$22:$BV$22)</f>
        <v/>
      </c>
      <c r="BI112" s="3">
        <f>SUMPRODUCT(React!$C$110:$BI$110,Curves!$P$22:$BV$22)</f>
        <v/>
      </c>
      <c r="BJ112" s="3">
        <f>SUMPRODUCT(React!$C$110:$BJ$110,Curves!$O$22:$BV$22)</f>
        <v/>
      </c>
      <c r="BK112" s="3">
        <f>SUMPRODUCT(React!$C$110:$BK$110,Curves!$N$22:$BV$22)</f>
        <v/>
      </c>
      <c r="BL112" s="3">
        <f>SUMPRODUCT(React!$C$110:$BL$110,Curves!$M$22:$BV$22)</f>
        <v/>
      </c>
      <c r="BM112" s="3">
        <f>SUMPRODUCT(React!$C$110:$BM$110,Curves!$L$22:$BV$22)</f>
        <v/>
      </c>
      <c r="BN112" s="3">
        <f>SUMPRODUCT(React!$C$110:$BN$110,Curves!$K$22:$BV$22)</f>
        <v/>
      </c>
      <c r="BO112" s="3">
        <f>SUMPRODUCT(React!$C$110:$BO$110,Curves!$J$22:$BV$22)</f>
        <v/>
      </c>
      <c r="BP112" s="3">
        <f>SUMPRODUCT(React!$C$110:$BP$110,Curves!$I$22:$BV$22)</f>
        <v/>
      </c>
      <c r="BQ112" s="3">
        <f>SUMPRODUCT(React!$C$110:$BQ$110,Curves!$H$22:$BV$22)</f>
        <v/>
      </c>
      <c r="BR112" s="3">
        <f>SUMPRODUCT(React!$C$110:$BR$110,Curves!$G$22:$BV$22)</f>
        <v/>
      </c>
      <c r="BS112" s="3">
        <f>SUMPRODUCT(React!$C$110:$BS$110,Curves!$F$22:$BV$22)</f>
        <v/>
      </c>
      <c r="BT112" s="3">
        <f>SUMPRODUCT(React!$C$110:$BT$110,Curves!$E$22:$BV$22)</f>
        <v/>
      </c>
      <c r="BU112" s="3">
        <f>SUMPRODUCT(React!$C$110:$BU$110,Curves!$D$22:$BV$22)</f>
        <v/>
      </c>
      <c r="BV112" s="3">
        <f>SUMPRODUCT(React!$C$110:$BV$110,Curves!$C$22:$BV$22)</f>
        <v/>
      </c>
    </row>
    <row r="113">
      <c r="A113" t="inlineStr">
        <is>
          <t>churned</t>
        </is>
      </c>
      <c r="B113" t="inlineStr">
        <is>
          <t>APAC|BASIC_A</t>
        </is>
      </c>
      <c r="C113" s="3">
        <f>React!$C$110*Curves!$BV$18</f>
        <v/>
      </c>
      <c r="D113" s="3">
        <f>SUMPRODUCT(React!$C$110:$D$110,Curves!$BU$18:$BV$18)</f>
        <v/>
      </c>
      <c r="E113" s="3">
        <f>SUMPRODUCT(React!$C$110:$E$110,Curves!$BT$18:$BV$18)</f>
        <v/>
      </c>
      <c r="F113" s="3">
        <f>SUMPRODUCT(React!$C$110:$F$110,Curves!$BS$18:$BV$18)</f>
        <v/>
      </c>
      <c r="G113" s="3">
        <f>SUMPRODUCT(React!$C$110:$G$110,Curves!$BR$18:$BV$18)</f>
        <v/>
      </c>
      <c r="H113" s="3">
        <f>SUMPRODUCT(React!$C$110:$H$110,Curves!$BQ$18:$BV$18)</f>
        <v/>
      </c>
      <c r="I113" s="3">
        <f>SUMPRODUCT(React!$C$110:$I$110,Curves!$BP$18:$BV$18)</f>
        <v/>
      </c>
      <c r="J113" s="3">
        <f>SUMPRODUCT(React!$C$110:$J$110,Curves!$BO$18:$BV$18)</f>
        <v/>
      </c>
      <c r="K113" s="3">
        <f>SUMPRODUCT(React!$C$110:$K$110,Curves!$BN$18:$BV$18)</f>
        <v/>
      </c>
      <c r="L113" s="3">
        <f>SUMPRODUCT(React!$C$110:$L$110,Curves!$BM$18:$BV$18)</f>
        <v/>
      </c>
      <c r="M113" s="3">
        <f>SUMPRODUCT(React!$C$110:$M$110,Curves!$BL$18:$BV$18)</f>
        <v/>
      </c>
      <c r="N113" s="3">
        <f>SUMPRODUCT(React!$C$110:$N$110,Curves!$BK$18:$BV$18)</f>
        <v/>
      </c>
      <c r="O113" s="3">
        <f>SUMPRODUCT(React!$C$110:$O$110,Curves!$BJ$18:$BV$18)</f>
        <v/>
      </c>
      <c r="P113" s="3">
        <f>SUMPRODUCT(React!$C$110:$P$110,Curves!$BI$18:$BV$18)</f>
        <v/>
      </c>
      <c r="Q113" s="3">
        <f>SUMPRODUCT(React!$C$110:$Q$110,Curves!$BH$18:$BV$18)</f>
        <v/>
      </c>
      <c r="R113" s="3">
        <f>SUMPRODUCT(React!$C$110:$R$110,Curves!$BG$18:$BV$18)</f>
        <v/>
      </c>
      <c r="S113" s="3">
        <f>SUMPRODUCT(React!$C$110:$S$110,Curves!$BF$18:$BV$18)</f>
        <v/>
      </c>
      <c r="T113" s="3">
        <f>SUMPRODUCT(React!$C$110:$T$110,Curves!$BE$18:$BV$18)</f>
        <v/>
      </c>
      <c r="U113" s="3">
        <f>SUMPRODUCT(React!$C$110:$U$110,Curves!$BD$18:$BV$18)</f>
        <v/>
      </c>
      <c r="V113" s="3">
        <f>SUMPRODUCT(React!$C$110:$V$110,Curves!$BC$18:$BV$18)</f>
        <v/>
      </c>
      <c r="W113" s="3">
        <f>SUMPRODUCT(React!$C$110:$W$110,Curves!$BB$18:$BV$18)</f>
        <v/>
      </c>
      <c r="X113" s="3">
        <f>SUMPRODUCT(React!$C$110:$X$110,Curves!$BA$18:$BV$18)</f>
        <v/>
      </c>
      <c r="Y113" s="3">
        <f>SUMPRODUCT(React!$C$110:$Y$110,Curves!$AZ$18:$BV$18)</f>
        <v/>
      </c>
      <c r="Z113" s="3">
        <f>SUMPRODUCT(React!$C$110:$Z$110,Curves!$AY$18:$BV$18)</f>
        <v/>
      </c>
      <c r="AA113" s="3">
        <f>SUMPRODUCT(React!$C$110:$AA$110,Curves!$AX$18:$BV$18)</f>
        <v/>
      </c>
      <c r="AB113" s="3">
        <f>SUMPRODUCT(React!$C$110:$AB$110,Curves!$AW$18:$BV$18)</f>
        <v/>
      </c>
      <c r="AC113" s="3">
        <f>SUMPRODUCT(React!$C$110:$AC$110,Curves!$AV$18:$BV$18)</f>
        <v/>
      </c>
      <c r="AD113" s="3">
        <f>SUMPRODUCT(React!$C$110:$AD$110,Curves!$AU$18:$BV$18)</f>
        <v/>
      </c>
      <c r="AE113" s="3">
        <f>SUMPRODUCT(React!$C$110:$AE$110,Curves!$AT$18:$BV$18)</f>
        <v/>
      </c>
      <c r="AF113" s="3">
        <f>SUMPRODUCT(React!$C$110:$AF$110,Curves!$AS$18:$BV$18)</f>
        <v/>
      </c>
      <c r="AG113" s="3">
        <f>SUMPRODUCT(React!$C$110:$AG$110,Curves!$AR$18:$BV$18)</f>
        <v/>
      </c>
      <c r="AH113" s="3">
        <f>SUMPRODUCT(React!$C$110:$AH$110,Curves!$AQ$18:$BV$18)</f>
        <v/>
      </c>
      <c r="AI113" s="3">
        <f>SUMPRODUCT(React!$C$110:$AI$110,Curves!$AP$18:$BV$18)</f>
        <v/>
      </c>
      <c r="AJ113" s="3">
        <f>SUMPRODUCT(React!$C$110:$AJ$110,Curves!$AO$18:$BV$18)</f>
        <v/>
      </c>
      <c r="AK113" s="3">
        <f>SUMPRODUCT(React!$C$110:$AK$110,Curves!$AN$18:$BV$18)</f>
        <v/>
      </c>
      <c r="AL113" s="3">
        <f>SUMPRODUCT(React!$C$110:$AL$110,Curves!$AM$18:$BV$18)</f>
        <v/>
      </c>
      <c r="AM113" s="3">
        <f>SUMPRODUCT(React!$C$110:$AM$110,Curves!$AL$18:$BV$18)</f>
        <v/>
      </c>
      <c r="AN113" s="3">
        <f>SUMPRODUCT(React!$C$110:$AN$110,Curves!$AK$18:$BV$18)</f>
        <v/>
      </c>
      <c r="AO113" s="3">
        <f>SUMPRODUCT(React!$C$110:$AO$110,Curves!$AJ$18:$BV$18)</f>
        <v/>
      </c>
      <c r="AP113" s="3">
        <f>SUMPRODUCT(React!$C$110:$AP$110,Curves!$AI$18:$BV$18)</f>
        <v/>
      </c>
      <c r="AQ113" s="3">
        <f>SUMPRODUCT(React!$C$110:$AQ$110,Curves!$AH$18:$BV$18)</f>
        <v/>
      </c>
      <c r="AR113" s="3">
        <f>SUMPRODUCT(React!$C$110:$AR$110,Curves!$AG$18:$BV$18)</f>
        <v/>
      </c>
      <c r="AS113" s="3">
        <f>SUMPRODUCT(React!$C$110:$AS$110,Curves!$AF$18:$BV$18)</f>
        <v/>
      </c>
      <c r="AT113" s="3">
        <f>SUMPRODUCT(React!$C$110:$AT$110,Curves!$AE$18:$BV$18)</f>
        <v/>
      </c>
      <c r="AU113" s="3">
        <f>SUMPRODUCT(React!$C$110:$AU$110,Curves!$AD$18:$BV$18)</f>
        <v/>
      </c>
      <c r="AV113" s="3">
        <f>SUMPRODUCT(React!$C$110:$AV$110,Curves!$AC$18:$BV$18)</f>
        <v/>
      </c>
      <c r="AW113" s="3">
        <f>SUMPRODUCT(React!$C$110:$AW$110,Curves!$AB$18:$BV$18)</f>
        <v/>
      </c>
      <c r="AX113" s="3">
        <f>SUMPRODUCT(React!$C$110:$AX$110,Curves!$AA$18:$BV$18)</f>
        <v/>
      </c>
      <c r="AY113" s="3">
        <f>SUMPRODUCT(React!$C$110:$AY$110,Curves!$Z$18:$BV$18)</f>
        <v/>
      </c>
      <c r="AZ113" s="3">
        <f>SUMPRODUCT(React!$C$110:$AZ$110,Curves!$Y$18:$BV$18)</f>
        <v/>
      </c>
      <c r="BA113" s="3">
        <f>SUMPRODUCT(React!$C$110:$BA$110,Curves!$X$18:$BV$18)</f>
        <v/>
      </c>
      <c r="BB113" s="3">
        <f>SUMPRODUCT(React!$C$110:$BB$110,Curves!$W$18:$BV$18)</f>
        <v/>
      </c>
      <c r="BC113" s="3">
        <f>SUMPRODUCT(React!$C$110:$BC$110,Curves!$V$18:$BV$18)</f>
        <v/>
      </c>
      <c r="BD113" s="3">
        <f>SUMPRODUCT(React!$C$110:$BD$110,Curves!$U$18:$BV$18)</f>
        <v/>
      </c>
      <c r="BE113" s="3">
        <f>SUMPRODUCT(React!$C$110:$BE$110,Curves!$T$18:$BV$18)</f>
        <v/>
      </c>
      <c r="BF113" s="3">
        <f>SUMPRODUCT(React!$C$110:$BF$110,Curves!$S$18:$BV$18)</f>
        <v/>
      </c>
      <c r="BG113" s="3">
        <f>SUMPRODUCT(React!$C$110:$BG$110,Curves!$R$18:$BV$18)</f>
        <v/>
      </c>
      <c r="BH113" s="3">
        <f>SUMPRODUCT(React!$C$110:$BH$110,Curves!$Q$18:$BV$18)</f>
        <v/>
      </c>
      <c r="BI113" s="3">
        <f>SUMPRODUCT(React!$C$110:$BI$110,Curves!$P$18:$BV$18)</f>
        <v/>
      </c>
      <c r="BJ113" s="3">
        <f>SUMPRODUCT(React!$C$110:$BJ$110,Curves!$O$18:$BV$18)</f>
        <v/>
      </c>
      <c r="BK113" s="3">
        <f>SUMPRODUCT(React!$C$110:$BK$110,Curves!$N$18:$BV$18)</f>
        <v/>
      </c>
      <c r="BL113" s="3">
        <f>SUMPRODUCT(React!$C$110:$BL$110,Curves!$M$18:$BV$18)</f>
        <v/>
      </c>
      <c r="BM113" s="3">
        <f>SUMPRODUCT(React!$C$110:$BM$110,Curves!$L$18:$BV$18)</f>
        <v/>
      </c>
      <c r="BN113" s="3">
        <f>SUMPRODUCT(React!$C$110:$BN$110,Curves!$K$18:$BV$18)</f>
        <v/>
      </c>
      <c r="BO113" s="3">
        <f>SUMPRODUCT(React!$C$110:$BO$110,Curves!$J$18:$BV$18)</f>
        <v/>
      </c>
      <c r="BP113" s="3">
        <f>SUMPRODUCT(React!$C$110:$BP$110,Curves!$I$18:$BV$18)</f>
        <v/>
      </c>
      <c r="BQ113" s="3">
        <f>SUMPRODUCT(React!$C$110:$BQ$110,Curves!$H$18:$BV$18)</f>
        <v/>
      </c>
      <c r="BR113" s="3">
        <f>SUMPRODUCT(React!$C$110:$BR$110,Curves!$G$18:$BV$18)</f>
        <v/>
      </c>
      <c r="BS113" s="3">
        <f>SUMPRODUCT(React!$C$110:$BS$110,Curves!$F$18:$BV$18)</f>
        <v/>
      </c>
      <c r="BT113" s="3">
        <f>SUMPRODUCT(React!$C$110:$BT$110,Curves!$E$18:$BV$18)</f>
        <v/>
      </c>
      <c r="BU113" s="3">
        <f>SUMPRODUCT(React!$C$110:$BU$110,Curves!$D$18:$BV$18)</f>
        <v/>
      </c>
      <c r="BV113" s="3">
        <f>SUMPRODUCT(React!$C$110:$BV$110,Curves!$C$18:$BV$18)</f>
        <v/>
      </c>
    </row>
    <row r="115">
      <c r="A115" t="inlineStr">
        <is>
          <t>churn pool inflow</t>
        </is>
      </c>
      <c r="B115" t="inlineStr">
        <is>
          <t>ROW|NITRO_M</t>
        </is>
      </c>
      <c r="C115" s="3">
        <f>Paid!C69+Legacy!C71</f>
        <v/>
      </c>
      <c r="D115" s="3">
        <f>Paid!D69+Legacy!D71</f>
        <v/>
      </c>
      <c r="E115" s="3">
        <f>Paid!E69+Legacy!E71</f>
        <v/>
      </c>
      <c r="F115" s="3">
        <f>Paid!F69+Legacy!F71</f>
        <v/>
      </c>
      <c r="G115" s="3">
        <f>Paid!G69+Legacy!G71</f>
        <v/>
      </c>
      <c r="H115" s="3">
        <f>Paid!H69+Legacy!H71</f>
        <v/>
      </c>
      <c r="I115" s="3">
        <f>Paid!I69+Legacy!I71</f>
        <v/>
      </c>
      <c r="J115" s="3">
        <f>Paid!J69+Legacy!J71</f>
        <v/>
      </c>
      <c r="K115" s="3">
        <f>Paid!K69+Legacy!K71</f>
        <v/>
      </c>
      <c r="L115" s="3">
        <f>Paid!L69+Legacy!L71</f>
        <v/>
      </c>
      <c r="M115" s="3">
        <f>Paid!M69+Legacy!M71</f>
        <v/>
      </c>
      <c r="N115" s="3">
        <f>Paid!N69+Legacy!N71</f>
        <v/>
      </c>
      <c r="O115" s="3">
        <f>Paid!O69+Legacy!O71</f>
        <v/>
      </c>
      <c r="P115" s="3">
        <f>Paid!P69+Legacy!P71</f>
        <v/>
      </c>
      <c r="Q115" s="3">
        <f>Paid!Q69+Legacy!Q71</f>
        <v/>
      </c>
      <c r="R115" s="3">
        <f>Paid!R69+Legacy!R71</f>
        <v/>
      </c>
      <c r="S115" s="3">
        <f>Paid!S69+Legacy!S71</f>
        <v/>
      </c>
      <c r="T115" s="3">
        <f>Paid!T69+Legacy!T71</f>
        <v/>
      </c>
      <c r="U115" s="3">
        <f>Paid!U69+Legacy!U71</f>
        <v/>
      </c>
      <c r="V115" s="3">
        <f>Paid!V69+Legacy!V71</f>
        <v/>
      </c>
      <c r="W115" s="3">
        <f>Paid!W69+Legacy!W71</f>
        <v/>
      </c>
      <c r="X115" s="3">
        <f>Paid!X69+Legacy!X71</f>
        <v/>
      </c>
      <c r="Y115" s="3">
        <f>Paid!Y69+Legacy!Y71</f>
        <v/>
      </c>
      <c r="Z115" s="3">
        <f>Paid!Z69+Legacy!Z71</f>
        <v/>
      </c>
      <c r="AA115" s="3">
        <f>Paid!AA69+Legacy!AA71</f>
        <v/>
      </c>
      <c r="AB115" s="3">
        <f>Paid!AB69+Legacy!AB71</f>
        <v/>
      </c>
      <c r="AC115" s="3">
        <f>Paid!AC69+Legacy!AC71</f>
        <v/>
      </c>
      <c r="AD115" s="3">
        <f>Paid!AD69+Legacy!AD71</f>
        <v/>
      </c>
      <c r="AE115" s="3">
        <f>Paid!AE69+Legacy!AE71</f>
        <v/>
      </c>
      <c r="AF115" s="3">
        <f>Paid!AF69+Legacy!AF71</f>
        <v/>
      </c>
      <c r="AG115" s="3">
        <f>Paid!AG69+Legacy!AG71</f>
        <v/>
      </c>
      <c r="AH115" s="3">
        <f>Paid!AH69+Legacy!AH71</f>
        <v/>
      </c>
      <c r="AI115" s="3">
        <f>Paid!AI69+Legacy!AI71</f>
        <v/>
      </c>
      <c r="AJ115" s="3">
        <f>Paid!AJ69+Legacy!AJ71</f>
        <v/>
      </c>
      <c r="AK115" s="3">
        <f>Paid!AK69+Legacy!AK71</f>
        <v/>
      </c>
      <c r="AL115" s="3">
        <f>Paid!AL69+Legacy!AL71</f>
        <v/>
      </c>
      <c r="AM115" s="3">
        <f>Paid!AM69+Legacy!AM71</f>
        <v/>
      </c>
      <c r="AN115" s="3">
        <f>Paid!AN69+Legacy!AN71</f>
        <v/>
      </c>
      <c r="AO115" s="3">
        <f>Paid!AO69+Legacy!AO71</f>
        <v/>
      </c>
      <c r="AP115" s="3">
        <f>Paid!AP69+Legacy!AP71</f>
        <v/>
      </c>
      <c r="AQ115" s="3">
        <f>Paid!AQ69+Legacy!AQ71</f>
        <v/>
      </c>
      <c r="AR115" s="3">
        <f>Paid!AR69+Legacy!AR71</f>
        <v/>
      </c>
      <c r="AS115" s="3">
        <f>Paid!AS69+Legacy!AS71</f>
        <v/>
      </c>
      <c r="AT115" s="3">
        <f>Paid!AT69+Legacy!AT71</f>
        <v/>
      </c>
      <c r="AU115" s="3">
        <f>Paid!AU69+Legacy!AU71</f>
        <v/>
      </c>
      <c r="AV115" s="3">
        <f>Paid!AV69+Legacy!AV71</f>
        <v/>
      </c>
      <c r="AW115" s="3">
        <f>Paid!AW69+Legacy!AW71</f>
        <v/>
      </c>
      <c r="AX115" s="3">
        <f>Paid!AX69+Legacy!AX71</f>
        <v/>
      </c>
      <c r="AY115" s="3">
        <f>Paid!AY69+Legacy!AY71</f>
        <v/>
      </c>
      <c r="AZ115" s="3">
        <f>Paid!AZ69+Legacy!AZ71</f>
        <v/>
      </c>
      <c r="BA115" s="3">
        <f>Paid!BA69+Legacy!BA71</f>
        <v/>
      </c>
      <c r="BB115" s="3">
        <f>Paid!BB69+Legacy!BB71</f>
        <v/>
      </c>
      <c r="BC115" s="3">
        <f>Paid!BC69+Legacy!BC71</f>
        <v/>
      </c>
      <c r="BD115" s="3">
        <f>Paid!BD69+Legacy!BD71</f>
        <v/>
      </c>
      <c r="BE115" s="3">
        <f>Paid!BE69+Legacy!BE71</f>
        <v/>
      </c>
      <c r="BF115" s="3">
        <f>Paid!BF69+Legacy!BF71</f>
        <v/>
      </c>
      <c r="BG115" s="3">
        <f>Paid!BG69+Legacy!BG71</f>
        <v/>
      </c>
      <c r="BH115" s="3">
        <f>Paid!BH69+Legacy!BH71</f>
        <v/>
      </c>
      <c r="BI115" s="3">
        <f>Paid!BI69+Legacy!BI71</f>
        <v/>
      </c>
      <c r="BJ115" s="3">
        <f>Paid!BJ69+Legacy!BJ71</f>
        <v/>
      </c>
      <c r="BK115" s="3">
        <f>Paid!BK69+Legacy!BK71</f>
        <v/>
      </c>
      <c r="BL115" s="3">
        <f>Paid!BL69+Legacy!BL71</f>
        <v/>
      </c>
      <c r="BM115" s="3">
        <f>Paid!BM69+Legacy!BM71</f>
        <v/>
      </c>
      <c r="BN115" s="3">
        <f>Paid!BN69+Legacy!BN71</f>
        <v/>
      </c>
      <c r="BO115" s="3">
        <f>Paid!BO69+Legacy!BO71</f>
        <v/>
      </c>
      <c r="BP115" s="3">
        <f>Paid!BP69+Legacy!BP71</f>
        <v/>
      </c>
      <c r="BQ115" s="3">
        <f>Paid!BQ69+Legacy!BQ71</f>
        <v/>
      </c>
      <c r="BR115" s="3">
        <f>Paid!BR69+Legacy!BR71</f>
        <v/>
      </c>
      <c r="BS115" s="3">
        <f>Paid!BS69+Legacy!BS71</f>
        <v/>
      </c>
      <c r="BT115" s="3">
        <f>Paid!BT69+Legacy!BT71</f>
        <v/>
      </c>
      <c r="BU115" s="3">
        <f>Paid!BU69+Legacy!BU71</f>
        <v/>
      </c>
      <c r="BV115" s="3">
        <f>Paid!BV69+Legacy!BV71</f>
        <v/>
      </c>
    </row>
    <row r="116">
      <c r="A116" t="inlineStr">
        <is>
          <t>reactivations out</t>
        </is>
      </c>
      <c r="B116" t="inlineStr">
        <is>
          <t>ROW|NITRO_M</t>
        </is>
      </c>
      <c r="C116" s="3">
        <f>React!$C$115*Curves!$BV$19</f>
        <v/>
      </c>
      <c r="D116" s="3">
        <f>SUMPRODUCT(React!$C$115:$D$115,Curves!$BU$19:$BV$19)</f>
        <v/>
      </c>
      <c r="E116" s="3">
        <f>SUMPRODUCT(React!$C$115:$E$115,Curves!$BT$19:$BV$19)</f>
        <v/>
      </c>
      <c r="F116" s="3">
        <f>SUMPRODUCT(React!$C$115:$F$115,Curves!$BS$19:$BV$19)</f>
        <v/>
      </c>
      <c r="G116" s="3">
        <f>SUMPRODUCT(React!$C$115:$G$115,Curves!$BR$19:$BV$19)</f>
        <v/>
      </c>
      <c r="H116" s="3">
        <f>SUMPRODUCT(React!$C$115:$H$115,Curves!$BQ$19:$BV$19)</f>
        <v/>
      </c>
      <c r="I116" s="3">
        <f>SUMPRODUCT(React!$C$115:$I$115,Curves!$BP$19:$BV$19)</f>
        <v/>
      </c>
      <c r="J116" s="3">
        <f>SUMPRODUCT(React!$C$115:$J$115,Curves!$BO$19:$BV$19)</f>
        <v/>
      </c>
      <c r="K116" s="3">
        <f>SUMPRODUCT(React!$C$115:$K$115,Curves!$BN$19:$BV$19)</f>
        <v/>
      </c>
      <c r="L116" s="3">
        <f>SUMPRODUCT(React!$C$115:$L$115,Curves!$BM$19:$BV$19)</f>
        <v/>
      </c>
      <c r="M116" s="3">
        <f>SUMPRODUCT(React!$C$115:$M$115,Curves!$BL$19:$BV$19)</f>
        <v/>
      </c>
      <c r="N116" s="3">
        <f>SUMPRODUCT(React!$C$115:$N$115,Curves!$BK$19:$BV$19)</f>
        <v/>
      </c>
      <c r="O116" s="3">
        <f>SUMPRODUCT(React!$C$115:$O$115,Curves!$BJ$19:$BV$19)</f>
        <v/>
      </c>
      <c r="P116" s="3">
        <f>SUMPRODUCT(React!$C$115:$P$115,Curves!$BI$19:$BV$19)</f>
        <v/>
      </c>
      <c r="Q116" s="3">
        <f>SUMPRODUCT(React!$C$115:$Q$115,Curves!$BH$19:$BV$19)</f>
        <v/>
      </c>
      <c r="R116" s="3">
        <f>SUMPRODUCT(React!$C$115:$R$115,Curves!$BG$19:$BV$19)</f>
        <v/>
      </c>
      <c r="S116" s="3">
        <f>SUMPRODUCT(React!$C$115:$S$115,Curves!$BF$19:$BV$19)</f>
        <v/>
      </c>
      <c r="T116" s="3">
        <f>SUMPRODUCT(React!$C$115:$T$115,Curves!$BE$19:$BV$19)</f>
        <v/>
      </c>
      <c r="U116" s="3">
        <f>SUMPRODUCT(React!$C$115:$U$115,Curves!$BD$19:$BV$19)</f>
        <v/>
      </c>
      <c r="V116" s="3">
        <f>SUMPRODUCT(React!$C$115:$V$115,Curves!$BC$19:$BV$19)</f>
        <v/>
      </c>
      <c r="W116" s="3">
        <f>SUMPRODUCT(React!$C$115:$W$115,Curves!$BB$19:$BV$19)</f>
        <v/>
      </c>
      <c r="X116" s="3">
        <f>SUMPRODUCT(React!$C$115:$X$115,Curves!$BA$19:$BV$19)</f>
        <v/>
      </c>
      <c r="Y116" s="3">
        <f>SUMPRODUCT(React!$C$115:$Y$115,Curves!$AZ$19:$BV$19)</f>
        <v/>
      </c>
      <c r="Z116" s="3">
        <f>SUMPRODUCT(React!$C$115:$Z$115,Curves!$AY$19:$BV$19)</f>
        <v/>
      </c>
      <c r="AA116" s="3">
        <f>SUMPRODUCT(React!$C$115:$AA$115,Curves!$AX$19:$BV$19)</f>
        <v/>
      </c>
      <c r="AB116" s="3">
        <f>SUMPRODUCT(React!$C$115:$AB$115,Curves!$AW$19:$BV$19)</f>
        <v/>
      </c>
      <c r="AC116" s="3">
        <f>SUMPRODUCT(React!$C$115:$AC$115,Curves!$AV$19:$BV$19)</f>
        <v/>
      </c>
      <c r="AD116" s="3">
        <f>SUMPRODUCT(React!$C$115:$AD$115,Curves!$AU$19:$BV$19)</f>
        <v/>
      </c>
      <c r="AE116" s="3">
        <f>SUMPRODUCT(React!$C$115:$AE$115,Curves!$AT$19:$BV$19)</f>
        <v/>
      </c>
      <c r="AF116" s="3">
        <f>SUMPRODUCT(React!$C$115:$AF$115,Curves!$AS$19:$BV$19)</f>
        <v/>
      </c>
      <c r="AG116" s="3">
        <f>SUMPRODUCT(React!$C$115:$AG$115,Curves!$AR$19:$BV$19)</f>
        <v/>
      </c>
      <c r="AH116" s="3">
        <f>SUMPRODUCT(React!$C$115:$AH$115,Curves!$AQ$19:$BV$19)</f>
        <v/>
      </c>
      <c r="AI116" s="3">
        <f>SUMPRODUCT(React!$C$115:$AI$115,Curves!$AP$19:$BV$19)</f>
        <v/>
      </c>
      <c r="AJ116" s="3">
        <f>SUMPRODUCT(React!$C$115:$AJ$115,Curves!$AO$19:$BV$19)</f>
        <v/>
      </c>
      <c r="AK116" s="3">
        <f>SUMPRODUCT(React!$C$115:$AK$115,Curves!$AN$19:$BV$19)</f>
        <v/>
      </c>
      <c r="AL116" s="3">
        <f>SUMPRODUCT(React!$C$115:$AL$115,Curves!$AM$19:$BV$19)</f>
        <v/>
      </c>
      <c r="AM116" s="3">
        <f>SUMPRODUCT(React!$C$115:$AM$115,Curves!$AL$19:$BV$19)</f>
        <v/>
      </c>
      <c r="AN116" s="3">
        <f>SUMPRODUCT(React!$C$115:$AN$115,Curves!$AK$19:$BV$19)</f>
        <v/>
      </c>
      <c r="AO116" s="3">
        <f>SUMPRODUCT(React!$C$115:$AO$115,Curves!$AJ$19:$BV$19)</f>
        <v/>
      </c>
      <c r="AP116" s="3">
        <f>SUMPRODUCT(React!$C$115:$AP$115,Curves!$AI$19:$BV$19)</f>
        <v/>
      </c>
      <c r="AQ116" s="3">
        <f>SUMPRODUCT(React!$C$115:$AQ$115,Curves!$AH$19:$BV$19)</f>
        <v/>
      </c>
      <c r="AR116" s="3">
        <f>SUMPRODUCT(React!$C$115:$AR$115,Curves!$AG$19:$BV$19)</f>
        <v/>
      </c>
      <c r="AS116" s="3">
        <f>SUMPRODUCT(React!$C$115:$AS$115,Curves!$AF$19:$BV$19)</f>
        <v/>
      </c>
      <c r="AT116" s="3">
        <f>SUMPRODUCT(React!$C$115:$AT$115,Curves!$AE$19:$BV$19)</f>
        <v/>
      </c>
      <c r="AU116" s="3">
        <f>SUMPRODUCT(React!$C$115:$AU$115,Curves!$AD$19:$BV$19)</f>
        <v/>
      </c>
      <c r="AV116" s="3">
        <f>SUMPRODUCT(React!$C$115:$AV$115,Curves!$AC$19:$BV$19)</f>
        <v/>
      </c>
      <c r="AW116" s="3">
        <f>SUMPRODUCT(React!$C$115:$AW$115,Curves!$AB$19:$BV$19)</f>
        <v/>
      </c>
      <c r="AX116" s="3">
        <f>SUMPRODUCT(React!$C$115:$AX$115,Curves!$AA$19:$BV$19)</f>
        <v/>
      </c>
      <c r="AY116" s="3">
        <f>SUMPRODUCT(React!$C$115:$AY$115,Curves!$Z$19:$BV$19)</f>
        <v/>
      </c>
      <c r="AZ116" s="3">
        <f>SUMPRODUCT(React!$C$115:$AZ$115,Curves!$Y$19:$BV$19)</f>
        <v/>
      </c>
      <c r="BA116" s="3">
        <f>SUMPRODUCT(React!$C$115:$BA$115,Curves!$X$19:$BV$19)</f>
        <v/>
      </c>
      <c r="BB116" s="3">
        <f>SUMPRODUCT(React!$C$115:$BB$115,Curves!$W$19:$BV$19)</f>
        <v/>
      </c>
      <c r="BC116" s="3">
        <f>SUMPRODUCT(React!$C$115:$BC$115,Curves!$V$19:$BV$19)</f>
        <v/>
      </c>
      <c r="BD116" s="3">
        <f>SUMPRODUCT(React!$C$115:$BD$115,Curves!$U$19:$BV$19)</f>
        <v/>
      </c>
      <c r="BE116" s="3">
        <f>SUMPRODUCT(React!$C$115:$BE$115,Curves!$T$19:$BV$19)</f>
        <v/>
      </c>
      <c r="BF116" s="3">
        <f>SUMPRODUCT(React!$C$115:$BF$115,Curves!$S$19:$BV$19)</f>
        <v/>
      </c>
      <c r="BG116" s="3">
        <f>SUMPRODUCT(React!$C$115:$BG$115,Curves!$R$19:$BV$19)</f>
        <v/>
      </c>
      <c r="BH116" s="3">
        <f>SUMPRODUCT(React!$C$115:$BH$115,Curves!$Q$19:$BV$19)</f>
        <v/>
      </c>
      <c r="BI116" s="3">
        <f>SUMPRODUCT(React!$C$115:$BI$115,Curves!$P$19:$BV$19)</f>
        <v/>
      </c>
      <c r="BJ116" s="3">
        <f>SUMPRODUCT(React!$C$115:$BJ$115,Curves!$O$19:$BV$19)</f>
        <v/>
      </c>
      <c r="BK116" s="3">
        <f>SUMPRODUCT(React!$C$115:$BK$115,Curves!$N$19:$BV$19)</f>
        <v/>
      </c>
      <c r="BL116" s="3">
        <f>SUMPRODUCT(React!$C$115:$BL$115,Curves!$M$19:$BV$19)</f>
        <v/>
      </c>
      <c r="BM116" s="3">
        <f>SUMPRODUCT(React!$C$115:$BM$115,Curves!$L$19:$BV$19)</f>
        <v/>
      </c>
      <c r="BN116" s="3">
        <f>SUMPRODUCT(React!$C$115:$BN$115,Curves!$K$19:$BV$19)</f>
        <v/>
      </c>
      <c r="BO116" s="3">
        <f>SUMPRODUCT(React!$C$115:$BO$115,Curves!$J$19:$BV$19)</f>
        <v/>
      </c>
      <c r="BP116" s="3">
        <f>SUMPRODUCT(React!$C$115:$BP$115,Curves!$I$19:$BV$19)</f>
        <v/>
      </c>
      <c r="BQ116" s="3">
        <f>SUMPRODUCT(React!$C$115:$BQ$115,Curves!$H$19:$BV$19)</f>
        <v/>
      </c>
      <c r="BR116" s="3">
        <f>SUMPRODUCT(React!$C$115:$BR$115,Curves!$G$19:$BV$19)</f>
        <v/>
      </c>
      <c r="BS116" s="3">
        <f>SUMPRODUCT(React!$C$115:$BS$115,Curves!$F$19:$BV$19)</f>
        <v/>
      </c>
      <c r="BT116" s="3">
        <f>SUMPRODUCT(React!$C$115:$BT$115,Curves!$E$19:$BV$19)</f>
        <v/>
      </c>
      <c r="BU116" s="3">
        <f>SUMPRODUCT(React!$C$115:$BU$115,Curves!$D$19:$BV$19)</f>
        <v/>
      </c>
      <c r="BV116" s="3">
        <f>SUMPRODUCT(React!$C$115:$BV$115,Curves!$C$19:$BV$19)</f>
        <v/>
      </c>
    </row>
    <row r="117">
      <c r="A117" t="inlineStr">
        <is>
          <t>reactivated in</t>
        </is>
      </c>
      <c r="B117" t="inlineStr">
        <is>
          <t>ROW|NITRO_M</t>
        </is>
      </c>
      <c r="C117" s="3">
        <f>C116+C123</f>
        <v/>
      </c>
      <c r="D117" s="3">
        <f>D116+D123</f>
        <v/>
      </c>
      <c r="E117" s="3">
        <f>E116+E123</f>
        <v/>
      </c>
      <c r="F117" s="3">
        <f>F116+F123</f>
        <v/>
      </c>
      <c r="G117" s="3">
        <f>G116+G123</f>
        <v/>
      </c>
      <c r="H117" s="3">
        <f>H116+H123</f>
        <v/>
      </c>
      <c r="I117" s="3">
        <f>I116+I123</f>
        <v/>
      </c>
      <c r="J117" s="3">
        <f>J116+J123</f>
        <v/>
      </c>
      <c r="K117" s="3">
        <f>K116+K123</f>
        <v/>
      </c>
      <c r="L117" s="3">
        <f>L116+L123</f>
        <v/>
      </c>
      <c r="M117" s="3">
        <f>M116+M123</f>
        <v/>
      </c>
      <c r="N117" s="3">
        <f>N116+N123</f>
        <v/>
      </c>
      <c r="O117" s="3">
        <f>O116+O123</f>
        <v/>
      </c>
      <c r="P117" s="3">
        <f>P116+P123</f>
        <v/>
      </c>
      <c r="Q117" s="3">
        <f>Q116+Q123</f>
        <v/>
      </c>
      <c r="R117" s="3">
        <f>R116+R123</f>
        <v/>
      </c>
      <c r="S117" s="3">
        <f>S116+S123</f>
        <v/>
      </c>
      <c r="T117" s="3">
        <f>T116+T123</f>
        <v/>
      </c>
      <c r="U117" s="3">
        <f>U116+U123</f>
        <v/>
      </c>
      <c r="V117" s="3">
        <f>V116+V123</f>
        <v/>
      </c>
      <c r="W117" s="3">
        <f>W116+W123</f>
        <v/>
      </c>
      <c r="X117" s="3">
        <f>X116+X123</f>
        <v/>
      </c>
      <c r="Y117" s="3">
        <f>Y116+Y123</f>
        <v/>
      </c>
      <c r="Z117" s="3">
        <f>Z116+Z123</f>
        <v/>
      </c>
      <c r="AA117" s="3">
        <f>AA116+AA123</f>
        <v/>
      </c>
      <c r="AB117" s="3">
        <f>AB116+AB123</f>
        <v/>
      </c>
      <c r="AC117" s="3">
        <f>AC116+AC123</f>
        <v/>
      </c>
      <c r="AD117" s="3">
        <f>AD116+AD123</f>
        <v/>
      </c>
      <c r="AE117" s="3">
        <f>AE116+AE123</f>
        <v/>
      </c>
      <c r="AF117" s="3">
        <f>AF116+AF123</f>
        <v/>
      </c>
      <c r="AG117" s="3">
        <f>AG116+AG123</f>
        <v/>
      </c>
      <c r="AH117" s="3">
        <f>AH116+AH123</f>
        <v/>
      </c>
      <c r="AI117" s="3">
        <f>AI116+AI123</f>
        <v/>
      </c>
      <c r="AJ117" s="3">
        <f>AJ116+AJ123</f>
        <v/>
      </c>
      <c r="AK117" s="3">
        <f>AK116+AK123</f>
        <v/>
      </c>
      <c r="AL117" s="3">
        <f>AL116+AL123</f>
        <v/>
      </c>
      <c r="AM117" s="3">
        <f>AM116+AM123</f>
        <v/>
      </c>
      <c r="AN117" s="3">
        <f>AN116+AN123</f>
        <v/>
      </c>
      <c r="AO117" s="3">
        <f>AO116+AO123</f>
        <v/>
      </c>
      <c r="AP117" s="3">
        <f>AP116+AP123</f>
        <v/>
      </c>
      <c r="AQ117" s="3">
        <f>AQ116+AQ123</f>
        <v/>
      </c>
      <c r="AR117" s="3">
        <f>AR116+AR123</f>
        <v/>
      </c>
      <c r="AS117" s="3">
        <f>AS116+AS123</f>
        <v/>
      </c>
      <c r="AT117" s="3">
        <f>AT116+AT123</f>
        <v/>
      </c>
      <c r="AU117" s="3">
        <f>AU116+AU123</f>
        <v/>
      </c>
      <c r="AV117" s="3">
        <f>AV116+AV123</f>
        <v/>
      </c>
      <c r="AW117" s="3">
        <f>AW116+AW123</f>
        <v/>
      </c>
      <c r="AX117" s="3">
        <f>AX116+AX123</f>
        <v/>
      </c>
      <c r="AY117" s="3">
        <f>AY116+AY123</f>
        <v/>
      </c>
      <c r="AZ117" s="3">
        <f>AZ116+AZ123</f>
        <v/>
      </c>
      <c r="BA117" s="3">
        <f>BA116+BA123</f>
        <v/>
      </c>
      <c r="BB117" s="3">
        <f>BB116+BB123</f>
        <v/>
      </c>
      <c r="BC117" s="3">
        <f>BC116+BC123</f>
        <v/>
      </c>
      <c r="BD117" s="3">
        <f>BD116+BD123</f>
        <v/>
      </c>
      <c r="BE117" s="3">
        <f>BE116+BE123</f>
        <v/>
      </c>
      <c r="BF117" s="3">
        <f>BF116+BF123</f>
        <v/>
      </c>
      <c r="BG117" s="3">
        <f>BG116+BG123</f>
        <v/>
      </c>
      <c r="BH117" s="3">
        <f>BH116+BH123</f>
        <v/>
      </c>
      <c r="BI117" s="3">
        <f>BI116+BI123</f>
        <v/>
      </c>
      <c r="BJ117" s="3">
        <f>BJ116+BJ123</f>
        <v/>
      </c>
      <c r="BK117" s="3">
        <f>BK116+BK123</f>
        <v/>
      </c>
      <c r="BL117" s="3">
        <f>BL116+BL123</f>
        <v/>
      </c>
      <c r="BM117" s="3">
        <f>BM116+BM123</f>
        <v/>
      </c>
      <c r="BN117" s="3">
        <f>BN116+BN123</f>
        <v/>
      </c>
      <c r="BO117" s="3">
        <f>BO116+BO123</f>
        <v/>
      </c>
      <c r="BP117" s="3">
        <f>BP116+BP123</f>
        <v/>
      </c>
      <c r="BQ117" s="3">
        <f>BQ116+BQ123</f>
        <v/>
      </c>
      <c r="BR117" s="3">
        <f>BR116+BR123</f>
        <v/>
      </c>
      <c r="BS117" s="3">
        <f>BS116+BS123</f>
        <v/>
      </c>
      <c r="BT117" s="3">
        <f>BT116+BT123</f>
        <v/>
      </c>
      <c r="BU117" s="3">
        <f>BU116+BU123</f>
        <v/>
      </c>
      <c r="BV117" s="3">
        <f>BV116+BV123</f>
        <v/>
      </c>
    </row>
    <row r="118">
      <c r="A118" t="inlineStr">
        <is>
          <t>active</t>
        </is>
      </c>
      <c r="B118" t="inlineStr">
        <is>
          <t>ROW|NITRO_M</t>
        </is>
      </c>
      <c r="C118" s="3">
        <f>React!$C$117*Curves!$BV$17</f>
        <v/>
      </c>
      <c r="D118" s="3">
        <f>SUMPRODUCT(React!$C$117:$D$117,Curves!$BU$17:$BV$17)</f>
        <v/>
      </c>
      <c r="E118" s="3">
        <f>SUMPRODUCT(React!$C$117:$E$117,Curves!$BT$17:$BV$17)</f>
        <v/>
      </c>
      <c r="F118" s="3">
        <f>SUMPRODUCT(React!$C$117:$F$117,Curves!$BS$17:$BV$17)</f>
        <v/>
      </c>
      <c r="G118" s="3">
        <f>SUMPRODUCT(React!$C$117:$G$117,Curves!$BR$17:$BV$17)</f>
        <v/>
      </c>
      <c r="H118" s="3">
        <f>SUMPRODUCT(React!$C$117:$H$117,Curves!$BQ$17:$BV$17)</f>
        <v/>
      </c>
      <c r="I118" s="3">
        <f>SUMPRODUCT(React!$C$117:$I$117,Curves!$BP$17:$BV$17)</f>
        <v/>
      </c>
      <c r="J118" s="3">
        <f>SUMPRODUCT(React!$C$117:$J$117,Curves!$BO$17:$BV$17)</f>
        <v/>
      </c>
      <c r="K118" s="3">
        <f>SUMPRODUCT(React!$C$117:$K$117,Curves!$BN$17:$BV$17)</f>
        <v/>
      </c>
      <c r="L118" s="3">
        <f>SUMPRODUCT(React!$C$117:$L$117,Curves!$BM$17:$BV$17)</f>
        <v/>
      </c>
      <c r="M118" s="3">
        <f>SUMPRODUCT(React!$C$117:$M$117,Curves!$BL$17:$BV$17)</f>
        <v/>
      </c>
      <c r="N118" s="3">
        <f>SUMPRODUCT(React!$C$117:$N$117,Curves!$BK$17:$BV$17)</f>
        <v/>
      </c>
      <c r="O118" s="3">
        <f>SUMPRODUCT(React!$C$117:$O$117,Curves!$BJ$17:$BV$17)</f>
        <v/>
      </c>
      <c r="P118" s="3">
        <f>SUMPRODUCT(React!$C$117:$P$117,Curves!$BI$17:$BV$17)</f>
        <v/>
      </c>
      <c r="Q118" s="3">
        <f>SUMPRODUCT(React!$C$117:$Q$117,Curves!$BH$17:$BV$17)</f>
        <v/>
      </c>
      <c r="R118" s="3">
        <f>SUMPRODUCT(React!$C$117:$R$117,Curves!$BG$17:$BV$17)</f>
        <v/>
      </c>
      <c r="S118" s="3">
        <f>SUMPRODUCT(React!$C$117:$S$117,Curves!$BF$17:$BV$17)</f>
        <v/>
      </c>
      <c r="T118" s="3">
        <f>SUMPRODUCT(React!$C$117:$T$117,Curves!$BE$17:$BV$17)</f>
        <v/>
      </c>
      <c r="U118" s="3">
        <f>SUMPRODUCT(React!$C$117:$U$117,Curves!$BD$17:$BV$17)</f>
        <v/>
      </c>
      <c r="V118" s="3">
        <f>SUMPRODUCT(React!$C$117:$V$117,Curves!$BC$17:$BV$17)</f>
        <v/>
      </c>
      <c r="W118" s="3">
        <f>SUMPRODUCT(React!$C$117:$W$117,Curves!$BB$17:$BV$17)</f>
        <v/>
      </c>
      <c r="X118" s="3">
        <f>SUMPRODUCT(React!$C$117:$X$117,Curves!$BA$17:$BV$17)</f>
        <v/>
      </c>
      <c r="Y118" s="3">
        <f>SUMPRODUCT(React!$C$117:$Y$117,Curves!$AZ$17:$BV$17)</f>
        <v/>
      </c>
      <c r="Z118" s="3">
        <f>SUMPRODUCT(React!$C$117:$Z$117,Curves!$AY$17:$BV$17)</f>
        <v/>
      </c>
      <c r="AA118" s="3">
        <f>SUMPRODUCT(React!$C$117:$AA$117,Curves!$AX$17:$BV$17)</f>
        <v/>
      </c>
      <c r="AB118" s="3">
        <f>SUMPRODUCT(React!$C$117:$AB$117,Curves!$AW$17:$BV$17)</f>
        <v/>
      </c>
      <c r="AC118" s="3">
        <f>SUMPRODUCT(React!$C$117:$AC$117,Curves!$AV$17:$BV$17)</f>
        <v/>
      </c>
      <c r="AD118" s="3">
        <f>SUMPRODUCT(React!$C$117:$AD$117,Curves!$AU$17:$BV$17)</f>
        <v/>
      </c>
      <c r="AE118" s="3">
        <f>SUMPRODUCT(React!$C$117:$AE$117,Curves!$AT$17:$BV$17)</f>
        <v/>
      </c>
      <c r="AF118" s="3">
        <f>SUMPRODUCT(React!$C$117:$AF$117,Curves!$AS$17:$BV$17)</f>
        <v/>
      </c>
      <c r="AG118" s="3">
        <f>SUMPRODUCT(React!$C$117:$AG$117,Curves!$AR$17:$BV$17)</f>
        <v/>
      </c>
      <c r="AH118" s="3">
        <f>SUMPRODUCT(React!$C$117:$AH$117,Curves!$AQ$17:$BV$17)</f>
        <v/>
      </c>
      <c r="AI118" s="3">
        <f>SUMPRODUCT(React!$C$117:$AI$117,Curves!$AP$17:$BV$17)</f>
        <v/>
      </c>
      <c r="AJ118" s="3">
        <f>SUMPRODUCT(React!$C$117:$AJ$117,Curves!$AO$17:$BV$17)</f>
        <v/>
      </c>
      <c r="AK118" s="3">
        <f>SUMPRODUCT(React!$C$117:$AK$117,Curves!$AN$17:$BV$17)</f>
        <v/>
      </c>
      <c r="AL118" s="3">
        <f>SUMPRODUCT(React!$C$117:$AL$117,Curves!$AM$17:$BV$17)</f>
        <v/>
      </c>
      <c r="AM118" s="3">
        <f>SUMPRODUCT(React!$C$117:$AM$117,Curves!$AL$17:$BV$17)</f>
        <v/>
      </c>
      <c r="AN118" s="3">
        <f>SUMPRODUCT(React!$C$117:$AN$117,Curves!$AK$17:$BV$17)</f>
        <v/>
      </c>
      <c r="AO118" s="3">
        <f>SUMPRODUCT(React!$C$117:$AO$117,Curves!$AJ$17:$BV$17)</f>
        <v/>
      </c>
      <c r="AP118" s="3">
        <f>SUMPRODUCT(React!$C$117:$AP$117,Curves!$AI$17:$BV$17)</f>
        <v/>
      </c>
      <c r="AQ118" s="3">
        <f>SUMPRODUCT(React!$C$117:$AQ$117,Curves!$AH$17:$BV$17)</f>
        <v/>
      </c>
      <c r="AR118" s="3">
        <f>SUMPRODUCT(React!$C$117:$AR$117,Curves!$AG$17:$BV$17)</f>
        <v/>
      </c>
      <c r="AS118" s="3">
        <f>SUMPRODUCT(React!$C$117:$AS$117,Curves!$AF$17:$BV$17)</f>
        <v/>
      </c>
      <c r="AT118" s="3">
        <f>SUMPRODUCT(React!$C$117:$AT$117,Curves!$AE$17:$BV$17)</f>
        <v/>
      </c>
      <c r="AU118" s="3">
        <f>SUMPRODUCT(React!$C$117:$AU$117,Curves!$AD$17:$BV$17)</f>
        <v/>
      </c>
      <c r="AV118" s="3">
        <f>SUMPRODUCT(React!$C$117:$AV$117,Curves!$AC$17:$BV$17)</f>
        <v/>
      </c>
      <c r="AW118" s="3">
        <f>SUMPRODUCT(React!$C$117:$AW$117,Curves!$AB$17:$BV$17)</f>
        <v/>
      </c>
      <c r="AX118" s="3">
        <f>SUMPRODUCT(React!$C$117:$AX$117,Curves!$AA$17:$BV$17)</f>
        <v/>
      </c>
      <c r="AY118" s="3">
        <f>SUMPRODUCT(React!$C$117:$AY$117,Curves!$Z$17:$BV$17)</f>
        <v/>
      </c>
      <c r="AZ118" s="3">
        <f>SUMPRODUCT(React!$C$117:$AZ$117,Curves!$Y$17:$BV$17)</f>
        <v/>
      </c>
      <c r="BA118" s="3">
        <f>SUMPRODUCT(React!$C$117:$BA$117,Curves!$X$17:$BV$17)</f>
        <v/>
      </c>
      <c r="BB118" s="3">
        <f>SUMPRODUCT(React!$C$117:$BB$117,Curves!$W$17:$BV$17)</f>
        <v/>
      </c>
      <c r="BC118" s="3">
        <f>SUMPRODUCT(React!$C$117:$BC$117,Curves!$V$17:$BV$17)</f>
        <v/>
      </c>
      <c r="BD118" s="3">
        <f>SUMPRODUCT(React!$C$117:$BD$117,Curves!$U$17:$BV$17)</f>
        <v/>
      </c>
      <c r="BE118" s="3">
        <f>SUMPRODUCT(React!$C$117:$BE$117,Curves!$T$17:$BV$17)</f>
        <v/>
      </c>
      <c r="BF118" s="3">
        <f>SUMPRODUCT(React!$C$117:$BF$117,Curves!$S$17:$BV$17)</f>
        <v/>
      </c>
      <c r="BG118" s="3">
        <f>SUMPRODUCT(React!$C$117:$BG$117,Curves!$R$17:$BV$17)</f>
        <v/>
      </c>
      <c r="BH118" s="3">
        <f>SUMPRODUCT(React!$C$117:$BH$117,Curves!$Q$17:$BV$17)</f>
        <v/>
      </c>
      <c r="BI118" s="3">
        <f>SUMPRODUCT(React!$C$117:$BI$117,Curves!$P$17:$BV$17)</f>
        <v/>
      </c>
      <c r="BJ118" s="3">
        <f>SUMPRODUCT(React!$C$117:$BJ$117,Curves!$O$17:$BV$17)</f>
        <v/>
      </c>
      <c r="BK118" s="3">
        <f>SUMPRODUCT(React!$C$117:$BK$117,Curves!$N$17:$BV$17)</f>
        <v/>
      </c>
      <c r="BL118" s="3">
        <f>SUMPRODUCT(React!$C$117:$BL$117,Curves!$M$17:$BV$17)</f>
        <v/>
      </c>
      <c r="BM118" s="3">
        <f>SUMPRODUCT(React!$C$117:$BM$117,Curves!$L$17:$BV$17)</f>
        <v/>
      </c>
      <c r="BN118" s="3">
        <f>SUMPRODUCT(React!$C$117:$BN$117,Curves!$K$17:$BV$17)</f>
        <v/>
      </c>
      <c r="BO118" s="3">
        <f>SUMPRODUCT(React!$C$117:$BO$117,Curves!$J$17:$BV$17)</f>
        <v/>
      </c>
      <c r="BP118" s="3">
        <f>SUMPRODUCT(React!$C$117:$BP$117,Curves!$I$17:$BV$17)</f>
        <v/>
      </c>
      <c r="BQ118" s="3">
        <f>SUMPRODUCT(React!$C$117:$BQ$117,Curves!$H$17:$BV$17)</f>
        <v/>
      </c>
      <c r="BR118" s="3">
        <f>SUMPRODUCT(React!$C$117:$BR$117,Curves!$G$17:$BV$17)</f>
        <v/>
      </c>
      <c r="BS118" s="3">
        <f>SUMPRODUCT(React!$C$117:$BS$117,Curves!$F$17:$BV$17)</f>
        <v/>
      </c>
      <c r="BT118" s="3">
        <f>SUMPRODUCT(React!$C$117:$BT$117,Curves!$E$17:$BV$17)</f>
        <v/>
      </c>
      <c r="BU118" s="3">
        <f>SUMPRODUCT(React!$C$117:$BU$117,Curves!$D$17:$BV$17)</f>
        <v/>
      </c>
      <c r="BV118" s="3">
        <f>SUMPRODUCT(React!$C$117:$BV$117,Curves!$C$17:$BV$17)</f>
        <v/>
      </c>
    </row>
    <row r="119">
      <c r="A119" t="inlineStr">
        <is>
          <t>active yr 1</t>
        </is>
      </c>
      <c r="B119" t="inlineStr">
        <is>
          <t>ROW|NITRO_M</t>
        </is>
      </c>
      <c r="C119" s="3">
        <f>React!$C$117*Curves!$BV$22</f>
        <v/>
      </c>
      <c r="D119" s="3">
        <f>SUMPRODUCT(React!$C$117:$D$117,Curves!$BU$22:$BV$22)</f>
        <v/>
      </c>
      <c r="E119" s="3">
        <f>SUMPRODUCT(React!$C$117:$E$117,Curves!$BT$22:$BV$22)</f>
        <v/>
      </c>
      <c r="F119" s="3">
        <f>SUMPRODUCT(React!$C$117:$F$117,Curves!$BS$22:$BV$22)</f>
        <v/>
      </c>
      <c r="G119" s="3">
        <f>SUMPRODUCT(React!$C$117:$G$117,Curves!$BR$22:$BV$22)</f>
        <v/>
      </c>
      <c r="H119" s="3">
        <f>SUMPRODUCT(React!$C$117:$H$117,Curves!$BQ$22:$BV$22)</f>
        <v/>
      </c>
      <c r="I119" s="3">
        <f>SUMPRODUCT(React!$C$117:$I$117,Curves!$BP$22:$BV$22)</f>
        <v/>
      </c>
      <c r="J119" s="3">
        <f>SUMPRODUCT(React!$C$117:$J$117,Curves!$BO$22:$BV$22)</f>
        <v/>
      </c>
      <c r="K119" s="3">
        <f>SUMPRODUCT(React!$C$117:$K$117,Curves!$BN$22:$BV$22)</f>
        <v/>
      </c>
      <c r="L119" s="3">
        <f>SUMPRODUCT(React!$C$117:$L$117,Curves!$BM$22:$BV$22)</f>
        <v/>
      </c>
      <c r="M119" s="3">
        <f>SUMPRODUCT(React!$C$117:$M$117,Curves!$BL$22:$BV$22)</f>
        <v/>
      </c>
      <c r="N119" s="3">
        <f>SUMPRODUCT(React!$C$117:$N$117,Curves!$BK$22:$BV$22)</f>
        <v/>
      </c>
      <c r="O119" s="3">
        <f>SUMPRODUCT(React!$C$117:$O$117,Curves!$BJ$22:$BV$22)</f>
        <v/>
      </c>
      <c r="P119" s="3">
        <f>SUMPRODUCT(React!$C$117:$P$117,Curves!$BI$22:$BV$22)</f>
        <v/>
      </c>
      <c r="Q119" s="3">
        <f>SUMPRODUCT(React!$C$117:$Q$117,Curves!$BH$22:$BV$22)</f>
        <v/>
      </c>
      <c r="R119" s="3">
        <f>SUMPRODUCT(React!$C$117:$R$117,Curves!$BG$22:$BV$22)</f>
        <v/>
      </c>
      <c r="S119" s="3">
        <f>SUMPRODUCT(React!$C$117:$S$117,Curves!$BF$22:$BV$22)</f>
        <v/>
      </c>
      <c r="T119" s="3">
        <f>SUMPRODUCT(React!$C$117:$T$117,Curves!$BE$22:$BV$22)</f>
        <v/>
      </c>
      <c r="U119" s="3">
        <f>SUMPRODUCT(React!$C$117:$U$117,Curves!$BD$22:$BV$22)</f>
        <v/>
      </c>
      <c r="V119" s="3">
        <f>SUMPRODUCT(React!$C$117:$V$117,Curves!$BC$22:$BV$22)</f>
        <v/>
      </c>
      <c r="W119" s="3">
        <f>SUMPRODUCT(React!$C$117:$W$117,Curves!$BB$22:$BV$22)</f>
        <v/>
      </c>
      <c r="X119" s="3">
        <f>SUMPRODUCT(React!$C$117:$X$117,Curves!$BA$22:$BV$22)</f>
        <v/>
      </c>
      <c r="Y119" s="3">
        <f>SUMPRODUCT(React!$C$117:$Y$117,Curves!$AZ$22:$BV$22)</f>
        <v/>
      </c>
      <c r="Z119" s="3">
        <f>SUMPRODUCT(React!$C$117:$Z$117,Curves!$AY$22:$BV$22)</f>
        <v/>
      </c>
      <c r="AA119" s="3">
        <f>SUMPRODUCT(React!$C$117:$AA$117,Curves!$AX$22:$BV$22)</f>
        <v/>
      </c>
      <c r="AB119" s="3">
        <f>SUMPRODUCT(React!$C$117:$AB$117,Curves!$AW$22:$BV$22)</f>
        <v/>
      </c>
      <c r="AC119" s="3">
        <f>SUMPRODUCT(React!$C$117:$AC$117,Curves!$AV$22:$BV$22)</f>
        <v/>
      </c>
      <c r="AD119" s="3">
        <f>SUMPRODUCT(React!$C$117:$AD$117,Curves!$AU$22:$BV$22)</f>
        <v/>
      </c>
      <c r="AE119" s="3">
        <f>SUMPRODUCT(React!$C$117:$AE$117,Curves!$AT$22:$BV$22)</f>
        <v/>
      </c>
      <c r="AF119" s="3">
        <f>SUMPRODUCT(React!$C$117:$AF$117,Curves!$AS$22:$BV$22)</f>
        <v/>
      </c>
      <c r="AG119" s="3">
        <f>SUMPRODUCT(React!$C$117:$AG$117,Curves!$AR$22:$BV$22)</f>
        <v/>
      </c>
      <c r="AH119" s="3">
        <f>SUMPRODUCT(React!$C$117:$AH$117,Curves!$AQ$22:$BV$22)</f>
        <v/>
      </c>
      <c r="AI119" s="3">
        <f>SUMPRODUCT(React!$C$117:$AI$117,Curves!$AP$22:$BV$22)</f>
        <v/>
      </c>
      <c r="AJ119" s="3">
        <f>SUMPRODUCT(React!$C$117:$AJ$117,Curves!$AO$22:$BV$22)</f>
        <v/>
      </c>
      <c r="AK119" s="3">
        <f>SUMPRODUCT(React!$C$117:$AK$117,Curves!$AN$22:$BV$22)</f>
        <v/>
      </c>
      <c r="AL119" s="3">
        <f>SUMPRODUCT(React!$C$117:$AL$117,Curves!$AM$22:$BV$22)</f>
        <v/>
      </c>
      <c r="AM119" s="3">
        <f>SUMPRODUCT(React!$C$117:$AM$117,Curves!$AL$22:$BV$22)</f>
        <v/>
      </c>
      <c r="AN119" s="3">
        <f>SUMPRODUCT(React!$C$117:$AN$117,Curves!$AK$22:$BV$22)</f>
        <v/>
      </c>
      <c r="AO119" s="3">
        <f>SUMPRODUCT(React!$C$117:$AO$117,Curves!$AJ$22:$BV$22)</f>
        <v/>
      </c>
      <c r="AP119" s="3">
        <f>SUMPRODUCT(React!$C$117:$AP$117,Curves!$AI$22:$BV$22)</f>
        <v/>
      </c>
      <c r="AQ119" s="3">
        <f>SUMPRODUCT(React!$C$117:$AQ$117,Curves!$AH$22:$BV$22)</f>
        <v/>
      </c>
      <c r="AR119" s="3">
        <f>SUMPRODUCT(React!$C$117:$AR$117,Curves!$AG$22:$BV$22)</f>
        <v/>
      </c>
      <c r="AS119" s="3">
        <f>SUMPRODUCT(React!$C$117:$AS$117,Curves!$AF$22:$BV$22)</f>
        <v/>
      </c>
      <c r="AT119" s="3">
        <f>SUMPRODUCT(React!$C$117:$AT$117,Curves!$AE$22:$BV$22)</f>
        <v/>
      </c>
      <c r="AU119" s="3">
        <f>SUMPRODUCT(React!$C$117:$AU$117,Curves!$AD$22:$BV$22)</f>
        <v/>
      </c>
      <c r="AV119" s="3">
        <f>SUMPRODUCT(React!$C$117:$AV$117,Curves!$AC$22:$BV$22)</f>
        <v/>
      </c>
      <c r="AW119" s="3">
        <f>SUMPRODUCT(React!$C$117:$AW$117,Curves!$AB$22:$BV$22)</f>
        <v/>
      </c>
      <c r="AX119" s="3">
        <f>SUMPRODUCT(React!$C$117:$AX$117,Curves!$AA$22:$BV$22)</f>
        <v/>
      </c>
      <c r="AY119" s="3">
        <f>SUMPRODUCT(React!$C$117:$AY$117,Curves!$Z$22:$BV$22)</f>
        <v/>
      </c>
      <c r="AZ119" s="3">
        <f>SUMPRODUCT(React!$C$117:$AZ$117,Curves!$Y$22:$BV$22)</f>
        <v/>
      </c>
      <c r="BA119" s="3">
        <f>SUMPRODUCT(React!$C$117:$BA$117,Curves!$X$22:$BV$22)</f>
        <v/>
      </c>
      <c r="BB119" s="3">
        <f>SUMPRODUCT(React!$C$117:$BB$117,Curves!$W$22:$BV$22)</f>
        <v/>
      </c>
      <c r="BC119" s="3">
        <f>SUMPRODUCT(React!$C$117:$BC$117,Curves!$V$22:$BV$22)</f>
        <v/>
      </c>
      <c r="BD119" s="3">
        <f>SUMPRODUCT(React!$C$117:$BD$117,Curves!$U$22:$BV$22)</f>
        <v/>
      </c>
      <c r="BE119" s="3">
        <f>SUMPRODUCT(React!$C$117:$BE$117,Curves!$T$22:$BV$22)</f>
        <v/>
      </c>
      <c r="BF119" s="3">
        <f>SUMPRODUCT(React!$C$117:$BF$117,Curves!$S$22:$BV$22)</f>
        <v/>
      </c>
      <c r="BG119" s="3">
        <f>SUMPRODUCT(React!$C$117:$BG$117,Curves!$R$22:$BV$22)</f>
        <v/>
      </c>
      <c r="BH119" s="3">
        <f>SUMPRODUCT(React!$C$117:$BH$117,Curves!$Q$22:$BV$22)</f>
        <v/>
      </c>
      <c r="BI119" s="3">
        <f>SUMPRODUCT(React!$C$117:$BI$117,Curves!$P$22:$BV$22)</f>
        <v/>
      </c>
      <c r="BJ119" s="3">
        <f>SUMPRODUCT(React!$C$117:$BJ$117,Curves!$O$22:$BV$22)</f>
        <v/>
      </c>
      <c r="BK119" s="3">
        <f>SUMPRODUCT(React!$C$117:$BK$117,Curves!$N$22:$BV$22)</f>
        <v/>
      </c>
      <c r="BL119" s="3">
        <f>SUMPRODUCT(React!$C$117:$BL$117,Curves!$M$22:$BV$22)</f>
        <v/>
      </c>
      <c r="BM119" s="3">
        <f>SUMPRODUCT(React!$C$117:$BM$117,Curves!$L$22:$BV$22)</f>
        <v/>
      </c>
      <c r="BN119" s="3">
        <f>SUMPRODUCT(React!$C$117:$BN$117,Curves!$K$22:$BV$22)</f>
        <v/>
      </c>
      <c r="BO119" s="3">
        <f>SUMPRODUCT(React!$C$117:$BO$117,Curves!$J$22:$BV$22)</f>
        <v/>
      </c>
      <c r="BP119" s="3">
        <f>SUMPRODUCT(React!$C$117:$BP$117,Curves!$I$22:$BV$22)</f>
        <v/>
      </c>
      <c r="BQ119" s="3">
        <f>SUMPRODUCT(React!$C$117:$BQ$117,Curves!$H$22:$BV$22)</f>
        <v/>
      </c>
      <c r="BR119" s="3">
        <f>SUMPRODUCT(React!$C$117:$BR$117,Curves!$G$22:$BV$22)</f>
        <v/>
      </c>
      <c r="BS119" s="3">
        <f>SUMPRODUCT(React!$C$117:$BS$117,Curves!$F$22:$BV$22)</f>
        <v/>
      </c>
      <c r="BT119" s="3">
        <f>SUMPRODUCT(React!$C$117:$BT$117,Curves!$E$22:$BV$22)</f>
        <v/>
      </c>
      <c r="BU119" s="3">
        <f>SUMPRODUCT(React!$C$117:$BU$117,Curves!$D$22:$BV$22)</f>
        <v/>
      </c>
      <c r="BV119" s="3">
        <f>SUMPRODUCT(React!$C$117:$BV$117,Curves!$C$22:$BV$22)</f>
        <v/>
      </c>
    </row>
    <row r="120">
      <c r="A120" t="inlineStr">
        <is>
          <t>churned</t>
        </is>
      </c>
      <c r="B120" t="inlineStr">
        <is>
          <t>ROW|NITRO_M</t>
        </is>
      </c>
      <c r="C120" s="3">
        <f>React!$C$117*Curves!$BV$18</f>
        <v/>
      </c>
      <c r="D120" s="3">
        <f>SUMPRODUCT(React!$C$117:$D$117,Curves!$BU$18:$BV$18)</f>
        <v/>
      </c>
      <c r="E120" s="3">
        <f>SUMPRODUCT(React!$C$117:$E$117,Curves!$BT$18:$BV$18)</f>
        <v/>
      </c>
      <c r="F120" s="3">
        <f>SUMPRODUCT(React!$C$117:$F$117,Curves!$BS$18:$BV$18)</f>
        <v/>
      </c>
      <c r="G120" s="3">
        <f>SUMPRODUCT(React!$C$117:$G$117,Curves!$BR$18:$BV$18)</f>
        <v/>
      </c>
      <c r="H120" s="3">
        <f>SUMPRODUCT(React!$C$117:$H$117,Curves!$BQ$18:$BV$18)</f>
        <v/>
      </c>
      <c r="I120" s="3">
        <f>SUMPRODUCT(React!$C$117:$I$117,Curves!$BP$18:$BV$18)</f>
        <v/>
      </c>
      <c r="J120" s="3">
        <f>SUMPRODUCT(React!$C$117:$J$117,Curves!$BO$18:$BV$18)</f>
        <v/>
      </c>
      <c r="K120" s="3">
        <f>SUMPRODUCT(React!$C$117:$K$117,Curves!$BN$18:$BV$18)</f>
        <v/>
      </c>
      <c r="L120" s="3">
        <f>SUMPRODUCT(React!$C$117:$L$117,Curves!$BM$18:$BV$18)</f>
        <v/>
      </c>
      <c r="M120" s="3">
        <f>SUMPRODUCT(React!$C$117:$M$117,Curves!$BL$18:$BV$18)</f>
        <v/>
      </c>
      <c r="N120" s="3">
        <f>SUMPRODUCT(React!$C$117:$N$117,Curves!$BK$18:$BV$18)</f>
        <v/>
      </c>
      <c r="O120" s="3">
        <f>SUMPRODUCT(React!$C$117:$O$117,Curves!$BJ$18:$BV$18)</f>
        <v/>
      </c>
      <c r="P120" s="3">
        <f>SUMPRODUCT(React!$C$117:$P$117,Curves!$BI$18:$BV$18)</f>
        <v/>
      </c>
      <c r="Q120" s="3">
        <f>SUMPRODUCT(React!$C$117:$Q$117,Curves!$BH$18:$BV$18)</f>
        <v/>
      </c>
      <c r="R120" s="3">
        <f>SUMPRODUCT(React!$C$117:$R$117,Curves!$BG$18:$BV$18)</f>
        <v/>
      </c>
      <c r="S120" s="3">
        <f>SUMPRODUCT(React!$C$117:$S$117,Curves!$BF$18:$BV$18)</f>
        <v/>
      </c>
      <c r="T120" s="3">
        <f>SUMPRODUCT(React!$C$117:$T$117,Curves!$BE$18:$BV$18)</f>
        <v/>
      </c>
      <c r="U120" s="3">
        <f>SUMPRODUCT(React!$C$117:$U$117,Curves!$BD$18:$BV$18)</f>
        <v/>
      </c>
      <c r="V120" s="3">
        <f>SUMPRODUCT(React!$C$117:$V$117,Curves!$BC$18:$BV$18)</f>
        <v/>
      </c>
      <c r="W120" s="3">
        <f>SUMPRODUCT(React!$C$117:$W$117,Curves!$BB$18:$BV$18)</f>
        <v/>
      </c>
      <c r="X120" s="3">
        <f>SUMPRODUCT(React!$C$117:$X$117,Curves!$BA$18:$BV$18)</f>
        <v/>
      </c>
      <c r="Y120" s="3">
        <f>SUMPRODUCT(React!$C$117:$Y$117,Curves!$AZ$18:$BV$18)</f>
        <v/>
      </c>
      <c r="Z120" s="3">
        <f>SUMPRODUCT(React!$C$117:$Z$117,Curves!$AY$18:$BV$18)</f>
        <v/>
      </c>
      <c r="AA120" s="3">
        <f>SUMPRODUCT(React!$C$117:$AA$117,Curves!$AX$18:$BV$18)</f>
        <v/>
      </c>
      <c r="AB120" s="3">
        <f>SUMPRODUCT(React!$C$117:$AB$117,Curves!$AW$18:$BV$18)</f>
        <v/>
      </c>
      <c r="AC120" s="3">
        <f>SUMPRODUCT(React!$C$117:$AC$117,Curves!$AV$18:$BV$18)</f>
        <v/>
      </c>
      <c r="AD120" s="3">
        <f>SUMPRODUCT(React!$C$117:$AD$117,Curves!$AU$18:$BV$18)</f>
        <v/>
      </c>
      <c r="AE120" s="3">
        <f>SUMPRODUCT(React!$C$117:$AE$117,Curves!$AT$18:$BV$18)</f>
        <v/>
      </c>
      <c r="AF120" s="3">
        <f>SUMPRODUCT(React!$C$117:$AF$117,Curves!$AS$18:$BV$18)</f>
        <v/>
      </c>
      <c r="AG120" s="3">
        <f>SUMPRODUCT(React!$C$117:$AG$117,Curves!$AR$18:$BV$18)</f>
        <v/>
      </c>
      <c r="AH120" s="3">
        <f>SUMPRODUCT(React!$C$117:$AH$117,Curves!$AQ$18:$BV$18)</f>
        <v/>
      </c>
      <c r="AI120" s="3">
        <f>SUMPRODUCT(React!$C$117:$AI$117,Curves!$AP$18:$BV$18)</f>
        <v/>
      </c>
      <c r="AJ120" s="3">
        <f>SUMPRODUCT(React!$C$117:$AJ$117,Curves!$AO$18:$BV$18)</f>
        <v/>
      </c>
      <c r="AK120" s="3">
        <f>SUMPRODUCT(React!$C$117:$AK$117,Curves!$AN$18:$BV$18)</f>
        <v/>
      </c>
      <c r="AL120" s="3">
        <f>SUMPRODUCT(React!$C$117:$AL$117,Curves!$AM$18:$BV$18)</f>
        <v/>
      </c>
      <c r="AM120" s="3">
        <f>SUMPRODUCT(React!$C$117:$AM$117,Curves!$AL$18:$BV$18)</f>
        <v/>
      </c>
      <c r="AN120" s="3">
        <f>SUMPRODUCT(React!$C$117:$AN$117,Curves!$AK$18:$BV$18)</f>
        <v/>
      </c>
      <c r="AO120" s="3">
        <f>SUMPRODUCT(React!$C$117:$AO$117,Curves!$AJ$18:$BV$18)</f>
        <v/>
      </c>
      <c r="AP120" s="3">
        <f>SUMPRODUCT(React!$C$117:$AP$117,Curves!$AI$18:$BV$18)</f>
        <v/>
      </c>
      <c r="AQ120" s="3">
        <f>SUMPRODUCT(React!$C$117:$AQ$117,Curves!$AH$18:$BV$18)</f>
        <v/>
      </c>
      <c r="AR120" s="3">
        <f>SUMPRODUCT(React!$C$117:$AR$117,Curves!$AG$18:$BV$18)</f>
        <v/>
      </c>
      <c r="AS120" s="3">
        <f>SUMPRODUCT(React!$C$117:$AS$117,Curves!$AF$18:$BV$18)</f>
        <v/>
      </c>
      <c r="AT120" s="3">
        <f>SUMPRODUCT(React!$C$117:$AT$117,Curves!$AE$18:$BV$18)</f>
        <v/>
      </c>
      <c r="AU120" s="3">
        <f>SUMPRODUCT(React!$C$117:$AU$117,Curves!$AD$18:$BV$18)</f>
        <v/>
      </c>
      <c r="AV120" s="3">
        <f>SUMPRODUCT(React!$C$117:$AV$117,Curves!$AC$18:$BV$18)</f>
        <v/>
      </c>
      <c r="AW120" s="3">
        <f>SUMPRODUCT(React!$C$117:$AW$117,Curves!$AB$18:$BV$18)</f>
        <v/>
      </c>
      <c r="AX120" s="3">
        <f>SUMPRODUCT(React!$C$117:$AX$117,Curves!$AA$18:$BV$18)</f>
        <v/>
      </c>
      <c r="AY120" s="3">
        <f>SUMPRODUCT(React!$C$117:$AY$117,Curves!$Z$18:$BV$18)</f>
        <v/>
      </c>
      <c r="AZ120" s="3">
        <f>SUMPRODUCT(React!$C$117:$AZ$117,Curves!$Y$18:$BV$18)</f>
        <v/>
      </c>
      <c r="BA120" s="3">
        <f>SUMPRODUCT(React!$C$117:$BA$117,Curves!$X$18:$BV$18)</f>
        <v/>
      </c>
      <c r="BB120" s="3">
        <f>SUMPRODUCT(React!$C$117:$BB$117,Curves!$W$18:$BV$18)</f>
        <v/>
      </c>
      <c r="BC120" s="3">
        <f>SUMPRODUCT(React!$C$117:$BC$117,Curves!$V$18:$BV$18)</f>
        <v/>
      </c>
      <c r="BD120" s="3">
        <f>SUMPRODUCT(React!$C$117:$BD$117,Curves!$U$18:$BV$18)</f>
        <v/>
      </c>
      <c r="BE120" s="3">
        <f>SUMPRODUCT(React!$C$117:$BE$117,Curves!$T$18:$BV$18)</f>
        <v/>
      </c>
      <c r="BF120" s="3">
        <f>SUMPRODUCT(React!$C$117:$BF$117,Curves!$S$18:$BV$18)</f>
        <v/>
      </c>
      <c r="BG120" s="3">
        <f>SUMPRODUCT(React!$C$117:$BG$117,Curves!$R$18:$BV$18)</f>
        <v/>
      </c>
      <c r="BH120" s="3">
        <f>SUMPRODUCT(React!$C$117:$BH$117,Curves!$Q$18:$BV$18)</f>
        <v/>
      </c>
      <c r="BI120" s="3">
        <f>SUMPRODUCT(React!$C$117:$BI$117,Curves!$P$18:$BV$18)</f>
        <v/>
      </c>
      <c r="BJ120" s="3">
        <f>SUMPRODUCT(React!$C$117:$BJ$117,Curves!$O$18:$BV$18)</f>
        <v/>
      </c>
      <c r="BK120" s="3">
        <f>SUMPRODUCT(React!$C$117:$BK$117,Curves!$N$18:$BV$18)</f>
        <v/>
      </c>
      <c r="BL120" s="3">
        <f>SUMPRODUCT(React!$C$117:$BL$117,Curves!$M$18:$BV$18)</f>
        <v/>
      </c>
      <c r="BM120" s="3">
        <f>SUMPRODUCT(React!$C$117:$BM$117,Curves!$L$18:$BV$18)</f>
        <v/>
      </c>
      <c r="BN120" s="3">
        <f>SUMPRODUCT(React!$C$117:$BN$117,Curves!$K$18:$BV$18)</f>
        <v/>
      </c>
      <c r="BO120" s="3">
        <f>SUMPRODUCT(React!$C$117:$BO$117,Curves!$J$18:$BV$18)</f>
        <v/>
      </c>
      <c r="BP120" s="3">
        <f>SUMPRODUCT(React!$C$117:$BP$117,Curves!$I$18:$BV$18)</f>
        <v/>
      </c>
      <c r="BQ120" s="3">
        <f>SUMPRODUCT(React!$C$117:$BQ$117,Curves!$H$18:$BV$18)</f>
        <v/>
      </c>
      <c r="BR120" s="3">
        <f>SUMPRODUCT(React!$C$117:$BR$117,Curves!$G$18:$BV$18)</f>
        <v/>
      </c>
      <c r="BS120" s="3">
        <f>SUMPRODUCT(React!$C$117:$BS$117,Curves!$F$18:$BV$18)</f>
        <v/>
      </c>
      <c r="BT120" s="3">
        <f>SUMPRODUCT(React!$C$117:$BT$117,Curves!$E$18:$BV$18)</f>
        <v/>
      </c>
      <c r="BU120" s="3">
        <f>SUMPRODUCT(React!$C$117:$BU$117,Curves!$D$18:$BV$18)</f>
        <v/>
      </c>
      <c r="BV120" s="3">
        <f>SUMPRODUCT(React!$C$117:$BV$117,Curves!$C$18:$BV$18)</f>
        <v/>
      </c>
    </row>
    <row r="122">
      <c r="A122" t="inlineStr">
        <is>
          <t>churn pool inflow</t>
        </is>
      </c>
      <c r="B122" t="inlineStr">
        <is>
          <t>ROW|NITRO_A</t>
        </is>
      </c>
      <c r="C122" s="3">
        <f>Paid!C73+Legacy!C75</f>
        <v/>
      </c>
      <c r="D122" s="3">
        <f>Paid!D73+Legacy!D75</f>
        <v/>
      </c>
      <c r="E122" s="3">
        <f>Paid!E73+Legacy!E75</f>
        <v/>
      </c>
      <c r="F122" s="3">
        <f>Paid!F73+Legacy!F75</f>
        <v/>
      </c>
      <c r="G122" s="3">
        <f>Paid!G73+Legacy!G75</f>
        <v/>
      </c>
      <c r="H122" s="3">
        <f>Paid!H73+Legacy!H75</f>
        <v/>
      </c>
      <c r="I122" s="3">
        <f>Paid!I73+Legacy!I75</f>
        <v/>
      </c>
      <c r="J122" s="3">
        <f>Paid!J73+Legacy!J75</f>
        <v/>
      </c>
      <c r="K122" s="3">
        <f>Paid!K73+Legacy!K75</f>
        <v/>
      </c>
      <c r="L122" s="3">
        <f>Paid!L73+Legacy!L75</f>
        <v/>
      </c>
      <c r="M122" s="3">
        <f>Paid!M73+Legacy!M75</f>
        <v/>
      </c>
      <c r="N122" s="3">
        <f>Paid!N73+Legacy!N75</f>
        <v/>
      </c>
      <c r="O122" s="3">
        <f>Paid!O73+Legacy!O75</f>
        <v/>
      </c>
      <c r="P122" s="3">
        <f>Paid!P73+Legacy!P75</f>
        <v/>
      </c>
      <c r="Q122" s="3">
        <f>Paid!Q73+Legacy!Q75</f>
        <v/>
      </c>
      <c r="R122" s="3">
        <f>Paid!R73+Legacy!R75</f>
        <v/>
      </c>
      <c r="S122" s="3">
        <f>Paid!S73+Legacy!S75</f>
        <v/>
      </c>
      <c r="T122" s="3">
        <f>Paid!T73+Legacy!T75</f>
        <v/>
      </c>
      <c r="U122" s="3">
        <f>Paid!U73+Legacy!U75</f>
        <v/>
      </c>
      <c r="V122" s="3">
        <f>Paid!V73+Legacy!V75</f>
        <v/>
      </c>
      <c r="W122" s="3">
        <f>Paid!W73+Legacy!W75</f>
        <v/>
      </c>
      <c r="X122" s="3">
        <f>Paid!X73+Legacy!X75</f>
        <v/>
      </c>
      <c r="Y122" s="3">
        <f>Paid!Y73+Legacy!Y75</f>
        <v/>
      </c>
      <c r="Z122" s="3">
        <f>Paid!Z73+Legacy!Z75</f>
        <v/>
      </c>
      <c r="AA122" s="3">
        <f>Paid!AA73+Legacy!AA75</f>
        <v/>
      </c>
      <c r="AB122" s="3">
        <f>Paid!AB73+Legacy!AB75</f>
        <v/>
      </c>
      <c r="AC122" s="3">
        <f>Paid!AC73+Legacy!AC75</f>
        <v/>
      </c>
      <c r="AD122" s="3">
        <f>Paid!AD73+Legacy!AD75</f>
        <v/>
      </c>
      <c r="AE122" s="3">
        <f>Paid!AE73+Legacy!AE75</f>
        <v/>
      </c>
      <c r="AF122" s="3">
        <f>Paid!AF73+Legacy!AF75</f>
        <v/>
      </c>
      <c r="AG122" s="3">
        <f>Paid!AG73+Legacy!AG75</f>
        <v/>
      </c>
      <c r="AH122" s="3">
        <f>Paid!AH73+Legacy!AH75</f>
        <v/>
      </c>
      <c r="AI122" s="3">
        <f>Paid!AI73+Legacy!AI75</f>
        <v/>
      </c>
      <c r="AJ122" s="3">
        <f>Paid!AJ73+Legacy!AJ75</f>
        <v/>
      </c>
      <c r="AK122" s="3">
        <f>Paid!AK73+Legacy!AK75</f>
        <v/>
      </c>
      <c r="AL122" s="3">
        <f>Paid!AL73+Legacy!AL75</f>
        <v/>
      </c>
      <c r="AM122" s="3">
        <f>Paid!AM73+Legacy!AM75</f>
        <v/>
      </c>
      <c r="AN122" s="3">
        <f>Paid!AN73+Legacy!AN75</f>
        <v/>
      </c>
      <c r="AO122" s="3">
        <f>Paid!AO73+Legacy!AO75</f>
        <v/>
      </c>
      <c r="AP122" s="3">
        <f>Paid!AP73+Legacy!AP75</f>
        <v/>
      </c>
      <c r="AQ122" s="3">
        <f>Paid!AQ73+Legacy!AQ75</f>
        <v/>
      </c>
      <c r="AR122" s="3">
        <f>Paid!AR73+Legacy!AR75</f>
        <v/>
      </c>
      <c r="AS122" s="3">
        <f>Paid!AS73+Legacy!AS75</f>
        <v/>
      </c>
      <c r="AT122" s="3">
        <f>Paid!AT73+Legacy!AT75</f>
        <v/>
      </c>
      <c r="AU122" s="3">
        <f>Paid!AU73+Legacy!AU75</f>
        <v/>
      </c>
      <c r="AV122" s="3">
        <f>Paid!AV73+Legacy!AV75</f>
        <v/>
      </c>
      <c r="AW122" s="3">
        <f>Paid!AW73+Legacy!AW75</f>
        <v/>
      </c>
      <c r="AX122" s="3">
        <f>Paid!AX73+Legacy!AX75</f>
        <v/>
      </c>
      <c r="AY122" s="3">
        <f>Paid!AY73+Legacy!AY75</f>
        <v/>
      </c>
      <c r="AZ122" s="3">
        <f>Paid!AZ73+Legacy!AZ75</f>
        <v/>
      </c>
      <c r="BA122" s="3">
        <f>Paid!BA73+Legacy!BA75</f>
        <v/>
      </c>
      <c r="BB122" s="3">
        <f>Paid!BB73+Legacy!BB75</f>
        <v/>
      </c>
      <c r="BC122" s="3">
        <f>Paid!BC73+Legacy!BC75</f>
        <v/>
      </c>
      <c r="BD122" s="3">
        <f>Paid!BD73+Legacy!BD75</f>
        <v/>
      </c>
      <c r="BE122" s="3">
        <f>Paid!BE73+Legacy!BE75</f>
        <v/>
      </c>
      <c r="BF122" s="3">
        <f>Paid!BF73+Legacy!BF75</f>
        <v/>
      </c>
      <c r="BG122" s="3">
        <f>Paid!BG73+Legacy!BG75</f>
        <v/>
      </c>
      <c r="BH122" s="3">
        <f>Paid!BH73+Legacy!BH75</f>
        <v/>
      </c>
      <c r="BI122" s="3">
        <f>Paid!BI73+Legacy!BI75</f>
        <v/>
      </c>
      <c r="BJ122" s="3">
        <f>Paid!BJ73+Legacy!BJ75</f>
        <v/>
      </c>
      <c r="BK122" s="3">
        <f>Paid!BK73+Legacy!BK75</f>
        <v/>
      </c>
      <c r="BL122" s="3">
        <f>Paid!BL73+Legacy!BL75</f>
        <v/>
      </c>
      <c r="BM122" s="3">
        <f>Paid!BM73+Legacy!BM75</f>
        <v/>
      </c>
      <c r="BN122" s="3">
        <f>Paid!BN73+Legacy!BN75</f>
        <v/>
      </c>
      <c r="BO122" s="3">
        <f>Paid!BO73+Legacy!BO75</f>
        <v/>
      </c>
      <c r="BP122" s="3">
        <f>Paid!BP73+Legacy!BP75</f>
        <v/>
      </c>
      <c r="BQ122" s="3">
        <f>Paid!BQ73+Legacy!BQ75</f>
        <v/>
      </c>
      <c r="BR122" s="3">
        <f>Paid!BR73+Legacy!BR75</f>
        <v/>
      </c>
      <c r="BS122" s="3">
        <f>Paid!BS73+Legacy!BS75</f>
        <v/>
      </c>
      <c r="BT122" s="3">
        <f>Paid!BT73+Legacy!BT75</f>
        <v/>
      </c>
      <c r="BU122" s="3">
        <f>Paid!BU73+Legacy!BU75</f>
        <v/>
      </c>
      <c r="BV122" s="3">
        <f>Paid!BV73+Legacy!BV75</f>
        <v/>
      </c>
    </row>
    <row r="123">
      <c r="A123" t="inlineStr">
        <is>
          <t>reactivations out</t>
        </is>
      </c>
      <c r="B123" t="inlineStr">
        <is>
          <t>ROW|NITRO_A</t>
        </is>
      </c>
      <c r="C123" s="3">
        <f>React!$C$122*Curves!$BV$19</f>
        <v/>
      </c>
      <c r="D123" s="3">
        <f>SUMPRODUCT(React!$C$122:$D$122,Curves!$BU$19:$BV$19)</f>
        <v/>
      </c>
      <c r="E123" s="3">
        <f>SUMPRODUCT(React!$C$122:$E$122,Curves!$BT$19:$BV$19)</f>
        <v/>
      </c>
      <c r="F123" s="3">
        <f>SUMPRODUCT(React!$C$122:$F$122,Curves!$BS$19:$BV$19)</f>
        <v/>
      </c>
      <c r="G123" s="3">
        <f>SUMPRODUCT(React!$C$122:$G$122,Curves!$BR$19:$BV$19)</f>
        <v/>
      </c>
      <c r="H123" s="3">
        <f>SUMPRODUCT(React!$C$122:$H$122,Curves!$BQ$19:$BV$19)</f>
        <v/>
      </c>
      <c r="I123" s="3">
        <f>SUMPRODUCT(React!$C$122:$I$122,Curves!$BP$19:$BV$19)</f>
        <v/>
      </c>
      <c r="J123" s="3">
        <f>SUMPRODUCT(React!$C$122:$J$122,Curves!$BO$19:$BV$19)</f>
        <v/>
      </c>
      <c r="K123" s="3">
        <f>SUMPRODUCT(React!$C$122:$K$122,Curves!$BN$19:$BV$19)</f>
        <v/>
      </c>
      <c r="L123" s="3">
        <f>SUMPRODUCT(React!$C$122:$L$122,Curves!$BM$19:$BV$19)</f>
        <v/>
      </c>
      <c r="M123" s="3">
        <f>SUMPRODUCT(React!$C$122:$M$122,Curves!$BL$19:$BV$19)</f>
        <v/>
      </c>
      <c r="N123" s="3">
        <f>SUMPRODUCT(React!$C$122:$N$122,Curves!$BK$19:$BV$19)</f>
        <v/>
      </c>
      <c r="O123" s="3">
        <f>SUMPRODUCT(React!$C$122:$O$122,Curves!$BJ$19:$BV$19)</f>
        <v/>
      </c>
      <c r="P123" s="3">
        <f>SUMPRODUCT(React!$C$122:$P$122,Curves!$BI$19:$BV$19)</f>
        <v/>
      </c>
      <c r="Q123" s="3">
        <f>SUMPRODUCT(React!$C$122:$Q$122,Curves!$BH$19:$BV$19)</f>
        <v/>
      </c>
      <c r="R123" s="3">
        <f>SUMPRODUCT(React!$C$122:$R$122,Curves!$BG$19:$BV$19)</f>
        <v/>
      </c>
      <c r="S123" s="3">
        <f>SUMPRODUCT(React!$C$122:$S$122,Curves!$BF$19:$BV$19)</f>
        <v/>
      </c>
      <c r="T123" s="3">
        <f>SUMPRODUCT(React!$C$122:$T$122,Curves!$BE$19:$BV$19)</f>
        <v/>
      </c>
      <c r="U123" s="3">
        <f>SUMPRODUCT(React!$C$122:$U$122,Curves!$BD$19:$BV$19)</f>
        <v/>
      </c>
      <c r="V123" s="3">
        <f>SUMPRODUCT(React!$C$122:$V$122,Curves!$BC$19:$BV$19)</f>
        <v/>
      </c>
      <c r="W123" s="3">
        <f>SUMPRODUCT(React!$C$122:$W$122,Curves!$BB$19:$BV$19)</f>
        <v/>
      </c>
      <c r="X123" s="3">
        <f>SUMPRODUCT(React!$C$122:$X$122,Curves!$BA$19:$BV$19)</f>
        <v/>
      </c>
      <c r="Y123" s="3">
        <f>SUMPRODUCT(React!$C$122:$Y$122,Curves!$AZ$19:$BV$19)</f>
        <v/>
      </c>
      <c r="Z123" s="3">
        <f>SUMPRODUCT(React!$C$122:$Z$122,Curves!$AY$19:$BV$19)</f>
        <v/>
      </c>
      <c r="AA123" s="3">
        <f>SUMPRODUCT(React!$C$122:$AA$122,Curves!$AX$19:$BV$19)</f>
        <v/>
      </c>
      <c r="AB123" s="3">
        <f>SUMPRODUCT(React!$C$122:$AB$122,Curves!$AW$19:$BV$19)</f>
        <v/>
      </c>
      <c r="AC123" s="3">
        <f>SUMPRODUCT(React!$C$122:$AC$122,Curves!$AV$19:$BV$19)</f>
        <v/>
      </c>
      <c r="AD123" s="3">
        <f>SUMPRODUCT(React!$C$122:$AD$122,Curves!$AU$19:$BV$19)</f>
        <v/>
      </c>
      <c r="AE123" s="3">
        <f>SUMPRODUCT(React!$C$122:$AE$122,Curves!$AT$19:$BV$19)</f>
        <v/>
      </c>
      <c r="AF123" s="3">
        <f>SUMPRODUCT(React!$C$122:$AF$122,Curves!$AS$19:$BV$19)</f>
        <v/>
      </c>
      <c r="AG123" s="3">
        <f>SUMPRODUCT(React!$C$122:$AG$122,Curves!$AR$19:$BV$19)</f>
        <v/>
      </c>
      <c r="AH123" s="3">
        <f>SUMPRODUCT(React!$C$122:$AH$122,Curves!$AQ$19:$BV$19)</f>
        <v/>
      </c>
      <c r="AI123" s="3">
        <f>SUMPRODUCT(React!$C$122:$AI$122,Curves!$AP$19:$BV$19)</f>
        <v/>
      </c>
      <c r="AJ123" s="3">
        <f>SUMPRODUCT(React!$C$122:$AJ$122,Curves!$AO$19:$BV$19)</f>
        <v/>
      </c>
      <c r="AK123" s="3">
        <f>SUMPRODUCT(React!$C$122:$AK$122,Curves!$AN$19:$BV$19)</f>
        <v/>
      </c>
      <c r="AL123" s="3">
        <f>SUMPRODUCT(React!$C$122:$AL$122,Curves!$AM$19:$BV$19)</f>
        <v/>
      </c>
      <c r="AM123" s="3">
        <f>SUMPRODUCT(React!$C$122:$AM$122,Curves!$AL$19:$BV$19)</f>
        <v/>
      </c>
      <c r="AN123" s="3">
        <f>SUMPRODUCT(React!$C$122:$AN$122,Curves!$AK$19:$BV$19)</f>
        <v/>
      </c>
      <c r="AO123" s="3">
        <f>SUMPRODUCT(React!$C$122:$AO$122,Curves!$AJ$19:$BV$19)</f>
        <v/>
      </c>
      <c r="AP123" s="3">
        <f>SUMPRODUCT(React!$C$122:$AP$122,Curves!$AI$19:$BV$19)</f>
        <v/>
      </c>
      <c r="AQ123" s="3">
        <f>SUMPRODUCT(React!$C$122:$AQ$122,Curves!$AH$19:$BV$19)</f>
        <v/>
      </c>
      <c r="AR123" s="3">
        <f>SUMPRODUCT(React!$C$122:$AR$122,Curves!$AG$19:$BV$19)</f>
        <v/>
      </c>
      <c r="AS123" s="3">
        <f>SUMPRODUCT(React!$C$122:$AS$122,Curves!$AF$19:$BV$19)</f>
        <v/>
      </c>
      <c r="AT123" s="3">
        <f>SUMPRODUCT(React!$C$122:$AT$122,Curves!$AE$19:$BV$19)</f>
        <v/>
      </c>
      <c r="AU123" s="3">
        <f>SUMPRODUCT(React!$C$122:$AU$122,Curves!$AD$19:$BV$19)</f>
        <v/>
      </c>
      <c r="AV123" s="3">
        <f>SUMPRODUCT(React!$C$122:$AV$122,Curves!$AC$19:$BV$19)</f>
        <v/>
      </c>
      <c r="AW123" s="3">
        <f>SUMPRODUCT(React!$C$122:$AW$122,Curves!$AB$19:$BV$19)</f>
        <v/>
      </c>
      <c r="AX123" s="3">
        <f>SUMPRODUCT(React!$C$122:$AX$122,Curves!$AA$19:$BV$19)</f>
        <v/>
      </c>
      <c r="AY123" s="3">
        <f>SUMPRODUCT(React!$C$122:$AY$122,Curves!$Z$19:$BV$19)</f>
        <v/>
      </c>
      <c r="AZ123" s="3">
        <f>SUMPRODUCT(React!$C$122:$AZ$122,Curves!$Y$19:$BV$19)</f>
        <v/>
      </c>
      <c r="BA123" s="3">
        <f>SUMPRODUCT(React!$C$122:$BA$122,Curves!$X$19:$BV$19)</f>
        <v/>
      </c>
      <c r="BB123" s="3">
        <f>SUMPRODUCT(React!$C$122:$BB$122,Curves!$W$19:$BV$19)</f>
        <v/>
      </c>
      <c r="BC123" s="3">
        <f>SUMPRODUCT(React!$C$122:$BC$122,Curves!$V$19:$BV$19)</f>
        <v/>
      </c>
      <c r="BD123" s="3">
        <f>SUMPRODUCT(React!$C$122:$BD$122,Curves!$U$19:$BV$19)</f>
        <v/>
      </c>
      <c r="BE123" s="3">
        <f>SUMPRODUCT(React!$C$122:$BE$122,Curves!$T$19:$BV$19)</f>
        <v/>
      </c>
      <c r="BF123" s="3">
        <f>SUMPRODUCT(React!$C$122:$BF$122,Curves!$S$19:$BV$19)</f>
        <v/>
      </c>
      <c r="BG123" s="3">
        <f>SUMPRODUCT(React!$C$122:$BG$122,Curves!$R$19:$BV$19)</f>
        <v/>
      </c>
      <c r="BH123" s="3">
        <f>SUMPRODUCT(React!$C$122:$BH$122,Curves!$Q$19:$BV$19)</f>
        <v/>
      </c>
      <c r="BI123" s="3">
        <f>SUMPRODUCT(React!$C$122:$BI$122,Curves!$P$19:$BV$19)</f>
        <v/>
      </c>
      <c r="BJ123" s="3">
        <f>SUMPRODUCT(React!$C$122:$BJ$122,Curves!$O$19:$BV$19)</f>
        <v/>
      </c>
      <c r="BK123" s="3">
        <f>SUMPRODUCT(React!$C$122:$BK$122,Curves!$N$19:$BV$19)</f>
        <v/>
      </c>
      <c r="BL123" s="3">
        <f>SUMPRODUCT(React!$C$122:$BL$122,Curves!$M$19:$BV$19)</f>
        <v/>
      </c>
      <c r="BM123" s="3">
        <f>SUMPRODUCT(React!$C$122:$BM$122,Curves!$L$19:$BV$19)</f>
        <v/>
      </c>
      <c r="BN123" s="3">
        <f>SUMPRODUCT(React!$C$122:$BN$122,Curves!$K$19:$BV$19)</f>
        <v/>
      </c>
      <c r="BO123" s="3">
        <f>SUMPRODUCT(React!$C$122:$BO$122,Curves!$J$19:$BV$19)</f>
        <v/>
      </c>
      <c r="BP123" s="3">
        <f>SUMPRODUCT(React!$C$122:$BP$122,Curves!$I$19:$BV$19)</f>
        <v/>
      </c>
      <c r="BQ123" s="3">
        <f>SUMPRODUCT(React!$C$122:$BQ$122,Curves!$H$19:$BV$19)</f>
        <v/>
      </c>
      <c r="BR123" s="3">
        <f>SUMPRODUCT(React!$C$122:$BR$122,Curves!$G$19:$BV$19)</f>
        <v/>
      </c>
      <c r="BS123" s="3">
        <f>SUMPRODUCT(React!$C$122:$BS$122,Curves!$F$19:$BV$19)</f>
        <v/>
      </c>
      <c r="BT123" s="3">
        <f>SUMPRODUCT(React!$C$122:$BT$122,Curves!$E$19:$BV$19)</f>
        <v/>
      </c>
      <c r="BU123" s="3">
        <f>SUMPRODUCT(React!$C$122:$BU$122,Curves!$D$19:$BV$19)</f>
        <v/>
      </c>
      <c r="BV123" s="3">
        <f>SUMPRODUCT(React!$C$122:$BV$122,Curves!$C$19:$BV$19)</f>
        <v/>
      </c>
    </row>
    <row r="124">
      <c r="A124" t="inlineStr">
        <is>
          <t>reactivated in</t>
        </is>
      </c>
      <c r="B124" t="inlineStr">
        <is>
          <t>ROW|NITRO_A</t>
        </is>
      </c>
      <c r="C124" s="3">
        <f>0</f>
        <v/>
      </c>
      <c r="D124" s="3">
        <f>0</f>
        <v/>
      </c>
      <c r="E124" s="3">
        <f>0</f>
        <v/>
      </c>
      <c r="F124" s="3">
        <f>0</f>
        <v/>
      </c>
      <c r="G124" s="3">
        <f>0</f>
        <v/>
      </c>
      <c r="H124" s="3">
        <f>0</f>
        <v/>
      </c>
      <c r="I124" s="3">
        <f>0</f>
        <v/>
      </c>
      <c r="J124" s="3">
        <f>0</f>
        <v/>
      </c>
      <c r="K124" s="3">
        <f>0</f>
        <v/>
      </c>
      <c r="L124" s="3">
        <f>0</f>
        <v/>
      </c>
      <c r="M124" s="3">
        <f>0</f>
        <v/>
      </c>
      <c r="N124" s="3">
        <f>0</f>
        <v/>
      </c>
      <c r="O124" s="3">
        <f>0</f>
        <v/>
      </c>
      <c r="P124" s="3">
        <f>0</f>
        <v/>
      </c>
      <c r="Q124" s="3">
        <f>0</f>
        <v/>
      </c>
      <c r="R124" s="3">
        <f>0</f>
        <v/>
      </c>
      <c r="S124" s="3">
        <f>0</f>
        <v/>
      </c>
      <c r="T124" s="3">
        <f>0</f>
        <v/>
      </c>
      <c r="U124" s="3">
        <f>0</f>
        <v/>
      </c>
      <c r="V124" s="3">
        <f>0</f>
        <v/>
      </c>
      <c r="W124" s="3">
        <f>0</f>
        <v/>
      </c>
      <c r="X124" s="3">
        <f>0</f>
        <v/>
      </c>
      <c r="Y124" s="3">
        <f>0</f>
        <v/>
      </c>
      <c r="Z124" s="3">
        <f>0</f>
        <v/>
      </c>
      <c r="AA124" s="3">
        <f>0</f>
        <v/>
      </c>
      <c r="AB124" s="3">
        <f>0</f>
        <v/>
      </c>
      <c r="AC124" s="3">
        <f>0</f>
        <v/>
      </c>
      <c r="AD124" s="3">
        <f>0</f>
        <v/>
      </c>
      <c r="AE124" s="3">
        <f>0</f>
        <v/>
      </c>
      <c r="AF124" s="3">
        <f>0</f>
        <v/>
      </c>
      <c r="AG124" s="3">
        <f>0</f>
        <v/>
      </c>
      <c r="AH124" s="3">
        <f>0</f>
        <v/>
      </c>
      <c r="AI124" s="3">
        <f>0</f>
        <v/>
      </c>
      <c r="AJ124" s="3">
        <f>0</f>
        <v/>
      </c>
      <c r="AK124" s="3">
        <f>0</f>
        <v/>
      </c>
      <c r="AL124" s="3">
        <f>0</f>
        <v/>
      </c>
      <c r="AM124" s="3">
        <f>0</f>
        <v/>
      </c>
      <c r="AN124" s="3">
        <f>0</f>
        <v/>
      </c>
      <c r="AO124" s="3">
        <f>0</f>
        <v/>
      </c>
      <c r="AP124" s="3">
        <f>0</f>
        <v/>
      </c>
      <c r="AQ124" s="3">
        <f>0</f>
        <v/>
      </c>
      <c r="AR124" s="3">
        <f>0</f>
        <v/>
      </c>
      <c r="AS124" s="3">
        <f>0</f>
        <v/>
      </c>
      <c r="AT124" s="3">
        <f>0</f>
        <v/>
      </c>
      <c r="AU124" s="3">
        <f>0</f>
        <v/>
      </c>
      <c r="AV124" s="3">
        <f>0</f>
        <v/>
      </c>
      <c r="AW124" s="3">
        <f>0</f>
        <v/>
      </c>
      <c r="AX124" s="3">
        <f>0</f>
        <v/>
      </c>
      <c r="AY124" s="3">
        <f>0</f>
        <v/>
      </c>
      <c r="AZ124" s="3">
        <f>0</f>
        <v/>
      </c>
      <c r="BA124" s="3">
        <f>0</f>
        <v/>
      </c>
      <c r="BB124" s="3">
        <f>0</f>
        <v/>
      </c>
      <c r="BC124" s="3">
        <f>0</f>
        <v/>
      </c>
      <c r="BD124" s="3">
        <f>0</f>
        <v/>
      </c>
      <c r="BE124" s="3">
        <f>0</f>
        <v/>
      </c>
      <c r="BF124" s="3">
        <f>0</f>
        <v/>
      </c>
      <c r="BG124" s="3">
        <f>0</f>
        <v/>
      </c>
      <c r="BH124" s="3">
        <f>0</f>
        <v/>
      </c>
      <c r="BI124" s="3">
        <f>0</f>
        <v/>
      </c>
      <c r="BJ124" s="3">
        <f>0</f>
        <v/>
      </c>
      <c r="BK124" s="3">
        <f>0</f>
        <v/>
      </c>
      <c r="BL124" s="3">
        <f>0</f>
        <v/>
      </c>
      <c r="BM124" s="3">
        <f>0</f>
        <v/>
      </c>
      <c r="BN124" s="3">
        <f>0</f>
        <v/>
      </c>
      <c r="BO124" s="3">
        <f>0</f>
        <v/>
      </c>
      <c r="BP124" s="3">
        <f>0</f>
        <v/>
      </c>
      <c r="BQ124" s="3">
        <f>0</f>
        <v/>
      </c>
      <c r="BR124" s="3">
        <f>0</f>
        <v/>
      </c>
      <c r="BS124" s="3">
        <f>0</f>
        <v/>
      </c>
      <c r="BT124" s="3">
        <f>0</f>
        <v/>
      </c>
      <c r="BU124" s="3">
        <f>0</f>
        <v/>
      </c>
      <c r="BV124" s="3">
        <f>0</f>
        <v/>
      </c>
    </row>
    <row r="125">
      <c r="A125" t="inlineStr">
        <is>
          <t>active</t>
        </is>
      </c>
      <c r="B125" t="inlineStr">
        <is>
          <t>ROW|NITRO_A</t>
        </is>
      </c>
      <c r="C125" s="3">
        <f>React!$C$124*Curves!$BV$17</f>
        <v/>
      </c>
      <c r="D125" s="3">
        <f>SUMPRODUCT(React!$C$124:$D$124,Curves!$BU$17:$BV$17)</f>
        <v/>
      </c>
      <c r="E125" s="3">
        <f>SUMPRODUCT(React!$C$124:$E$124,Curves!$BT$17:$BV$17)</f>
        <v/>
      </c>
      <c r="F125" s="3">
        <f>SUMPRODUCT(React!$C$124:$F$124,Curves!$BS$17:$BV$17)</f>
        <v/>
      </c>
      <c r="G125" s="3">
        <f>SUMPRODUCT(React!$C$124:$G$124,Curves!$BR$17:$BV$17)</f>
        <v/>
      </c>
      <c r="H125" s="3">
        <f>SUMPRODUCT(React!$C$124:$H$124,Curves!$BQ$17:$BV$17)</f>
        <v/>
      </c>
      <c r="I125" s="3">
        <f>SUMPRODUCT(React!$C$124:$I$124,Curves!$BP$17:$BV$17)</f>
        <v/>
      </c>
      <c r="J125" s="3">
        <f>SUMPRODUCT(React!$C$124:$J$124,Curves!$BO$17:$BV$17)</f>
        <v/>
      </c>
      <c r="K125" s="3">
        <f>SUMPRODUCT(React!$C$124:$K$124,Curves!$BN$17:$BV$17)</f>
        <v/>
      </c>
      <c r="L125" s="3">
        <f>SUMPRODUCT(React!$C$124:$L$124,Curves!$BM$17:$BV$17)</f>
        <v/>
      </c>
      <c r="M125" s="3">
        <f>SUMPRODUCT(React!$C$124:$M$124,Curves!$BL$17:$BV$17)</f>
        <v/>
      </c>
      <c r="N125" s="3">
        <f>SUMPRODUCT(React!$C$124:$N$124,Curves!$BK$17:$BV$17)</f>
        <v/>
      </c>
      <c r="O125" s="3">
        <f>SUMPRODUCT(React!$C$124:$O$124,Curves!$BJ$17:$BV$17)</f>
        <v/>
      </c>
      <c r="P125" s="3">
        <f>SUMPRODUCT(React!$C$124:$P$124,Curves!$BI$17:$BV$17)</f>
        <v/>
      </c>
      <c r="Q125" s="3">
        <f>SUMPRODUCT(React!$C$124:$Q$124,Curves!$BH$17:$BV$17)</f>
        <v/>
      </c>
      <c r="R125" s="3">
        <f>SUMPRODUCT(React!$C$124:$R$124,Curves!$BG$17:$BV$17)</f>
        <v/>
      </c>
      <c r="S125" s="3">
        <f>SUMPRODUCT(React!$C$124:$S$124,Curves!$BF$17:$BV$17)</f>
        <v/>
      </c>
      <c r="T125" s="3">
        <f>SUMPRODUCT(React!$C$124:$T$124,Curves!$BE$17:$BV$17)</f>
        <v/>
      </c>
      <c r="U125" s="3">
        <f>SUMPRODUCT(React!$C$124:$U$124,Curves!$BD$17:$BV$17)</f>
        <v/>
      </c>
      <c r="V125" s="3">
        <f>SUMPRODUCT(React!$C$124:$V$124,Curves!$BC$17:$BV$17)</f>
        <v/>
      </c>
      <c r="W125" s="3">
        <f>SUMPRODUCT(React!$C$124:$W$124,Curves!$BB$17:$BV$17)</f>
        <v/>
      </c>
      <c r="X125" s="3">
        <f>SUMPRODUCT(React!$C$124:$X$124,Curves!$BA$17:$BV$17)</f>
        <v/>
      </c>
      <c r="Y125" s="3">
        <f>SUMPRODUCT(React!$C$124:$Y$124,Curves!$AZ$17:$BV$17)</f>
        <v/>
      </c>
      <c r="Z125" s="3">
        <f>SUMPRODUCT(React!$C$124:$Z$124,Curves!$AY$17:$BV$17)</f>
        <v/>
      </c>
      <c r="AA125" s="3">
        <f>SUMPRODUCT(React!$C$124:$AA$124,Curves!$AX$17:$BV$17)</f>
        <v/>
      </c>
      <c r="AB125" s="3">
        <f>SUMPRODUCT(React!$C$124:$AB$124,Curves!$AW$17:$BV$17)</f>
        <v/>
      </c>
      <c r="AC125" s="3">
        <f>SUMPRODUCT(React!$C$124:$AC$124,Curves!$AV$17:$BV$17)</f>
        <v/>
      </c>
      <c r="AD125" s="3">
        <f>SUMPRODUCT(React!$C$124:$AD$124,Curves!$AU$17:$BV$17)</f>
        <v/>
      </c>
      <c r="AE125" s="3">
        <f>SUMPRODUCT(React!$C$124:$AE$124,Curves!$AT$17:$BV$17)</f>
        <v/>
      </c>
      <c r="AF125" s="3">
        <f>SUMPRODUCT(React!$C$124:$AF$124,Curves!$AS$17:$BV$17)</f>
        <v/>
      </c>
      <c r="AG125" s="3">
        <f>SUMPRODUCT(React!$C$124:$AG$124,Curves!$AR$17:$BV$17)</f>
        <v/>
      </c>
      <c r="AH125" s="3">
        <f>SUMPRODUCT(React!$C$124:$AH$124,Curves!$AQ$17:$BV$17)</f>
        <v/>
      </c>
      <c r="AI125" s="3">
        <f>SUMPRODUCT(React!$C$124:$AI$124,Curves!$AP$17:$BV$17)</f>
        <v/>
      </c>
      <c r="AJ125" s="3">
        <f>SUMPRODUCT(React!$C$124:$AJ$124,Curves!$AO$17:$BV$17)</f>
        <v/>
      </c>
      <c r="AK125" s="3">
        <f>SUMPRODUCT(React!$C$124:$AK$124,Curves!$AN$17:$BV$17)</f>
        <v/>
      </c>
      <c r="AL125" s="3">
        <f>SUMPRODUCT(React!$C$124:$AL$124,Curves!$AM$17:$BV$17)</f>
        <v/>
      </c>
      <c r="AM125" s="3">
        <f>SUMPRODUCT(React!$C$124:$AM$124,Curves!$AL$17:$BV$17)</f>
        <v/>
      </c>
      <c r="AN125" s="3">
        <f>SUMPRODUCT(React!$C$124:$AN$124,Curves!$AK$17:$BV$17)</f>
        <v/>
      </c>
      <c r="AO125" s="3">
        <f>SUMPRODUCT(React!$C$124:$AO$124,Curves!$AJ$17:$BV$17)</f>
        <v/>
      </c>
      <c r="AP125" s="3">
        <f>SUMPRODUCT(React!$C$124:$AP$124,Curves!$AI$17:$BV$17)</f>
        <v/>
      </c>
      <c r="AQ125" s="3">
        <f>SUMPRODUCT(React!$C$124:$AQ$124,Curves!$AH$17:$BV$17)</f>
        <v/>
      </c>
      <c r="AR125" s="3">
        <f>SUMPRODUCT(React!$C$124:$AR$124,Curves!$AG$17:$BV$17)</f>
        <v/>
      </c>
      <c r="AS125" s="3">
        <f>SUMPRODUCT(React!$C$124:$AS$124,Curves!$AF$17:$BV$17)</f>
        <v/>
      </c>
      <c r="AT125" s="3">
        <f>SUMPRODUCT(React!$C$124:$AT$124,Curves!$AE$17:$BV$17)</f>
        <v/>
      </c>
      <c r="AU125" s="3">
        <f>SUMPRODUCT(React!$C$124:$AU$124,Curves!$AD$17:$BV$17)</f>
        <v/>
      </c>
      <c r="AV125" s="3">
        <f>SUMPRODUCT(React!$C$124:$AV$124,Curves!$AC$17:$BV$17)</f>
        <v/>
      </c>
      <c r="AW125" s="3">
        <f>SUMPRODUCT(React!$C$124:$AW$124,Curves!$AB$17:$BV$17)</f>
        <v/>
      </c>
      <c r="AX125" s="3">
        <f>SUMPRODUCT(React!$C$124:$AX$124,Curves!$AA$17:$BV$17)</f>
        <v/>
      </c>
      <c r="AY125" s="3">
        <f>SUMPRODUCT(React!$C$124:$AY$124,Curves!$Z$17:$BV$17)</f>
        <v/>
      </c>
      <c r="AZ125" s="3">
        <f>SUMPRODUCT(React!$C$124:$AZ$124,Curves!$Y$17:$BV$17)</f>
        <v/>
      </c>
      <c r="BA125" s="3">
        <f>SUMPRODUCT(React!$C$124:$BA$124,Curves!$X$17:$BV$17)</f>
        <v/>
      </c>
      <c r="BB125" s="3">
        <f>SUMPRODUCT(React!$C$124:$BB$124,Curves!$W$17:$BV$17)</f>
        <v/>
      </c>
      <c r="BC125" s="3">
        <f>SUMPRODUCT(React!$C$124:$BC$124,Curves!$V$17:$BV$17)</f>
        <v/>
      </c>
      <c r="BD125" s="3">
        <f>SUMPRODUCT(React!$C$124:$BD$124,Curves!$U$17:$BV$17)</f>
        <v/>
      </c>
      <c r="BE125" s="3">
        <f>SUMPRODUCT(React!$C$124:$BE$124,Curves!$T$17:$BV$17)</f>
        <v/>
      </c>
      <c r="BF125" s="3">
        <f>SUMPRODUCT(React!$C$124:$BF$124,Curves!$S$17:$BV$17)</f>
        <v/>
      </c>
      <c r="BG125" s="3">
        <f>SUMPRODUCT(React!$C$124:$BG$124,Curves!$R$17:$BV$17)</f>
        <v/>
      </c>
      <c r="BH125" s="3">
        <f>SUMPRODUCT(React!$C$124:$BH$124,Curves!$Q$17:$BV$17)</f>
        <v/>
      </c>
      <c r="BI125" s="3">
        <f>SUMPRODUCT(React!$C$124:$BI$124,Curves!$P$17:$BV$17)</f>
        <v/>
      </c>
      <c r="BJ125" s="3">
        <f>SUMPRODUCT(React!$C$124:$BJ$124,Curves!$O$17:$BV$17)</f>
        <v/>
      </c>
      <c r="BK125" s="3">
        <f>SUMPRODUCT(React!$C$124:$BK$124,Curves!$N$17:$BV$17)</f>
        <v/>
      </c>
      <c r="BL125" s="3">
        <f>SUMPRODUCT(React!$C$124:$BL$124,Curves!$M$17:$BV$17)</f>
        <v/>
      </c>
      <c r="BM125" s="3">
        <f>SUMPRODUCT(React!$C$124:$BM$124,Curves!$L$17:$BV$17)</f>
        <v/>
      </c>
      <c r="BN125" s="3">
        <f>SUMPRODUCT(React!$C$124:$BN$124,Curves!$K$17:$BV$17)</f>
        <v/>
      </c>
      <c r="BO125" s="3">
        <f>SUMPRODUCT(React!$C$124:$BO$124,Curves!$J$17:$BV$17)</f>
        <v/>
      </c>
      <c r="BP125" s="3">
        <f>SUMPRODUCT(React!$C$124:$BP$124,Curves!$I$17:$BV$17)</f>
        <v/>
      </c>
      <c r="BQ125" s="3">
        <f>SUMPRODUCT(React!$C$124:$BQ$124,Curves!$H$17:$BV$17)</f>
        <v/>
      </c>
      <c r="BR125" s="3">
        <f>SUMPRODUCT(React!$C$124:$BR$124,Curves!$G$17:$BV$17)</f>
        <v/>
      </c>
      <c r="BS125" s="3">
        <f>SUMPRODUCT(React!$C$124:$BS$124,Curves!$F$17:$BV$17)</f>
        <v/>
      </c>
      <c r="BT125" s="3">
        <f>SUMPRODUCT(React!$C$124:$BT$124,Curves!$E$17:$BV$17)</f>
        <v/>
      </c>
      <c r="BU125" s="3">
        <f>SUMPRODUCT(React!$C$124:$BU$124,Curves!$D$17:$BV$17)</f>
        <v/>
      </c>
      <c r="BV125" s="3">
        <f>SUMPRODUCT(React!$C$124:$BV$124,Curves!$C$17:$BV$17)</f>
        <v/>
      </c>
    </row>
    <row r="126">
      <c r="A126" t="inlineStr">
        <is>
          <t>active yr 1</t>
        </is>
      </c>
      <c r="B126" t="inlineStr">
        <is>
          <t>ROW|NITRO_A</t>
        </is>
      </c>
      <c r="C126" s="3">
        <f>React!$C$124*Curves!$BV$22</f>
        <v/>
      </c>
      <c r="D126" s="3">
        <f>SUMPRODUCT(React!$C$124:$D$124,Curves!$BU$22:$BV$22)</f>
        <v/>
      </c>
      <c r="E126" s="3">
        <f>SUMPRODUCT(React!$C$124:$E$124,Curves!$BT$22:$BV$22)</f>
        <v/>
      </c>
      <c r="F126" s="3">
        <f>SUMPRODUCT(React!$C$124:$F$124,Curves!$BS$22:$BV$22)</f>
        <v/>
      </c>
      <c r="G126" s="3">
        <f>SUMPRODUCT(React!$C$124:$G$124,Curves!$BR$22:$BV$22)</f>
        <v/>
      </c>
      <c r="H126" s="3">
        <f>SUMPRODUCT(React!$C$124:$H$124,Curves!$BQ$22:$BV$22)</f>
        <v/>
      </c>
      <c r="I126" s="3">
        <f>SUMPRODUCT(React!$C$124:$I$124,Curves!$BP$22:$BV$22)</f>
        <v/>
      </c>
      <c r="J126" s="3">
        <f>SUMPRODUCT(React!$C$124:$J$124,Curves!$BO$22:$BV$22)</f>
        <v/>
      </c>
      <c r="K126" s="3">
        <f>SUMPRODUCT(React!$C$124:$K$124,Curves!$BN$22:$BV$22)</f>
        <v/>
      </c>
      <c r="L126" s="3">
        <f>SUMPRODUCT(React!$C$124:$L$124,Curves!$BM$22:$BV$22)</f>
        <v/>
      </c>
      <c r="M126" s="3">
        <f>SUMPRODUCT(React!$C$124:$M$124,Curves!$BL$22:$BV$22)</f>
        <v/>
      </c>
      <c r="N126" s="3">
        <f>SUMPRODUCT(React!$C$124:$N$124,Curves!$BK$22:$BV$22)</f>
        <v/>
      </c>
      <c r="O126" s="3">
        <f>SUMPRODUCT(React!$C$124:$O$124,Curves!$BJ$22:$BV$22)</f>
        <v/>
      </c>
      <c r="P126" s="3">
        <f>SUMPRODUCT(React!$C$124:$P$124,Curves!$BI$22:$BV$22)</f>
        <v/>
      </c>
      <c r="Q126" s="3">
        <f>SUMPRODUCT(React!$C$124:$Q$124,Curves!$BH$22:$BV$22)</f>
        <v/>
      </c>
      <c r="R126" s="3">
        <f>SUMPRODUCT(React!$C$124:$R$124,Curves!$BG$22:$BV$22)</f>
        <v/>
      </c>
      <c r="S126" s="3">
        <f>SUMPRODUCT(React!$C$124:$S$124,Curves!$BF$22:$BV$22)</f>
        <v/>
      </c>
      <c r="T126" s="3">
        <f>SUMPRODUCT(React!$C$124:$T$124,Curves!$BE$22:$BV$22)</f>
        <v/>
      </c>
      <c r="U126" s="3">
        <f>SUMPRODUCT(React!$C$124:$U$124,Curves!$BD$22:$BV$22)</f>
        <v/>
      </c>
      <c r="V126" s="3">
        <f>SUMPRODUCT(React!$C$124:$V$124,Curves!$BC$22:$BV$22)</f>
        <v/>
      </c>
      <c r="W126" s="3">
        <f>SUMPRODUCT(React!$C$124:$W$124,Curves!$BB$22:$BV$22)</f>
        <v/>
      </c>
      <c r="X126" s="3">
        <f>SUMPRODUCT(React!$C$124:$X$124,Curves!$BA$22:$BV$22)</f>
        <v/>
      </c>
      <c r="Y126" s="3">
        <f>SUMPRODUCT(React!$C$124:$Y$124,Curves!$AZ$22:$BV$22)</f>
        <v/>
      </c>
      <c r="Z126" s="3">
        <f>SUMPRODUCT(React!$C$124:$Z$124,Curves!$AY$22:$BV$22)</f>
        <v/>
      </c>
      <c r="AA126" s="3">
        <f>SUMPRODUCT(React!$C$124:$AA$124,Curves!$AX$22:$BV$22)</f>
        <v/>
      </c>
      <c r="AB126" s="3">
        <f>SUMPRODUCT(React!$C$124:$AB$124,Curves!$AW$22:$BV$22)</f>
        <v/>
      </c>
      <c r="AC126" s="3">
        <f>SUMPRODUCT(React!$C$124:$AC$124,Curves!$AV$22:$BV$22)</f>
        <v/>
      </c>
      <c r="AD126" s="3">
        <f>SUMPRODUCT(React!$C$124:$AD$124,Curves!$AU$22:$BV$22)</f>
        <v/>
      </c>
      <c r="AE126" s="3">
        <f>SUMPRODUCT(React!$C$124:$AE$124,Curves!$AT$22:$BV$22)</f>
        <v/>
      </c>
      <c r="AF126" s="3">
        <f>SUMPRODUCT(React!$C$124:$AF$124,Curves!$AS$22:$BV$22)</f>
        <v/>
      </c>
      <c r="AG126" s="3">
        <f>SUMPRODUCT(React!$C$124:$AG$124,Curves!$AR$22:$BV$22)</f>
        <v/>
      </c>
      <c r="AH126" s="3">
        <f>SUMPRODUCT(React!$C$124:$AH$124,Curves!$AQ$22:$BV$22)</f>
        <v/>
      </c>
      <c r="AI126" s="3">
        <f>SUMPRODUCT(React!$C$124:$AI$124,Curves!$AP$22:$BV$22)</f>
        <v/>
      </c>
      <c r="AJ126" s="3">
        <f>SUMPRODUCT(React!$C$124:$AJ$124,Curves!$AO$22:$BV$22)</f>
        <v/>
      </c>
      <c r="AK126" s="3">
        <f>SUMPRODUCT(React!$C$124:$AK$124,Curves!$AN$22:$BV$22)</f>
        <v/>
      </c>
      <c r="AL126" s="3">
        <f>SUMPRODUCT(React!$C$124:$AL$124,Curves!$AM$22:$BV$22)</f>
        <v/>
      </c>
      <c r="AM126" s="3">
        <f>SUMPRODUCT(React!$C$124:$AM$124,Curves!$AL$22:$BV$22)</f>
        <v/>
      </c>
      <c r="AN126" s="3">
        <f>SUMPRODUCT(React!$C$124:$AN$124,Curves!$AK$22:$BV$22)</f>
        <v/>
      </c>
      <c r="AO126" s="3">
        <f>SUMPRODUCT(React!$C$124:$AO$124,Curves!$AJ$22:$BV$22)</f>
        <v/>
      </c>
      <c r="AP126" s="3">
        <f>SUMPRODUCT(React!$C$124:$AP$124,Curves!$AI$22:$BV$22)</f>
        <v/>
      </c>
      <c r="AQ126" s="3">
        <f>SUMPRODUCT(React!$C$124:$AQ$124,Curves!$AH$22:$BV$22)</f>
        <v/>
      </c>
      <c r="AR126" s="3">
        <f>SUMPRODUCT(React!$C$124:$AR$124,Curves!$AG$22:$BV$22)</f>
        <v/>
      </c>
      <c r="AS126" s="3">
        <f>SUMPRODUCT(React!$C$124:$AS$124,Curves!$AF$22:$BV$22)</f>
        <v/>
      </c>
      <c r="AT126" s="3">
        <f>SUMPRODUCT(React!$C$124:$AT$124,Curves!$AE$22:$BV$22)</f>
        <v/>
      </c>
      <c r="AU126" s="3">
        <f>SUMPRODUCT(React!$C$124:$AU$124,Curves!$AD$22:$BV$22)</f>
        <v/>
      </c>
      <c r="AV126" s="3">
        <f>SUMPRODUCT(React!$C$124:$AV$124,Curves!$AC$22:$BV$22)</f>
        <v/>
      </c>
      <c r="AW126" s="3">
        <f>SUMPRODUCT(React!$C$124:$AW$124,Curves!$AB$22:$BV$22)</f>
        <v/>
      </c>
      <c r="AX126" s="3">
        <f>SUMPRODUCT(React!$C$124:$AX$124,Curves!$AA$22:$BV$22)</f>
        <v/>
      </c>
      <c r="AY126" s="3">
        <f>SUMPRODUCT(React!$C$124:$AY$124,Curves!$Z$22:$BV$22)</f>
        <v/>
      </c>
      <c r="AZ126" s="3">
        <f>SUMPRODUCT(React!$C$124:$AZ$124,Curves!$Y$22:$BV$22)</f>
        <v/>
      </c>
      <c r="BA126" s="3">
        <f>SUMPRODUCT(React!$C$124:$BA$124,Curves!$X$22:$BV$22)</f>
        <v/>
      </c>
      <c r="BB126" s="3">
        <f>SUMPRODUCT(React!$C$124:$BB$124,Curves!$W$22:$BV$22)</f>
        <v/>
      </c>
      <c r="BC126" s="3">
        <f>SUMPRODUCT(React!$C$124:$BC$124,Curves!$V$22:$BV$22)</f>
        <v/>
      </c>
      <c r="BD126" s="3">
        <f>SUMPRODUCT(React!$C$124:$BD$124,Curves!$U$22:$BV$22)</f>
        <v/>
      </c>
      <c r="BE126" s="3">
        <f>SUMPRODUCT(React!$C$124:$BE$124,Curves!$T$22:$BV$22)</f>
        <v/>
      </c>
      <c r="BF126" s="3">
        <f>SUMPRODUCT(React!$C$124:$BF$124,Curves!$S$22:$BV$22)</f>
        <v/>
      </c>
      <c r="BG126" s="3">
        <f>SUMPRODUCT(React!$C$124:$BG$124,Curves!$R$22:$BV$22)</f>
        <v/>
      </c>
      <c r="BH126" s="3">
        <f>SUMPRODUCT(React!$C$124:$BH$124,Curves!$Q$22:$BV$22)</f>
        <v/>
      </c>
      <c r="BI126" s="3">
        <f>SUMPRODUCT(React!$C$124:$BI$124,Curves!$P$22:$BV$22)</f>
        <v/>
      </c>
      <c r="BJ126" s="3">
        <f>SUMPRODUCT(React!$C$124:$BJ$124,Curves!$O$22:$BV$22)</f>
        <v/>
      </c>
      <c r="BK126" s="3">
        <f>SUMPRODUCT(React!$C$124:$BK$124,Curves!$N$22:$BV$22)</f>
        <v/>
      </c>
      <c r="BL126" s="3">
        <f>SUMPRODUCT(React!$C$124:$BL$124,Curves!$M$22:$BV$22)</f>
        <v/>
      </c>
      <c r="BM126" s="3">
        <f>SUMPRODUCT(React!$C$124:$BM$124,Curves!$L$22:$BV$22)</f>
        <v/>
      </c>
      <c r="BN126" s="3">
        <f>SUMPRODUCT(React!$C$124:$BN$124,Curves!$K$22:$BV$22)</f>
        <v/>
      </c>
      <c r="BO126" s="3">
        <f>SUMPRODUCT(React!$C$124:$BO$124,Curves!$J$22:$BV$22)</f>
        <v/>
      </c>
      <c r="BP126" s="3">
        <f>SUMPRODUCT(React!$C$124:$BP$124,Curves!$I$22:$BV$22)</f>
        <v/>
      </c>
      <c r="BQ126" s="3">
        <f>SUMPRODUCT(React!$C$124:$BQ$124,Curves!$H$22:$BV$22)</f>
        <v/>
      </c>
      <c r="BR126" s="3">
        <f>SUMPRODUCT(React!$C$124:$BR$124,Curves!$G$22:$BV$22)</f>
        <v/>
      </c>
      <c r="BS126" s="3">
        <f>SUMPRODUCT(React!$C$124:$BS$124,Curves!$F$22:$BV$22)</f>
        <v/>
      </c>
      <c r="BT126" s="3">
        <f>SUMPRODUCT(React!$C$124:$BT$124,Curves!$E$22:$BV$22)</f>
        <v/>
      </c>
      <c r="BU126" s="3">
        <f>SUMPRODUCT(React!$C$124:$BU$124,Curves!$D$22:$BV$22)</f>
        <v/>
      </c>
      <c r="BV126" s="3">
        <f>SUMPRODUCT(React!$C$124:$BV$124,Curves!$C$22:$BV$22)</f>
        <v/>
      </c>
    </row>
    <row r="127">
      <c r="A127" t="inlineStr">
        <is>
          <t>churned</t>
        </is>
      </c>
      <c r="B127" t="inlineStr">
        <is>
          <t>ROW|NITRO_A</t>
        </is>
      </c>
      <c r="C127" s="3">
        <f>React!$C$124*Curves!$BV$18</f>
        <v/>
      </c>
      <c r="D127" s="3">
        <f>SUMPRODUCT(React!$C$124:$D$124,Curves!$BU$18:$BV$18)</f>
        <v/>
      </c>
      <c r="E127" s="3">
        <f>SUMPRODUCT(React!$C$124:$E$124,Curves!$BT$18:$BV$18)</f>
        <v/>
      </c>
      <c r="F127" s="3">
        <f>SUMPRODUCT(React!$C$124:$F$124,Curves!$BS$18:$BV$18)</f>
        <v/>
      </c>
      <c r="G127" s="3">
        <f>SUMPRODUCT(React!$C$124:$G$124,Curves!$BR$18:$BV$18)</f>
        <v/>
      </c>
      <c r="H127" s="3">
        <f>SUMPRODUCT(React!$C$124:$H$124,Curves!$BQ$18:$BV$18)</f>
        <v/>
      </c>
      <c r="I127" s="3">
        <f>SUMPRODUCT(React!$C$124:$I$124,Curves!$BP$18:$BV$18)</f>
        <v/>
      </c>
      <c r="J127" s="3">
        <f>SUMPRODUCT(React!$C$124:$J$124,Curves!$BO$18:$BV$18)</f>
        <v/>
      </c>
      <c r="K127" s="3">
        <f>SUMPRODUCT(React!$C$124:$K$124,Curves!$BN$18:$BV$18)</f>
        <v/>
      </c>
      <c r="L127" s="3">
        <f>SUMPRODUCT(React!$C$124:$L$124,Curves!$BM$18:$BV$18)</f>
        <v/>
      </c>
      <c r="M127" s="3">
        <f>SUMPRODUCT(React!$C$124:$M$124,Curves!$BL$18:$BV$18)</f>
        <v/>
      </c>
      <c r="N127" s="3">
        <f>SUMPRODUCT(React!$C$124:$N$124,Curves!$BK$18:$BV$18)</f>
        <v/>
      </c>
      <c r="O127" s="3">
        <f>SUMPRODUCT(React!$C$124:$O$124,Curves!$BJ$18:$BV$18)</f>
        <v/>
      </c>
      <c r="P127" s="3">
        <f>SUMPRODUCT(React!$C$124:$P$124,Curves!$BI$18:$BV$18)</f>
        <v/>
      </c>
      <c r="Q127" s="3">
        <f>SUMPRODUCT(React!$C$124:$Q$124,Curves!$BH$18:$BV$18)</f>
        <v/>
      </c>
      <c r="R127" s="3">
        <f>SUMPRODUCT(React!$C$124:$R$124,Curves!$BG$18:$BV$18)</f>
        <v/>
      </c>
      <c r="S127" s="3">
        <f>SUMPRODUCT(React!$C$124:$S$124,Curves!$BF$18:$BV$18)</f>
        <v/>
      </c>
      <c r="T127" s="3">
        <f>SUMPRODUCT(React!$C$124:$T$124,Curves!$BE$18:$BV$18)</f>
        <v/>
      </c>
      <c r="U127" s="3">
        <f>SUMPRODUCT(React!$C$124:$U$124,Curves!$BD$18:$BV$18)</f>
        <v/>
      </c>
      <c r="V127" s="3">
        <f>SUMPRODUCT(React!$C$124:$V$124,Curves!$BC$18:$BV$18)</f>
        <v/>
      </c>
      <c r="W127" s="3">
        <f>SUMPRODUCT(React!$C$124:$W$124,Curves!$BB$18:$BV$18)</f>
        <v/>
      </c>
      <c r="X127" s="3">
        <f>SUMPRODUCT(React!$C$124:$X$124,Curves!$BA$18:$BV$18)</f>
        <v/>
      </c>
      <c r="Y127" s="3">
        <f>SUMPRODUCT(React!$C$124:$Y$124,Curves!$AZ$18:$BV$18)</f>
        <v/>
      </c>
      <c r="Z127" s="3">
        <f>SUMPRODUCT(React!$C$124:$Z$124,Curves!$AY$18:$BV$18)</f>
        <v/>
      </c>
      <c r="AA127" s="3">
        <f>SUMPRODUCT(React!$C$124:$AA$124,Curves!$AX$18:$BV$18)</f>
        <v/>
      </c>
      <c r="AB127" s="3">
        <f>SUMPRODUCT(React!$C$124:$AB$124,Curves!$AW$18:$BV$18)</f>
        <v/>
      </c>
      <c r="AC127" s="3">
        <f>SUMPRODUCT(React!$C$124:$AC$124,Curves!$AV$18:$BV$18)</f>
        <v/>
      </c>
      <c r="AD127" s="3">
        <f>SUMPRODUCT(React!$C$124:$AD$124,Curves!$AU$18:$BV$18)</f>
        <v/>
      </c>
      <c r="AE127" s="3">
        <f>SUMPRODUCT(React!$C$124:$AE$124,Curves!$AT$18:$BV$18)</f>
        <v/>
      </c>
      <c r="AF127" s="3">
        <f>SUMPRODUCT(React!$C$124:$AF$124,Curves!$AS$18:$BV$18)</f>
        <v/>
      </c>
      <c r="AG127" s="3">
        <f>SUMPRODUCT(React!$C$124:$AG$124,Curves!$AR$18:$BV$18)</f>
        <v/>
      </c>
      <c r="AH127" s="3">
        <f>SUMPRODUCT(React!$C$124:$AH$124,Curves!$AQ$18:$BV$18)</f>
        <v/>
      </c>
      <c r="AI127" s="3">
        <f>SUMPRODUCT(React!$C$124:$AI$124,Curves!$AP$18:$BV$18)</f>
        <v/>
      </c>
      <c r="AJ127" s="3">
        <f>SUMPRODUCT(React!$C$124:$AJ$124,Curves!$AO$18:$BV$18)</f>
        <v/>
      </c>
      <c r="AK127" s="3">
        <f>SUMPRODUCT(React!$C$124:$AK$124,Curves!$AN$18:$BV$18)</f>
        <v/>
      </c>
      <c r="AL127" s="3">
        <f>SUMPRODUCT(React!$C$124:$AL$124,Curves!$AM$18:$BV$18)</f>
        <v/>
      </c>
      <c r="AM127" s="3">
        <f>SUMPRODUCT(React!$C$124:$AM$124,Curves!$AL$18:$BV$18)</f>
        <v/>
      </c>
      <c r="AN127" s="3">
        <f>SUMPRODUCT(React!$C$124:$AN$124,Curves!$AK$18:$BV$18)</f>
        <v/>
      </c>
      <c r="AO127" s="3">
        <f>SUMPRODUCT(React!$C$124:$AO$124,Curves!$AJ$18:$BV$18)</f>
        <v/>
      </c>
      <c r="AP127" s="3">
        <f>SUMPRODUCT(React!$C$124:$AP$124,Curves!$AI$18:$BV$18)</f>
        <v/>
      </c>
      <c r="AQ127" s="3">
        <f>SUMPRODUCT(React!$C$124:$AQ$124,Curves!$AH$18:$BV$18)</f>
        <v/>
      </c>
      <c r="AR127" s="3">
        <f>SUMPRODUCT(React!$C$124:$AR$124,Curves!$AG$18:$BV$18)</f>
        <v/>
      </c>
      <c r="AS127" s="3">
        <f>SUMPRODUCT(React!$C$124:$AS$124,Curves!$AF$18:$BV$18)</f>
        <v/>
      </c>
      <c r="AT127" s="3">
        <f>SUMPRODUCT(React!$C$124:$AT$124,Curves!$AE$18:$BV$18)</f>
        <v/>
      </c>
      <c r="AU127" s="3">
        <f>SUMPRODUCT(React!$C$124:$AU$124,Curves!$AD$18:$BV$18)</f>
        <v/>
      </c>
      <c r="AV127" s="3">
        <f>SUMPRODUCT(React!$C$124:$AV$124,Curves!$AC$18:$BV$18)</f>
        <v/>
      </c>
      <c r="AW127" s="3">
        <f>SUMPRODUCT(React!$C$124:$AW$124,Curves!$AB$18:$BV$18)</f>
        <v/>
      </c>
      <c r="AX127" s="3">
        <f>SUMPRODUCT(React!$C$124:$AX$124,Curves!$AA$18:$BV$18)</f>
        <v/>
      </c>
      <c r="AY127" s="3">
        <f>SUMPRODUCT(React!$C$124:$AY$124,Curves!$Z$18:$BV$18)</f>
        <v/>
      </c>
      <c r="AZ127" s="3">
        <f>SUMPRODUCT(React!$C$124:$AZ$124,Curves!$Y$18:$BV$18)</f>
        <v/>
      </c>
      <c r="BA127" s="3">
        <f>SUMPRODUCT(React!$C$124:$BA$124,Curves!$X$18:$BV$18)</f>
        <v/>
      </c>
      <c r="BB127" s="3">
        <f>SUMPRODUCT(React!$C$124:$BB$124,Curves!$W$18:$BV$18)</f>
        <v/>
      </c>
      <c r="BC127" s="3">
        <f>SUMPRODUCT(React!$C$124:$BC$124,Curves!$V$18:$BV$18)</f>
        <v/>
      </c>
      <c r="BD127" s="3">
        <f>SUMPRODUCT(React!$C$124:$BD$124,Curves!$U$18:$BV$18)</f>
        <v/>
      </c>
      <c r="BE127" s="3">
        <f>SUMPRODUCT(React!$C$124:$BE$124,Curves!$T$18:$BV$18)</f>
        <v/>
      </c>
      <c r="BF127" s="3">
        <f>SUMPRODUCT(React!$C$124:$BF$124,Curves!$S$18:$BV$18)</f>
        <v/>
      </c>
      <c r="BG127" s="3">
        <f>SUMPRODUCT(React!$C$124:$BG$124,Curves!$R$18:$BV$18)</f>
        <v/>
      </c>
      <c r="BH127" s="3">
        <f>SUMPRODUCT(React!$C$124:$BH$124,Curves!$Q$18:$BV$18)</f>
        <v/>
      </c>
      <c r="BI127" s="3">
        <f>SUMPRODUCT(React!$C$124:$BI$124,Curves!$P$18:$BV$18)</f>
        <v/>
      </c>
      <c r="BJ127" s="3">
        <f>SUMPRODUCT(React!$C$124:$BJ$124,Curves!$O$18:$BV$18)</f>
        <v/>
      </c>
      <c r="BK127" s="3">
        <f>SUMPRODUCT(React!$C$124:$BK$124,Curves!$N$18:$BV$18)</f>
        <v/>
      </c>
      <c r="BL127" s="3">
        <f>SUMPRODUCT(React!$C$124:$BL$124,Curves!$M$18:$BV$18)</f>
        <v/>
      </c>
      <c r="BM127" s="3">
        <f>SUMPRODUCT(React!$C$124:$BM$124,Curves!$L$18:$BV$18)</f>
        <v/>
      </c>
      <c r="BN127" s="3">
        <f>SUMPRODUCT(React!$C$124:$BN$124,Curves!$K$18:$BV$18)</f>
        <v/>
      </c>
      <c r="BO127" s="3">
        <f>SUMPRODUCT(React!$C$124:$BO$124,Curves!$J$18:$BV$18)</f>
        <v/>
      </c>
      <c r="BP127" s="3">
        <f>SUMPRODUCT(React!$C$124:$BP$124,Curves!$I$18:$BV$18)</f>
        <v/>
      </c>
      <c r="BQ127" s="3">
        <f>SUMPRODUCT(React!$C$124:$BQ$124,Curves!$H$18:$BV$18)</f>
        <v/>
      </c>
      <c r="BR127" s="3">
        <f>SUMPRODUCT(React!$C$124:$BR$124,Curves!$G$18:$BV$18)</f>
        <v/>
      </c>
      <c r="BS127" s="3">
        <f>SUMPRODUCT(React!$C$124:$BS$124,Curves!$F$18:$BV$18)</f>
        <v/>
      </c>
      <c r="BT127" s="3">
        <f>SUMPRODUCT(React!$C$124:$BT$124,Curves!$E$18:$BV$18)</f>
        <v/>
      </c>
      <c r="BU127" s="3">
        <f>SUMPRODUCT(React!$C$124:$BU$124,Curves!$D$18:$BV$18)</f>
        <v/>
      </c>
      <c r="BV127" s="3">
        <f>SUMPRODUCT(React!$C$124:$BV$124,Curves!$C$18:$BV$18)</f>
        <v/>
      </c>
    </row>
    <row r="129">
      <c r="A129" t="inlineStr">
        <is>
          <t>churn pool inflow</t>
        </is>
      </c>
      <c r="B129" t="inlineStr">
        <is>
          <t>ROW|BASIC_M</t>
        </is>
      </c>
      <c r="C129" s="3">
        <f>Paid!C77+Legacy!C79</f>
        <v/>
      </c>
      <c r="D129" s="3">
        <f>Paid!D77+Legacy!D79</f>
        <v/>
      </c>
      <c r="E129" s="3">
        <f>Paid!E77+Legacy!E79</f>
        <v/>
      </c>
      <c r="F129" s="3">
        <f>Paid!F77+Legacy!F79</f>
        <v/>
      </c>
      <c r="G129" s="3">
        <f>Paid!G77+Legacy!G79</f>
        <v/>
      </c>
      <c r="H129" s="3">
        <f>Paid!H77+Legacy!H79</f>
        <v/>
      </c>
      <c r="I129" s="3">
        <f>Paid!I77+Legacy!I79</f>
        <v/>
      </c>
      <c r="J129" s="3">
        <f>Paid!J77+Legacy!J79</f>
        <v/>
      </c>
      <c r="K129" s="3">
        <f>Paid!K77+Legacy!K79</f>
        <v/>
      </c>
      <c r="L129" s="3">
        <f>Paid!L77+Legacy!L79</f>
        <v/>
      </c>
      <c r="M129" s="3">
        <f>Paid!M77+Legacy!M79</f>
        <v/>
      </c>
      <c r="N129" s="3">
        <f>Paid!N77+Legacy!N79</f>
        <v/>
      </c>
      <c r="O129" s="3">
        <f>Paid!O77+Legacy!O79</f>
        <v/>
      </c>
      <c r="P129" s="3">
        <f>Paid!P77+Legacy!P79</f>
        <v/>
      </c>
      <c r="Q129" s="3">
        <f>Paid!Q77+Legacy!Q79</f>
        <v/>
      </c>
      <c r="R129" s="3">
        <f>Paid!R77+Legacy!R79</f>
        <v/>
      </c>
      <c r="S129" s="3">
        <f>Paid!S77+Legacy!S79</f>
        <v/>
      </c>
      <c r="T129" s="3">
        <f>Paid!T77+Legacy!T79</f>
        <v/>
      </c>
      <c r="U129" s="3">
        <f>Paid!U77+Legacy!U79</f>
        <v/>
      </c>
      <c r="V129" s="3">
        <f>Paid!V77+Legacy!V79</f>
        <v/>
      </c>
      <c r="W129" s="3">
        <f>Paid!W77+Legacy!W79</f>
        <v/>
      </c>
      <c r="X129" s="3">
        <f>Paid!X77+Legacy!X79</f>
        <v/>
      </c>
      <c r="Y129" s="3">
        <f>Paid!Y77+Legacy!Y79</f>
        <v/>
      </c>
      <c r="Z129" s="3">
        <f>Paid!Z77+Legacy!Z79</f>
        <v/>
      </c>
      <c r="AA129" s="3">
        <f>Paid!AA77+Legacy!AA79</f>
        <v/>
      </c>
      <c r="AB129" s="3">
        <f>Paid!AB77+Legacy!AB79</f>
        <v/>
      </c>
      <c r="AC129" s="3">
        <f>Paid!AC77+Legacy!AC79</f>
        <v/>
      </c>
      <c r="AD129" s="3">
        <f>Paid!AD77+Legacy!AD79</f>
        <v/>
      </c>
      <c r="AE129" s="3">
        <f>Paid!AE77+Legacy!AE79</f>
        <v/>
      </c>
      <c r="AF129" s="3">
        <f>Paid!AF77+Legacy!AF79</f>
        <v/>
      </c>
      <c r="AG129" s="3">
        <f>Paid!AG77+Legacy!AG79</f>
        <v/>
      </c>
      <c r="AH129" s="3">
        <f>Paid!AH77+Legacy!AH79</f>
        <v/>
      </c>
      <c r="AI129" s="3">
        <f>Paid!AI77+Legacy!AI79</f>
        <v/>
      </c>
      <c r="AJ129" s="3">
        <f>Paid!AJ77+Legacy!AJ79</f>
        <v/>
      </c>
      <c r="AK129" s="3">
        <f>Paid!AK77+Legacy!AK79</f>
        <v/>
      </c>
      <c r="AL129" s="3">
        <f>Paid!AL77+Legacy!AL79</f>
        <v/>
      </c>
      <c r="AM129" s="3">
        <f>Paid!AM77+Legacy!AM79</f>
        <v/>
      </c>
      <c r="AN129" s="3">
        <f>Paid!AN77+Legacy!AN79</f>
        <v/>
      </c>
      <c r="AO129" s="3">
        <f>Paid!AO77+Legacy!AO79</f>
        <v/>
      </c>
      <c r="AP129" s="3">
        <f>Paid!AP77+Legacy!AP79</f>
        <v/>
      </c>
      <c r="AQ129" s="3">
        <f>Paid!AQ77+Legacy!AQ79</f>
        <v/>
      </c>
      <c r="AR129" s="3">
        <f>Paid!AR77+Legacy!AR79</f>
        <v/>
      </c>
      <c r="AS129" s="3">
        <f>Paid!AS77+Legacy!AS79</f>
        <v/>
      </c>
      <c r="AT129" s="3">
        <f>Paid!AT77+Legacy!AT79</f>
        <v/>
      </c>
      <c r="AU129" s="3">
        <f>Paid!AU77+Legacy!AU79</f>
        <v/>
      </c>
      <c r="AV129" s="3">
        <f>Paid!AV77+Legacy!AV79</f>
        <v/>
      </c>
      <c r="AW129" s="3">
        <f>Paid!AW77+Legacy!AW79</f>
        <v/>
      </c>
      <c r="AX129" s="3">
        <f>Paid!AX77+Legacy!AX79</f>
        <v/>
      </c>
      <c r="AY129" s="3">
        <f>Paid!AY77+Legacy!AY79</f>
        <v/>
      </c>
      <c r="AZ129" s="3">
        <f>Paid!AZ77+Legacy!AZ79</f>
        <v/>
      </c>
      <c r="BA129" s="3">
        <f>Paid!BA77+Legacy!BA79</f>
        <v/>
      </c>
      <c r="BB129" s="3">
        <f>Paid!BB77+Legacy!BB79</f>
        <v/>
      </c>
      <c r="BC129" s="3">
        <f>Paid!BC77+Legacy!BC79</f>
        <v/>
      </c>
      <c r="BD129" s="3">
        <f>Paid!BD77+Legacy!BD79</f>
        <v/>
      </c>
      <c r="BE129" s="3">
        <f>Paid!BE77+Legacy!BE79</f>
        <v/>
      </c>
      <c r="BF129" s="3">
        <f>Paid!BF77+Legacy!BF79</f>
        <v/>
      </c>
      <c r="BG129" s="3">
        <f>Paid!BG77+Legacy!BG79</f>
        <v/>
      </c>
      <c r="BH129" s="3">
        <f>Paid!BH77+Legacy!BH79</f>
        <v/>
      </c>
      <c r="BI129" s="3">
        <f>Paid!BI77+Legacy!BI79</f>
        <v/>
      </c>
      <c r="BJ129" s="3">
        <f>Paid!BJ77+Legacy!BJ79</f>
        <v/>
      </c>
      <c r="BK129" s="3">
        <f>Paid!BK77+Legacy!BK79</f>
        <v/>
      </c>
      <c r="BL129" s="3">
        <f>Paid!BL77+Legacy!BL79</f>
        <v/>
      </c>
      <c r="BM129" s="3">
        <f>Paid!BM77+Legacy!BM79</f>
        <v/>
      </c>
      <c r="BN129" s="3">
        <f>Paid!BN77+Legacy!BN79</f>
        <v/>
      </c>
      <c r="BO129" s="3">
        <f>Paid!BO77+Legacy!BO79</f>
        <v/>
      </c>
      <c r="BP129" s="3">
        <f>Paid!BP77+Legacy!BP79</f>
        <v/>
      </c>
      <c r="BQ129" s="3">
        <f>Paid!BQ77+Legacy!BQ79</f>
        <v/>
      </c>
      <c r="BR129" s="3">
        <f>Paid!BR77+Legacy!BR79</f>
        <v/>
      </c>
      <c r="BS129" s="3">
        <f>Paid!BS77+Legacy!BS79</f>
        <v/>
      </c>
      <c r="BT129" s="3">
        <f>Paid!BT77+Legacy!BT79</f>
        <v/>
      </c>
      <c r="BU129" s="3">
        <f>Paid!BU77+Legacy!BU79</f>
        <v/>
      </c>
      <c r="BV129" s="3">
        <f>Paid!BV77+Legacy!BV79</f>
        <v/>
      </c>
    </row>
    <row r="130">
      <c r="A130" t="inlineStr">
        <is>
          <t>reactivations out</t>
        </is>
      </c>
      <c r="B130" t="inlineStr">
        <is>
          <t>ROW|BASIC_M</t>
        </is>
      </c>
      <c r="C130" s="3">
        <f>React!$C$129*Curves!$BV$19</f>
        <v/>
      </c>
      <c r="D130" s="3">
        <f>SUMPRODUCT(React!$C$129:$D$129,Curves!$BU$19:$BV$19)</f>
        <v/>
      </c>
      <c r="E130" s="3">
        <f>SUMPRODUCT(React!$C$129:$E$129,Curves!$BT$19:$BV$19)</f>
        <v/>
      </c>
      <c r="F130" s="3">
        <f>SUMPRODUCT(React!$C$129:$F$129,Curves!$BS$19:$BV$19)</f>
        <v/>
      </c>
      <c r="G130" s="3">
        <f>SUMPRODUCT(React!$C$129:$G$129,Curves!$BR$19:$BV$19)</f>
        <v/>
      </c>
      <c r="H130" s="3">
        <f>SUMPRODUCT(React!$C$129:$H$129,Curves!$BQ$19:$BV$19)</f>
        <v/>
      </c>
      <c r="I130" s="3">
        <f>SUMPRODUCT(React!$C$129:$I$129,Curves!$BP$19:$BV$19)</f>
        <v/>
      </c>
      <c r="J130" s="3">
        <f>SUMPRODUCT(React!$C$129:$J$129,Curves!$BO$19:$BV$19)</f>
        <v/>
      </c>
      <c r="K130" s="3">
        <f>SUMPRODUCT(React!$C$129:$K$129,Curves!$BN$19:$BV$19)</f>
        <v/>
      </c>
      <c r="L130" s="3">
        <f>SUMPRODUCT(React!$C$129:$L$129,Curves!$BM$19:$BV$19)</f>
        <v/>
      </c>
      <c r="M130" s="3">
        <f>SUMPRODUCT(React!$C$129:$M$129,Curves!$BL$19:$BV$19)</f>
        <v/>
      </c>
      <c r="N130" s="3">
        <f>SUMPRODUCT(React!$C$129:$N$129,Curves!$BK$19:$BV$19)</f>
        <v/>
      </c>
      <c r="O130" s="3">
        <f>SUMPRODUCT(React!$C$129:$O$129,Curves!$BJ$19:$BV$19)</f>
        <v/>
      </c>
      <c r="P130" s="3">
        <f>SUMPRODUCT(React!$C$129:$P$129,Curves!$BI$19:$BV$19)</f>
        <v/>
      </c>
      <c r="Q130" s="3">
        <f>SUMPRODUCT(React!$C$129:$Q$129,Curves!$BH$19:$BV$19)</f>
        <v/>
      </c>
      <c r="R130" s="3">
        <f>SUMPRODUCT(React!$C$129:$R$129,Curves!$BG$19:$BV$19)</f>
        <v/>
      </c>
      <c r="S130" s="3">
        <f>SUMPRODUCT(React!$C$129:$S$129,Curves!$BF$19:$BV$19)</f>
        <v/>
      </c>
      <c r="T130" s="3">
        <f>SUMPRODUCT(React!$C$129:$T$129,Curves!$BE$19:$BV$19)</f>
        <v/>
      </c>
      <c r="U130" s="3">
        <f>SUMPRODUCT(React!$C$129:$U$129,Curves!$BD$19:$BV$19)</f>
        <v/>
      </c>
      <c r="V130" s="3">
        <f>SUMPRODUCT(React!$C$129:$V$129,Curves!$BC$19:$BV$19)</f>
        <v/>
      </c>
      <c r="W130" s="3">
        <f>SUMPRODUCT(React!$C$129:$W$129,Curves!$BB$19:$BV$19)</f>
        <v/>
      </c>
      <c r="X130" s="3">
        <f>SUMPRODUCT(React!$C$129:$X$129,Curves!$BA$19:$BV$19)</f>
        <v/>
      </c>
      <c r="Y130" s="3">
        <f>SUMPRODUCT(React!$C$129:$Y$129,Curves!$AZ$19:$BV$19)</f>
        <v/>
      </c>
      <c r="Z130" s="3">
        <f>SUMPRODUCT(React!$C$129:$Z$129,Curves!$AY$19:$BV$19)</f>
        <v/>
      </c>
      <c r="AA130" s="3">
        <f>SUMPRODUCT(React!$C$129:$AA$129,Curves!$AX$19:$BV$19)</f>
        <v/>
      </c>
      <c r="AB130" s="3">
        <f>SUMPRODUCT(React!$C$129:$AB$129,Curves!$AW$19:$BV$19)</f>
        <v/>
      </c>
      <c r="AC130" s="3">
        <f>SUMPRODUCT(React!$C$129:$AC$129,Curves!$AV$19:$BV$19)</f>
        <v/>
      </c>
      <c r="AD130" s="3">
        <f>SUMPRODUCT(React!$C$129:$AD$129,Curves!$AU$19:$BV$19)</f>
        <v/>
      </c>
      <c r="AE130" s="3">
        <f>SUMPRODUCT(React!$C$129:$AE$129,Curves!$AT$19:$BV$19)</f>
        <v/>
      </c>
      <c r="AF130" s="3">
        <f>SUMPRODUCT(React!$C$129:$AF$129,Curves!$AS$19:$BV$19)</f>
        <v/>
      </c>
      <c r="AG130" s="3">
        <f>SUMPRODUCT(React!$C$129:$AG$129,Curves!$AR$19:$BV$19)</f>
        <v/>
      </c>
      <c r="AH130" s="3">
        <f>SUMPRODUCT(React!$C$129:$AH$129,Curves!$AQ$19:$BV$19)</f>
        <v/>
      </c>
      <c r="AI130" s="3">
        <f>SUMPRODUCT(React!$C$129:$AI$129,Curves!$AP$19:$BV$19)</f>
        <v/>
      </c>
      <c r="AJ130" s="3">
        <f>SUMPRODUCT(React!$C$129:$AJ$129,Curves!$AO$19:$BV$19)</f>
        <v/>
      </c>
      <c r="AK130" s="3">
        <f>SUMPRODUCT(React!$C$129:$AK$129,Curves!$AN$19:$BV$19)</f>
        <v/>
      </c>
      <c r="AL130" s="3">
        <f>SUMPRODUCT(React!$C$129:$AL$129,Curves!$AM$19:$BV$19)</f>
        <v/>
      </c>
      <c r="AM130" s="3">
        <f>SUMPRODUCT(React!$C$129:$AM$129,Curves!$AL$19:$BV$19)</f>
        <v/>
      </c>
      <c r="AN130" s="3">
        <f>SUMPRODUCT(React!$C$129:$AN$129,Curves!$AK$19:$BV$19)</f>
        <v/>
      </c>
      <c r="AO130" s="3">
        <f>SUMPRODUCT(React!$C$129:$AO$129,Curves!$AJ$19:$BV$19)</f>
        <v/>
      </c>
      <c r="AP130" s="3">
        <f>SUMPRODUCT(React!$C$129:$AP$129,Curves!$AI$19:$BV$19)</f>
        <v/>
      </c>
      <c r="AQ130" s="3">
        <f>SUMPRODUCT(React!$C$129:$AQ$129,Curves!$AH$19:$BV$19)</f>
        <v/>
      </c>
      <c r="AR130" s="3">
        <f>SUMPRODUCT(React!$C$129:$AR$129,Curves!$AG$19:$BV$19)</f>
        <v/>
      </c>
      <c r="AS130" s="3">
        <f>SUMPRODUCT(React!$C$129:$AS$129,Curves!$AF$19:$BV$19)</f>
        <v/>
      </c>
      <c r="AT130" s="3">
        <f>SUMPRODUCT(React!$C$129:$AT$129,Curves!$AE$19:$BV$19)</f>
        <v/>
      </c>
      <c r="AU130" s="3">
        <f>SUMPRODUCT(React!$C$129:$AU$129,Curves!$AD$19:$BV$19)</f>
        <v/>
      </c>
      <c r="AV130" s="3">
        <f>SUMPRODUCT(React!$C$129:$AV$129,Curves!$AC$19:$BV$19)</f>
        <v/>
      </c>
      <c r="AW130" s="3">
        <f>SUMPRODUCT(React!$C$129:$AW$129,Curves!$AB$19:$BV$19)</f>
        <v/>
      </c>
      <c r="AX130" s="3">
        <f>SUMPRODUCT(React!$C$129:$AX$129,Curves!$AA$19:$BV$19)</f>
        <v/>
      </c>
      <c r="AY130" s="3">
        <f>SUMPRODUCT(React!$C$129:$AY$129,Curves!$Z$19:$BV$19)</f>
        <v/>
      </c>
      <c r="AZ130" s="3">
        <f>SUMPRODUCT(React!$C$129:$AZ$129,Curves!$Y$19:$BV$19)</f>
        <v/>
      </c>
      <c r="BA130" s="3">
        <f>SUMPRODUCT(React!$C$129:$BA$129,Curves!$X$19:$BV$19)</f>
        <v/>
      </c>
      <c r="BB130" s="3">
        <f>SUMPRODUCT(React!$C$129:$BB$129,Curves!$W$19:$BV$19)</f>
        <v/>
      </c>
      <c r="BC130" s="3">
        <f>SUMPRODUCT(React!$C$129:$BC$129,Curves!$V$19:$BV$19)</f>
        <v/>
      </c>
      <c r="BD130" s="3">
        <f>SUMPRODUCT(React!$C$129:$BD$129,Curves!$U$19:$BV$19)</f>
        <v/>
      </c>
      <c r="BE130" s="3">
        <f>SUMPRODUCT(React!$C$129:$BE$129,Curves!$T$19:$BV$19)</f>
        <v/>
      </c>
      <c r="BF130" s="3">
        <f>SUMPRODUCT(React!$C$129:$BF$129,Curves!$S$19:$BV$19)</f>
        <v/>
      </c>
      <c r="BG130" s="3">
        <f>SUMPRODUCT(React!$C$129:$BG$129,Curves!$R$19:$BV$19)</f>
        <v/>
      </c>
      <c r="BH130" s="3">
        <f>SUMPRODUCT(React!$C$129:$BH$129,Curves!$Q$19:$BV$19)</f>
        <v/>
      </c>
      <c r="BI130" s="3">
        <f>SUMPRODUCT(React!$C$129:$BI$129,Curves!$P$19:$BV$19)</f>
        <v/>
      </c>
      <c r="BJ130" s="3">
        <f>SUMPRODUCT(React!$C$129:$BJ$129,Curves!$O$19:$BV$19)</f>
        <v/>
      </c>
      <c r="BK130" s="3">
        <f>SUMPRODUCT(React!$C$129:$BK$129,Curves!$N$19:$BV$19)</f>
        <v/>
      </c>
      <c r="BL130" s="3">
        <f>SUMPRODUCT(React!$C$129:$BL$129,Curves!$M$19:$BV$19)</f>
        <v/>
      </c>
      <c r="BM130" s="3">
        <f>SUMPRODUCT(React!$C$129:$BM$129,Curves!$L$19:$BV$19)</f>
        <v/>
      </c>
      <c r="BN130" s="3">
        <f>SUMPRODUCT(React!$C$129:$BN$129,Curves!$K$19:$BV$19)</f>
        <v/>
      </c>
      <c r="BO130" s="3">
        <f>SUMPRODUCT(React!$C$129:$BO$129,Curves!$J$19:$BV$19)</f>
        <v/>
      </c>
      <c r="BP130" s="3">
        <f>SUMPRODUCT(React!$C$129:$BP$129,Curves!$I$19:$BV$19)</f>
        <v/>
      </c>
      <c r="BQ130" s="3">
        <f>SUMPRODUCT(React!$C$129:$BQ$129,Curves!$H$19:$BV$19)</f>
        <v/>
      </c>
      <c r="BR130" s="3">
        <f>SUMPRODUCT(React!$C$129:$BR$129,Curves!$G$19:$BV$19)</f>
        <v/>
      </c>
      <c r="BS130" s="3">
        <f>SUMPRODUCT(React!$C$129:$BS$129,Curves!$F$19:$BV$19)</f>
        <v/>
      </c>
      <c r="BT130" s="3">
        <f>SUMPRODUCT(React!$C$129:$BT$129,Curves!$E$19:$BV$19)</f>
        <v/>
      </c>
      <c r="BU130" s="3">
        <f>SUMPRODUCT(React!$C$129:$BU$129,Curves!$D$19:$BV$19)</f>
        <v/>
      </c>
      <c r="BV130" s="3">
        <f>SUMPRODUCT(React!$C$129:$BV$129,Curves!$C$19:$BV$19)</f>
        <v/>
      </c>
    </row>
    <row r="131">
      <c r="A131" t="inlineStr">
        <is>
          <t>reactivated in</t>
        </is>
      </c>
      <c r="B131" t="inlineStr">
        <is>
          <t>ROW|BASIC_M</t>
        </is>
      </c>
      <c r="C131" s="3">
        <f>C130+C137</f>
        <v/>
      </c>
      <c r="D131" s="3">
        <f>D130+D137</f>
        <v/>
      </c>
      <c r="E131" s="3">
        <f>E130+E137</f>
        <v/>
      </c>
      <c r="F131" s="3">
        <f>F130+F137</f>
        <v/>
      </c>
      <c r="G131" s="3">
        <f>G130+G137</f>
        <v/>
      </c>
      <c r="H131" s="3">
        <f>H130+H137</f>
        <v/>
      </c>
      <c r="I131" s="3">
        <f>I130+I137</f>
        <v/>
      </c>
      <c r="J131" s="3">
        <f>J130+J137</f>
        <v/>
      </c>
      <c r="K131" s="3">
        <f>K130+K137</f>
        <v/>
      </c>
      <c r="L131" s="3">
        <f>L130+L137</f>
        <v/>
      </c>
      <c r="M131" s="3">
        <f>M130+M137</f>
        <v/>
      </c>
      <c r="N131" s="3">
        <f>N130+N137</f>
        <v/>
      </c>
      <c r="O131" s="3">
        <f>O130+O137</f>
        <v/>
      </c>
      <c r="P131" s="3">
        <f>P130+P137</f>
        <v/>
      </c>
      <c r="Q131" s="3">
        <f>Q130+Q137</f>
        <v/>
      </c>
      <c r="R131" s="3">
        <f>R130+R137</f>
        <v/>
      </c>
      <c r="S131" s="3">
        <f>S130+S137</f>
        <v/>
      </c>
      <c r="T131" s="3">
        <f>T130+T137</f>
        <v/>
      </c>
      <c r="U131" s="3">
        <f>U130+U137</f>
        <v/>
      </c>
      <c r="V131" s="3">
        <f>V130+V137</f>
        <v/>
      </c>
      <c r="W131" s="3">
        <f>W130+W137</f>
        <v/>
      </c>
      <c r="X131" s="3">
        <f>X130+X137</f>
        <v/>
      </c>
      <c r="Y131" s="3">
        <f>Y130+Y137</f>
        <v/>
      </c>
      <c r="Z131" s="3">
        <f>Z130+Z137</f>
        <v/>
      </c>
      <c r="AA131" s="3">
        <f>AA130+AA137</f>
        <v/>
      </c>
      <c r="AB131" s="3">
        <f>AB130+AB137</f>
        <v/>
      </c>
      <c r="AC131" s="3">
        <f>AC130+AC137</f>
        <v/>
      </c>
      <c r="AD131" s="3">
        <f>AD130+AD137</f>
        <v/>
      </c>
      <c r="AE131" s="3">
        <f>AE130+AE137</f>
        <v/>
      </c>
      <c r="AF131" s="3">
        <f>AF130+AF137</f>
        <v/>
      </c>
      <c r="AG131" s="3">
        <f>AG130+AG137</f>
        <v/>
      </c>
      <c r="AH131" s="3">
        <f>AH130+AH137</f>
        <v/>
      </c>
      <c r="AI131" s="3">
        <f>AI130+AI137</f>
        <v/>
      </c>
      <c r="AJ131" s="3">
        <f>AJ130+AJ137</f>
        <v/>
      </c>
      <c r="AK131" s="3">
        <f>AK130+AK137</f>
        <v/>
      </c>
      <c r="AL131" s="3">
        <f>AL130+AL137</f>
        <v/>
      </c>
      <c r="AM131" s="3">
        <f>AM130+AM137</f>
        <v/>
      </c>
      <c r="AN131" s="3">
        <f>AN130+AN137</f>
        <v/>
      </c>
      <c r="AO131" s="3">
        <f>AO130+AO137</f>
        <v/>
      </c>
      <c r="AP131" s="3">
        <f>AP130+AP137</f>
        <v/>
      </c>
      <c r="AQ131" s="3">
        <f>AQ130+AQ137</f>
        <v/>
      </c>
      <c r="AR131" s="3">
        <f>AR130+AR137</f>
        <v/>
      </c>
      <c r="AS131" s="3">
        <f>AS130+AS137</f>
        <v/>
      </c>
      <c r="AT131" s="3">
        <f>AT130+AT137</f>
        <v/>
      </c>
      <c r="AU131" s="3">
        <f>AU130+AU137</f>
        <v/>
      </c>
      <c r="AV131" s="3">
        <f>AV130+AV137</f>
        <v/>
      </c>
      <c r="AW131" s="3">
        <f>AW130+AW137</f>
        <v/>
      </c>
      <c r="AX131" s="3">
        <f>AX130+AX137</f>
        <v/>
      </c>
      <c r="AY131" s="3">
        <f>AY130+AY137</f>
        <v/>
      </c>
      <c r="AZ131" s="3">
        <f>AZ130+AZ137</f>
        <v/>
      </c>
      <c r="BA131" s="3">
        <f>BA130+BA137</f>
        <v/>
      </c>
      <c r="BB131" s="3">
        <f>BB130+BB137</f>
        <v/>
      </c>
      <c r="BC131" s="3">
        <f>BC130+BC137</f>
        <v/>
      </c>
      <c r="BD131" s="3">
        <f>BD130+BD137</f>
        <v/>
      </c>
      <c r="BE131" s="3">
        <f>BE130+BE137</f>
        <v/>
      </c>
      <c r="BF131" s="3">
        <f>BF130+BF137</f>
        <v/>
      </c>
      <c r="BG131" s="3">
        <f>BG130+BG137</f>
        <v/>
      </c>
      <c r="BH131" s="3">
        <f>BH130+BH137</f>
        <v/>
      </c>
      <c r="BI131" s="3">
        <f>BI130+BI137</f>
        <v/>
      </c>
      <c r="BJ131" s="3">
        <f>BJ130+BJ137</f>
        <v/>
      </c>
      <c r="BK131" s="3">
        <f>BK130+BK137</f>
        <v/>
      </c>
      <c r="BL131" s="3">
        <f>BL130+BL137</f>
        <v/>
      </c>
      <c r="BM131" s="3">
        <f>BM130+BM137</f>
        <v/>
      </c>
      <c r="BN131" s="3">
        <f>BN130+BN137</f>
        <v/>
      </c>
      <c r="BO131" s="3">
        <f>BO130+BO137</f>
        <v/>
      </c>
      <c r="BP131" s="3">
        <f>BP130+BP137</f>
        <v/>
      </c>
      <c r="BQ131" s="3">
        <f>BQ130+BQ137</f>
        <v/>
      </c>
      <c r="BR131" s="3">
        <f>BR130+BR137</f>
        <v/>
      </c>
      <c r="BS131" s="3">
        <f>BS130+BS137</f>
        <v/>
      </c>
      <c r="BT131" s="3">
        <f>BT130+BT137</f>
        <v/>
      </c>
      <c r="BU131" s="3">
        <f>BU130+BU137</f>
        <v/>
      </c>
      <c r="BV131" s="3">
        <f>BV130+BV137</f>
        <v/>
      </c>
    </row>
    <row r="132">
      <c r="A132" t="inlineStr">
        <is>
          <t>active</t>
        </is>
      </c>
      <c r="B132" t="inlineStr">
        <is>
          <t>ROW|BASIC_M</t>
        </is>
      </c>
      <c r="C132" s="3">
        <f>React!$C$131*Curves!$BV$17</f>
        <v/>
      </c>
      <c r="D132" s="3">
        <f>SUMPRODUCT(React!$C$131:$D$131,Curves!$BU$17:$BV$17)</f>
        <v/>
      </c>
      <c r="E132" s="3">
        <f>SUMPRODUCT(React!$C$131:$E$131,Curves!$BT$17:$BV$17)</f>
        <v/>
      </c>
      <c r="F132" s="3">
        <f>SUMPRODUCT(React!$C$131:$F$131,Curves!$BS$17:$BV$17)</f>
        <v/>
      </c>
      <c r="G132" s="3">
        <f>SUMPRODUCT(React!$C$131:$G$131,Curves!$BR$17:$BV$17)</f>
        <v/>
      </c>
      <c r="H132" s="3">
        <f>SUMPRODUCT(React!$C$131:$H$131,Curves!$BQ$17:$BV$17)</f>
        <v/>
      </c>
      <c r="I132" s="3">
        <f>SUMPRODUCT(React!$C$131:$I$131,Curves!$BP$17:$BV$17)</f>
        <v/>
      </c>
      <c r="J132" s="3">
        <f>SUMPRODUCT(React!$C$131:$J$131,Curves!$BO$17:$BV$17)</f>
        <v/>
      </c>
      <c r="K132" s="3">
        <f>SUMPRODUCT(React!$C$131:$K$131,Curves!$BN$17:$BV$17)</f>
        <v/>
      </c>
      <c r="L132" s="3">
        <f>SUMPRODUCT(React!$C$131:$L$131,Curves!$BM$17:$BV$17)</f>
        <v/>
      </c>
      <c r="M132" s="3">
        <f>SUMPRODUCT(React!$C$131:$M$131,Curves!$BL$17:$BV$17)</f>
        <v/>
      </c>
      <c r="N132" s="3">
        <f>SUMPRODUCT(React!$C$131:$N$131,Curves!$BK$17:$BV$17)</f>
        <v/>
      </c>
      <c r="O132" s="3">
        <f>SUMPRODUCT(React!$C$131:$O$131,Curves!$BJ$17:$BV$17)</f>
        <v/>
      </c>
      <c r="P132" s="3">
        <f>SUMPRODUCT(React!$C$131:$P$131,Curves!$BI$17:$BV$17)</f>
        <v/>
      </c>
      <c r="Q132" s="3">
        <f>SUMPRODUCT(React!$C$131:$Q$131,Curves!$BH$17:$BV$17)</f>
        <v/>
      </c>
      <c r="R132" s="3">
        <f>SUMPRODUCT(React!$C$131:$R$131,Curves!$BG$17:$BV$17)</f>
        <v/>
      </c>
      <c r="S132" s="3">
        <f>SUMPRODUCT(React!$C$131:$S$131,Curves!$BF$17:$BV$17)</f>
        <v/>
      </c>
      <c r="T132" s="3">
        <f>SUMPRODUCT(React!$C$131:$T$131,Curves!$BE$17:$BV$17)</f>
        <v/>
      </c>
      <c r="U132" s="3">
        <f>SUMPRODUCT(React!$C$131:$U$131,Curves!$BD$17:$BV$17)</f>
        <v/>
      </c>
      <c r="V132" s="3">
        <f>SUMPRODUCT(React!$C$131:$V$131,Curves!$BC$17:$BV$17)</f>
        <v/>
      </c>
      <c r="W132" s="3">
        <f>SUMPRODUCT(React!$C$131:$W$131,Curves!$BB$17:$BV$17)</f>
        <v/>
      </c>
      <c r="X132" s="3">
        <f>SUMPRODUCT(React!$C$131:$X$131,Curves!$BA$17:$BV$17)</f>
        <v/>
      </c>
      <c r="Y132" s="3">
        <f>SUMPRODUCT(React!$C$131:$Y$131,Curves!$AZ$17:$BV$17)</f>
        <v/>
      </c>
      <c r="Z132" s="3">
        <f>SUMPRODUCT(React!$C$131:$Z$131,Curves!$AY$17:$BV$17)</f>
        <v/>
      </c>
      <c r="AA132" s="3">
        <f>SUMPRODUCT(React!$C$131:$AA$131,Curves!$AX$17:$BV$17)</f>
        <v/>
      </c>
      <c r="AB132" s="3">
        <f>SUMPRODUCT(React!$C$131:$AB$131,Curves!$AW$17:$BV$17)</f>
        <v/>
      </c>
      <c r="AC132" s="3">
        <f>SUMPRODUCT(React!$C$131:$AC$131,Curves!$AV$17:$BV$17)</f>
        <v/>
      </c>
      <c r="AD132" s="3">
        <f>SUMPRODUCT(React!$C$131:$AD$131,Curves!$AU$17:$BV$17)</f>
        <v/>
      </c>
      <c r="AE132" s="3">
        <f>SUMPRODUCT(React!$C$131:$AE$131,Curves!$AT$17:$BV$17)</f>
        <v/>
      </c>
      <c r="AF132" s="3">
        <f>SUMPRODUCT(React!$C$131:$AF$131,Curves!$AS$17:$BV$17)</f>
        <v/>
      </c>
      <c r="AG132" s="3">
        <f>SUMPRODUCT(React!$C$131:$AG$131,Curves!$AR$17:$BV$17)</f>
        <v/>
      </c>
      <c r="AH132" s="3">
        <f>SUMPRODUCT(React!$C$131:$AH$131,Curves!$AQ$17:$BV$17)</f>
        <v/>
      </c>
      <c r="AI132" s="3">
        <f>SUMPRODUCT(React!$C$131:$AI$131,Curves!$AP$17:$BV$17)</f>
        <v/>
      </c>
      <c r="AJ132" s="3">
        <f>SUMPRODUCT(React!$C$131:$AJ$131,Curves!$AO$17:$BV$17)</f>
        <v/>
      </c>
      <c r="AK132" s="3">
        <f>SUMPRODUCT(React!$C$131:$AK$131,Curves!$AN$17:$BV$17)</f>
        <v/>
      </c>
      <c r="AL132" s="3">
        <f>SUMPRODUCT(React!$C$131:$AL$131,Curves!$AM$17:$BV$17)</f>
        <v/>
      </c>
      <c r="AM132" s="3">
        <f>SUMPRODUCT(React!$C$131:$AM$131,Curves!$AL$17:$BV$17)</f>
        <v/>
      </c>
      <c r="AN132" s="3">
        <f>SUMPRODUCT(React!$C$131:$AN$131,Curves!$AK$17:$BV$17)</f>
        <v/>
      </c>
      <c r="AO132" s="3">
        <f>SUMPRODUCT(React!$C$131:$AO$131,Curves!$AJ$17:$BV$17)</f>
        <v/>
      </c>
      <c r="AP132" s="3">
        <f>SUMPRODUCT(React!$C$131:$AP$131,Curves!$AI$17:$BV$17)</f>
        <v/>
      </c>
      <c r="AQ132" s="3">
        <f>SUMPRODUCT(React!$C$131:$AQ$131,Curves!$AH$17:$BV$17)</f>
        <v/>
      </c>
      <c r="AR132" s="3">
        <f>SUMPRODUCT(React!$C$131:$AR$131,Curves!$AG$17:$BV$17)</f>
        <v/>
      </c>
      <c r="AS132" s="3">
        <f>SUMPRODUCT(React!$C$131:$AS$131,Curves!$AF$17:$BV$17)</f>
        <v/>
      </c>
      <c r="AT132" s="3">
        <f>SUMPRODUCT(React!$C$131:$AT$131,Curves!$AE$17:$BV$17)</f>
        <v/>
      </c>
      <c r="AU132" s="3">
        <f>SUMPRODUCT(React!$C$131:$AU$131,Curves!$AD$17:$BV$17)</f>
        <v/>
      </c>
      <c r="AV132" s="3">
        <f>SUMPRODUCT(React!$C$131:$AV$131,Curves!$AC$17:$BV$17)</f>
        <v/>
      </c>
      <c r="AW132" s="3">
        <f>SUMPRODUCT(React!$C$131:$AW$131,Curves!$AB$17:$BV$17)</f>
        <v/>
      </c>
      <c r="AX132" s="3">
        <f>SUMPRODUCT(React!$C$131:$AX$131,Curves!$AA$17:$BV$17)</f>
        <v/>
      </c>
      <c r="AY132" s="3">
        <f>SUMPRODUCT(React!$C$131:$AY$131,Curves!$Z$17:$BV$17)</f>
        <v/>
      </c>
      <c r="AZ132" s="3">
        <f>SUMPRODUCT(React!$C$131:$AZ$131,Curves!$Y$17:$BV$17)</f>
        <v/>
      </c>
      <c r="BA132" s="3">
        <f>SUMPRODUCT(React!$C$131:$BA$131,Curves!$X$17:$BV$17)</f>
        <v/>
      </c>
      <c r="BB132" s="3">
        <f>SUMPRODUCT(React!$C$131:$BB$131,Curves!$W$17:$BV$17)</f>
        <v/>
      </c>
      <c r="BC132" s="3">
        <f>SUMPRODUCT(React!$C$131:$BC$131,Curves!$V$17:$BV$17)</f>
        <v/>
      </c>
      <c r="BD132" s="3">
        <f>SUMPRODUCT(React!$C$131:$BD$131,Curves!$U$17:$BV$17)</f>
        <v/>
      </c>
      <c r="BE132" s="3">
        <f>SUMPRODUCT(React!$C$131:$BE$131,Curves!$T$17:$BV$17)</f>
        <v/>
      </c>
      <c r="BF132" s="3">
        <f>SUMPRODUCT(React!$C$131:$BF$131,Curves!$S$17:$BV$17)</f>
        <v/>
      </c>
      <c r="BG132" s="3">
        <f>SUMPRODUCT(React!$C$131:$BG$131,Curves!$R$17:$BV$17)</f>
        <v/>
      </c>
      <c r="BH132" s="3">
        <f>SUMPRODUCT(React!$C$131:$BH$131,Curves!$Q$17:$BV$17)</f>
        <v/>
      </c>
      <c r="BI132" s="3">
        <f>SUMPRODUCT(React!$C$131:$BI$131,Curves!$P$17:$BV$17)</f>
        <v/>
      </c>
      <c r="BJ132" s="3">
        <f>SUMPRODUCT(React!$C$131:$BJ$131,Curves!$O$17:$BV$17)</f>
        <v/>
      </c>
      <c r="BK132" s="3">
        <f>SUMPRODUCT(React!$C$131:$BK$131,Curves!$N$17:$BV$17)</f>
        <v/>
      </c>
      <c r="BL132" s="3">
        <f>SUMPRODUCT(React!$C$131:$BL$131,Curves!$M$17:$BV$17)</f>
        <v/>
      </c>
      <c r="BM132" s="3">
        <f>SUMPRODUCT(React!$C$131:$BM$131,Curves!$L$17:$BV$17)</f>
        <v/>
      </c>
      <c r="BN132" s="3">
        <f>SUMPRODUCT(React!$C$131:$BN$131,Curves!$K$17:$BV$17)</f>
        <v/>
      </c>
      <c r="BO132" s="3">
        <f>SUMPRODUCT(React!$C$131:$BO$131,Curves!$J$17:$BV$17)</f>
        <v/>
      </c>
      <c r="BP132" s="3">
        <f>SUMPRODUCT(React!$C$131:$BP$131,Curves!$I$17:$BV$17)</f>
        <v/>
      </c>
      <c r="BQ132" s="3">
        <f>SUMPRODUCT(React!$C$131:$BQ$131,Curves!$H$17:$BV$17)</f>
        <v/>
      </c>
      <c r="BR132" s="3">
        <f>SUMPRODUCT(React!$C$131:$BR$131,Curves!$G$17:$BV$17)</f>
        <v/>
      </c>
      <c r="BS132" s="3">
        <f>SUMPRODUCT(React!$C$131:$BS$131,Curves!$F$17:$BV$17)</f>
        <v/>
      </c>
      <c r="BT132" s="3">
        <f>SUMPRODUCT(React!$C$131:$BT$131,Curves!$E$17:$BV$17)</f>
        <v/>
      </c>
      <c r="BU132" s="3">
        <f>SUMPRODUCT(React!$C$131:$BU$131,Curves!$D$17:$BV$17)</f>
        <v/>
      </c>
      <c r="BV132" s="3">
        <f>SUMPRODUCT(React!$C$131:$BV$131,Curves!$C$17:$BV$17)</f>
        <v/>
      </c>
    </row>
    <row r="133">
      <c r="A133" t="inlineStr">
        <is>
          <t>active yr 1</t>
        </is>
      </c>
      <c r="B133" t="inlineStr">
        <is>
          <t>ROW|BASIC_M</t>
        </is>
      </c>
      <c r="C133" s="3">
        <f>React!$C$131*Curves!$BV$22</f>
        <v/>
      </c>
      <c r="D133" s="3">
        <f>SUMPRODUCT(React!$C$131:$D$131,Curves!$BU$22:$BV$22)</f>
        <v/>
      </c>
      <c r="E133" s="3">
        <f>SUMPRODUCT(React!$C$131:$E$131,Curves!$BT$22:$BV$22)</f>
        <v/>
      </c>
      <c r="F133" s="3">
        <f>SUMPRODUCT(React!$C$131:$F$131,Curves!$BS$22:$BV$22)</f>
        <v/>
      </c>
      <c r="G133" s="3">
        <f>SUMPRODUCT(React!$C$131:$G$131,Curves!$BR$22:$BV$22)</f>
        <v/>
      </c>
      <c r="H133" s="3">
        <f>SUMPRODUCT(React!$C$131:$H$131,Curves!$BQ$22:$BV$22)</f>
        <v/>
      </c>
      <c r="I133" s="3">
        <f>SUMPRODUCT(React!$C$131:$I$131,Curves!$BP$22:$BV$22)</f>
        <v/>
      </c>
      <c r="J133" s="3">
        <f>SUMPRODUCT(React!$C$131:$J$131,Curves!$BO$22:$BV$22)</f>
        <v/>
      </c>
      <c r="K133" s="3">
        <f>SUMPRODUCT(React!$C$131:$K$131,Curves!$BN$22:$BV$22)</f>
        <v/>
      </c>
      <c r="L133" s="3">
        <f>SUMPRODUCT(React!$C$131:$L$131,Curves!$BM$22:$BV$22)</f>
        <v/>
      </c>
      <c r="M133" s="3">
        <f>SUMPRODUCT(React!$C$131:$M$131,Curves!$BL$22:$BV$22)</f>
        <v/>
      </c>
      <c r="N133" s="3">
        <f>SUMPRODUCT(React!$C$131:$N$131,Curves!$BK$22:$BV$22)</f>
        <v/>
      </c>
      <c r="O133" s="3">
        <f>SUMPRODUCT(React!$C$131:$O$131,Curves!$BJ$22:$BV$22)</f>
        <v/>
      </c>
      <c r="P133" s="3">
        <f>SUMPRODUCT(React!$C$131:$P$131,Curves!$BI$22:$BV$22)</f>
        <v/>
      </c>
      <c r="Q133" s="3">
        <f>SUMPRODUCT(React!$C$131:$Q$131,Curves!$BH$22:$BV$22)</f>
        <v/>
      </c>
      <c r="R133" s="3">
        <f>SUMPRODUCT(React!$C$131:$R$131,Curves!$BG$22:$BV$22)</f>
        <v/>
      </c>
      <c r="S133" s="3">
        <f>SUMPRODUCT(React!$C$131:$S$131,Curves!$BF$22:$BV$22)</f>
        <v/>
      </c>
      <c r="T133" s="3">
        <f>SUMPRODUCT(React!$C$131:$T$131,Curves!$BE$22:$BV$22)</f>
        <v/>
      </c>
      <c r="U133" s="3">
        <f>SUMPRODUCT(React!$C$131:$U$131,Curves!$BD$22:$BV$22)</f>
        <v/>
      </c>
      <c r="V133" s="3">
        <f>SUMPRODUCT(React!$C$131:$V$131,Curves!$BC$22:$BV$22)</f>
        <v/>
      </c>
      <c r="W133" s="3">
        <f>SUMPRODUCT(React!$C$131:$W$131,Curves!$BB$22:$BV$22)</f>
        <v/>
      </c>
      <c r="X133" s="3">
        <f>SUMPRODUCT(React!$C$131:$X$131,Curves!$BA$22:$BV$22)</f>
        <v/>
      </c>
      <c r="Y133" s="3">
        <f>SUMPRODUCT(React!$C$131:$Y$131,Curves!$AZ$22:$BV$22)</f>
        <v/>
      </c>
      <c r="Z133" s="3">
        <f>SUMPRODUCT(React!$C$131:$Z$131,Curves!$AY$22:$BV$22)</f>
        <v/>
      </c>
      <c r="AA133" s="3">
        <f>SUMPRODUCT(React!$C$131:$AA$131,Curves!$AX$22:$BV$22)</f>
        <v/>
      </c>
      <c r="AB133" s="3">
        <f>SUMPRODUCT(React!$C$131:$AB$131,Curves!$AW$22:$BV$22)</f>
        <v/>
      </c>
      <c r="AC133" s="3">
        <f>SUMPRODUCT(React!$C$131:$AC$131,Curves!$AV$22:$BV$22)</f>
        <v/>
      </c>
      <c r="AD133" s="3">
        <f>SUMPRODUCT(React!$C$131:$AD$131,Curves!$AU$22:$BV$22)</f>
        <v/>
      </c>
      <c r="AE133" s="3">
        <f>SUMPRODUCT(React!$C$131:$AE$131,Curves!$AT$22:$BV$22)</f>
        <v/>
      </c>
      <c r="AF133" s="3">
        <f>SUMPRODUCT(React!$C$131:$AF$131,Curves!$AS$22:$BV$22)</f>
        <v/>
      </c>
      <c r="AG133" s="3">
        <f>SUMPRODUCT(React!$C$131:$AG$131,Curves!$AR$22:$BV$22)</f>
        <v/>
      </c>
      <c r="AH133" s="3">
        <f>SUMPRODUCT(React!$C$131:$AH$131,Curves!$AQ$22:$BV$22)</f>
        <v/>
      </c>
      <c r="AI133" s="3">
        <f>SUMPRODUCT(React!$C$131:$AI$131,Curves!$AP$22:$BV$22)</f>
        <v/>
      </c>
      <c r="AJ133" s="3">
        <f>SUMPRODUCT(React!$C$131:$AJ$131,Curves!$AO$22:$BV$22)</f>
        <v/>
      </c>
      <c r="AK133" s="3">
        <f>SUMPRODUCT(React!$C$131:$AK$131,Curves!$AN$22:$BV$22)</f>
        <v/>
      </c>
      <c r="AL133" s="3">
        <f>SUMPRODUCT(React!$C$131:$AL$131,Curves!$AM$22:$BV$22)</f>
        <v/>
      </c>
      <c r="AM133" s="3">
        <f>SUMPRODUCT(React!$C$131:$AM$131,Curves!$AL$22:$BV$22)</f>
        <v/>
      </c>
      <c r="AN133" s="3">
        <f>SUMPRODUCT(React!$C$131:$AN$131,Curves!$AK$22:$BV$22)</f>
        <v/>
      </c>
      <c r="AO133" s="3">
        <f>SUMPRODUCT(React!$C$131:$AO$131,Curves!$AJ$22:$BV$22)</f>
        <v/>
      </c>
      <c r="AP133" s="3">
        <f>SUMPRODUCT(React!$C$131:$AP$131,Curves!$AI$22:$BV$22)</f>
        <v/>
      </c>
      <c r="AQ133" s="3">
        <f>SUMPRODUCT(React!$C$131:$AQ$131,Curves!$AH$22:$BV$22)</f>
        <v/>
      </c>
      <c r="AR133" s="3">
        <f>SUMPRODUCT(React!$C$131:$AR$131,Curves!$AG$22:$BV$22)</f>
        <v/>
      </c>
      <c r="AS133" s="3">
        <f>SUMPRODUCT(React!$C$131:$AS$131,Curves!$AF$22:$BV$22)</f>
        <v/>
      </c>
      <c r="AT133" s="3">
        <f>SUMPRODUCT(React!$C$131:$AT$131,Curves!$AE$22:$BV$22)</f>
        <v/>
      </c>
      <c r="AU133" s="3">
        <f>SUMPRODUCT(React!$C$131:$AU$131,Curves!$AD$22:$BV$22)</f>
        <v/>
      </c>
      <c r="AV133" s="3">
        <f>SUMPRODUCT(React!$C$131:$AV$131,Curves!$AC$22:$BV$22)</f>
        <v/>
      </c>
      <c r="AW133" s="3">
        <f>SUMPRODUCT(React!$C$131:$AW$131,Curves!$AB$22:$BV$22)</f>
        <v/>
      </c>
      <c r="AX133" s="3">
        <f>SUMPRODUCT(React!$C$131:$AX$131,Curves!$AA$22:$BV$22)</f>
        <v/>
      </c>
      <c r="AY133" s="3">
        <f>SUMPRODUCT(React!$C$131:$AY$131,Curves!$Z$22:$BV$22)</f>
        <v/>
      </c>
      <c r="AZ133" s="3">
        <f>SUMPRODUCT(React!$C$131:$AZ$131,Curves!$Y$22:$BV$22)</f>
        <v/>
      </c>
      <c r="BA133" s="3">
        <f>SUMPRODUCT(React!$C$131:$BA$131,Curves!$X$22:$BV$22)</f>
        <v/>
      </c>
      <c r="BB133" s="3">
        <f>SUMPRODUCT(React!$C$131:$BB$131,Curves!$W$22:$BV$22)</f>
        <v/>
      </c>
      <c r="BC133" s="3">
        <f>SUMPRODUCT(React!$C$131:$BC$131,Curves!$V$22:$BV$22)</f>
        <v/>
      </c>
      <c r="BD133" s="3">
        <f>SUMPRODUCT(React!$C$131:$BD$131,Curves!$U$22:$BV$22)</f>
        <v/>
      </c>
      <c r="BE133" s="3">
        <f>SUMPRODUCT(React!$C$131:$BE$131,Curves!$T$22:$BV$22)</f>
        <v/>
      </c>
      <c r="BF133" s="3">
        <f>SUMPRODUCT(React!$C$131:$BF$131,Curves!$S$22:$BV$22)</f>
        <v/>
      </c>
      <c r="BG133" s="3">
        <f>SUMPRODUCT(React!$C$131:$BG$131,Curves!$R$22:$BV$22)</f>
        <v/>
      </c>
      <c r="BH133" s="3">
        <f>SUMPRODUCT(React!$C$131:$BH$131,Curves!$Q$22:$BV$22)</f>
        <v/>
      </c>
      <c r="BI133" s="3">
        <f>SUMPRODUCT(React!$C$131:$BI$131,Curves!$P$22:$BV$22)</f>
        <v/>
      </c>
      <c r="BJ133" s="3">
        <f>SUMPRODUCT(React!$C$131:$BJ$131,Curves!$O$22:$BV$22)</f>
        <v/>
      </c>
      <c r="BK133" s="3">
        <f>SUMPRODUCT(React!$C$131:$BK$131,Curves!$N$22:$BV$22)</f>
        <v/>
      </c>
      <c r="BL133" s="3">
        <f>SUMPRODUCT(React!$C$131:$BL$131,Curves!$M$22:$BV$22)</f>
        <v/>
      </c>
      <c r="BM133" s="3">
        <f>SUMPRODUCT(React!$C$131:$BM$131,Curves!$L$22:$BV$22)</f>
        <v/>
      </c>
      <c r="BN133" s="3">
        <f>SUMPRODUCT(React!$C$131:$BN$131,Curves!$K$22:$BV$22)</f>
        <v/>
      </c>
      <c r="BO133" s="3">
        <f>SUMPRODUCT(React!$C$131:$BO$131,Curves!$J$22:$BV$22)</f>
        <v/>
      </c>
      <c r="BP133" s="3">
        <f>SUMPRODUCT(React!$C$131:$BP$131,Curves!$I$22:$BV$22)</f>
        <v/>
      </c>
      <c r="BQ133" s="3">
        <f>SUMPRODUCT(React!$C$131:$BQ$131,Curves!$H$22:$BV$22)</f>
        <v/>
      </c>
      <c r="BR133" s="3">
        <f>SUMPRODUCT(React!$C$131:$BR$131,Curves!$G$22:$BV$22)</f>
        <v/>
      </c>
      <c r="BS133" s="3">
        <f>SUMPRODUCT(React!$C$131:$BS$131,Curves!$F$22:$BV$22)</f>
        <v/>
      </c>
      <c r="BT133" s="3">
        <f>SUMPRODUCT(React!$C$131:$BT$131,Curves!$E$22:$BV$22)</f>
        <v/>
      </c>
      <c r="BU133" s="3">
        <f>SUMPRODUCT(React!$C$131:$BU$131,Curves!$D$22:$BV$22)</f>
        <v/>
      </c>
      <c r="BV133" s="3">
        <f>SUMPRODUCT(React!$C$131:$BV$131,Curves!$C$22:$BV$22)</f>
        <v/>
      </c>
    </row>
    <row r="134">
      <c r="A134" t="inlineStr">
        <is>
          <t>churned</t>
        </is>
      </c>
      <c r="B134" t="inlineStr">
        <is>
          <t>ROW|BASIC_M</t>
        </is>
      </c>
      <c r="C134" s="3">
        <f>React!$C$131*Curves!$BV$18</f>
        <v/>
      </c>
      <c r="D134" s="3">
        <f>SUMPRODUCT(React!$C$131:$D$131,Curves!$BU$18:$BV$18)</f>
        <v/>
      </c>
      <c r="E134" s="3">
        <f>SUMPRODUCT(React!$C$131:$E$131,Curves!$BT$18:$BV$18)</f>
        <v/>
      </c>
      <c r="F134" s="3">
        <f>SUMPRODUCT(React!$C$131:$F$131,Curves!$BS$18:$BV$18)</f>
        <v/>
      </c>
      <c r="G134" s="3">
        <f>SUMPRODUCT(React!$C$131:$G$131,Curves!$BR$18:$BV$18)</f>
        <v/>
      </c>
      <c r="H134" s="3">
        <f>SUMPRODUCT(React!$C$131:$H$131,Curves!$BQ$18:$BV$18)</f>
        <v/>
      </c>
      <c r="I134" s="3">
        <f>SUMPRODUCT(React!$C$131:$I$131,Curves!$BP$18:$BV$18)</f>
        <v/>
      </c>
      <c r="J134" s="3">
        <f>SUMPRODUCT(React!$C$131:$J$131,Curves!$BO$18:$BV$18)</f>
        <v/>
      </c>
      <c r="K134" s="3">
        <f>SUMPRODUCT(React!$C$131:$K$131,Curves!$BN$18:$BV$18)</f>
        <v/>
      </c>
      <c r="L134" s="3">
        <f>SUMPRODUCT(React!$C$131:$L$131,Curves!$BM$18:$BV$18)</f>
        <v/>
      </c>
      <c r="M134" s="3">
        <f>SUMPRODUCT(React!$C$131:$M$131,Curves!$BL$18:$BV$18)</f>
        <v/>
      </c>
      <c r="N134" s="3">
        <f>SUMPRODUCT(React!$C$131:$N$131,Curves!$BK$18:$BV$18)</f>
        <v/>
      </c>
      <c r="O134" s="3">
        <f>SUMPRODUCT(React!$C$131:$O$131,Curves!$BJ$18:$BV$18)</f>
        <v/>
      </c>
      <c r="P134" s="3">
        <f>SUMPRODUCT(React!$C$131:$P$131,Curves!$BI$18:$BV$18)</f>
        <v/>
      </c>
      <c r="Q134" s="3">
        <f>SUMPRODUCT(React!$C$131:$Q$131,Curves!$BH$18:$BV$18)</f>
        <v/>
      </c>
      <c r="R134" s="3">
        <f>SUMPRODUCT(React!$C$131:$R$131,Curves!$BG$18:$BV$18)</f>
        <v/>
      </c>
      <c r="S134" s="3">
        <f>SUMPRODUCT(React!$C$131:$S$131,Curves!$BF$18:$BV$18)</f>
        <v/>
      </c>
      <c r="T134" s="3">
        <f>SUMPRODUCT(React!$C$131:$T$131,Curves!$BE$18:$BV$18)</f>
        <v/>
      </c>
      <c r="U134" s="3">
        <f>SUMPRODUCT(React!$C$131:$U$131,Curves!$BD$18:$BV$18)</f>
        <v/>
      </c>
      <c r="V134" s="3">
        <f>SUMPRODUCT(React!$C$131:$V$131,Curves!$BC$18:$BV$18)</f>
        <v/>
      </c>
      <c r="W134" s="3">
        <f>SUMPRODUCT(React!$C$131:$W$131,Curves!$BB$18:$BV$18)</f>
        <v/>
      </c>
      <c r="X134" s="3">
        <f>SUMPRODUCT(React!$C$131:$X$131,Curves!$BA$18:$BV$18)</f>
        <v/>
      </c>
      <c r="Y134" s="3">
        <f>SUMPRODUCT(React!$C$131:$Y$131,Curves!$AZ$18:$BV$18)</f>
        <v/>
      </c>
      <c r="Z134" s="3">
        <f>SUMPRODUCT(React!$C$131:$Z$131,Curves!$AY$18:$BV$18)</f>
        <v/>
      </c>
      <c r="AA134" s="3">
        <f>SUMPRODUCT(React!$C$131:$AA$131,Curves!$AX$18:$BV$18)</f>
        <v/>
      </c>
      <c r="AB134" s="3">
        <f>SUMPRODUCT(React!$C$131:$AB$131,Curves!$AW$18:$BV$18)</f>
        <v/>
      </c>
      <c r="AC134" s="3">
        <f>SUMPRODUCT(React!$C$131:$AC$131,Curves!$AV$18:$BV$18)</f>
        <v/>
      </c>
      <c r="AD134" s="3">
        <f>SUMPRODUCT(React!$C$131:$AD$131,Curves!$AU$18:$BV$18)</f>
        <v/>
      </c>
      <c r="AE134" s="3">
        <f>SUMPRODUCT(React!$C$131:$AE$131,Curves!$AT$18:$BV$18)</f>
        <v/>
      </c>
      <c r="AF134" s="3">
        <f>SUMPRODUCT(React!$C$131:$AF$131,Curves!$AS$18:$BV$18)</f>
        <v/>
      </c>
      <c r="AG134" s="3">
        <f>SUMPRODUCT(React!$C$131:$AG$131,Curves!$AR$18:$BV$18)</f>
        <v/>
      </c>
      <c r="AH134" s="3">
        <f>SUMPRODUCT(React!$C$131:$AH$131,Curves!$AQ$18:$BV$18)</f>
        <v/>
      </c>
      <c r="AI134" s="3">
        <f>SUMPRODUCT(React!$C$131:$AI$131,Curves!$AP$18:$BV$18)</f>
        <v/>
      </c>
      <c r="AJ134" s="3">
        <f>SUMPRODUCT(React!$C$131:$AJ$131,Curves!$AO$18:$BV$18)</f>
        <v/>
      </c>
      <c r="AK134" s="3">
        <f>SUMPRODUCT(React!$C$131:$AK$131,Curves!$AN$18:$BV$18)</f>
        <v/>
      </c>
      <c r="AL134" s="3">
        <f>SUMPRODUCT(React!$C$131:$AL$131,Curves!$AM$18:$BV$18)</f>
        <v/>
      </c>
      <c r="AM134" s="3">
        <f>SUMPRODUCT(React!$C$131:$AM$131,Curves!$AL$18:$BV$18)</f>
        <v/>
      </c>
      <c r="AN134" s="3">
        <f>SUMPRODUCT(React!$C$131:$AN$131,Curves!$AK$18:$BV$18)</f>
        <v/>
      </c>
      <c r="AO134" s="3">
        <f>SUMPRODUCT(React!$C$131:$AO$131,Curves!$AJ$18:$BV$18)</f>
        <v/>
      </c>
      <c r="AP134" s="3">
        <f>SUMPRODUCT(React!$C$131:$AP$131,Curves!$AI$18:$BV$18)</f>
        <v/>
      </c>
      <c r="AQ134" s="3">
        <f>SUMPRODUCT(React!$C$131:$AQ$131,Curves!$AH$18:$BV$18)</f>
        <v/>
      </c>
      <c r="AR134" s="3">
        <f>SUMPRODUCT(React!$C$131:$AR$131,Curves!$AG$18:$BV$18)</f>
        <v/>
      </c>
      <c r="AS134" s="3">
        <f>SUMPRODUCT(React!$C$131:$AS$131,Curves!$AF$18:$BV$18)</f>
        <v/>
      </c>
      <c r="AT134" s="3">
        <f>SUMPRODUCT(React!$C$131:$AT$131,Curves!$AE$18:$BV$18)</f>
        <v/>
      </c>
      <c r="AU134" s="3">
        <f>SUMPRODUCT(React!$C$131:$AU$131,Curves!$AD$18:$BV$18)</f>
        <v/>
      </c>
      <c r="AV134" s="3">
        <f>SUMPRODUCT(React!$C$131:$AV$131,Curves!$AC$18:$BV$18)</f>
        <v/>
      </c>
      <c r="AW134" s="3">
        <f>SUMPRODUCT(React!$C$131:$AW$131,Curves!$AB$18:$BV$18)</f>
        <v/>
      </c>
      <c r="AX134" s="3">
        <f>SUMPRODUCT(React!$C$131:$AX$131,Curves!$AA$18:$BV$18)</f>
        <v/>
      </c>
      <c r="AY134" s="3">
        <f>SUMPRODUCT(React!$C$131:$AY$131,Curves!$Z$18:$BV$18)</f>
        <v/>
      </c>
      <c r="AZ134" s="3">
        <f>SUMPRODUCT(React!$C$131:$AZ$131,Curves!$Y$18:$BV$18)</f>
        <v/>
      </c>
      <c r="BA134" s="3">
        <f>SUMPRODUCT(React!$C$131:$BA$131,Curves!$X$18:$BV$18)</f>
        <v/>
      </c>
      <c r="BB134" s="3">
        <f>SUMPRODUCT(React!$C$131:$BB$131,Curves!$W$18:$BV$18)</f>
        <v/>
      </c>
      <c r="BC134" s="3">
        <f>SUMPRODUCT(React!$C$131:$BC$131,Curves!$V$18:$BV$18)</f>
        <v/>
      </c>
      <c r="BD134" s="3">
        <f>SUMPRODUCT(React!$C$131:$BD$131,Curves!$U$18:$BV$18)</f>
        <v/>
      </c>
      <c r="BE134" s="3">
        <f>SUMPRODUCT(React!$C$131:$BE$131,Curves!$T$18:$BV$18)</f>
        <v/>
      </c>
      <c r="BF134" s="3">
        <f>SUMPRODUCT(React!$C$131:$BF$131,Curves!$S$18:$BV$18)</f>
        <v/>
      </c>
      <c r="BG134" s="3">
        <f>SUMPRODUCT(React!$C$131:$BG$131,Curves!$R$18:$BV$18)</f>
        <v/>
      </c>
      <c r="BH134" s="3">
        <f>SUMPRODUCT(React!$C$131:$BH$131,Curves!$Q$18:$BV$18)</f>
        <v/>
      </c>
      <c r="BI134" s="3">
        <f>SUMPRODUCT(React!$C$131:$BI$131,Curves!$P$18:$BV$18)</f>
        <v/>
      </c>
      <c r="BJ134" s="3">
        <f>SUMPRODUCT(React!$C$131:$BJ$131,Curves!$O$18:$BV$18)</f>
        <v/>
      </c>
      <c r="BK134" s="3">
        <f>SUMPRODUCT(React!$C$131:$BK$131,Curves!$N$18:$BV$18)</f>
        <v/>
      </c>
      <c r="BL134" s="3">
        <f>SUMPRODUCT(React!$C$131:$BL$131,Curves!$M$18:$BV$18)</f>
        <v/>
      </c>
      <c r="BM134" s="3">
        <f>SUMPRODUCT(React!$C$131:$BM$131,Curves!$L$18:$BV$18)</f>
        <v/>
      </c>
      <c r="BN134" s="3">
        <f>SUMPRODUCT(React!$C$131:$BN$131,Curves!$K$18:$BV$18)</f>
        <v/>
      </c>
      <c r="BO134" s="3">
        <f>SUMPRODUCT(React!$C$131:$BO$131,Curves!$J$18:$BV$18)</f>
        <v/>
      </c>
      <c r="BP134" s="3">
        <f>SUMPRODUCT(React!$C$131:$BP$131,Curves!$I$18:$BV$18)</f>
        <v/>
      </c>
      <c r="BQ134" s="3">
        <f>SUMPRODUCT(React!$C$131:$BQ$131,Curves!$H$18:$BV$18)</f>
        <v/>
      </c>
      <c r="BR134" s="3">
        <f>SUMPRODUCT(React!$C$131:$BR$131,Curves!$G$18:$BV$18)</f>
        <v/>
      </c>
      <c r="BS134" s="3">
        <f>SUMPRODUCT(React!$C$131:$BS$131,Curves!$F$18:$BV$18)</f>
        <v/>
      </c>
      <c r="BT134" s="3">
        <f>SUMPRODUCT(React!$C$131:$BT$131,Curves!$E$18:$BV$18)</f>
        <v/>
      </c>
      <c r="BU134" s="3">
        <f>SUMPRODUCT(React!$C$131:$BU$131,Curves!$D$18:$BV$18)</f>
        <v/>
      </c>
      <c r="BV134" s="3">
        <f>SUMPRODUCT(React!$C$131:$BV$131,Curves!$C$18:$BV$18)</f>
        <v/>
      </c>
    </row>
    <row r="136">
      <c r="A136" t="inlineStr">
        <is>
          <t>churn pool inflow</t>
        </is>
      </c>
      <c r="B136" t="inlineStr">
        <is>
          <t>ROW|BASIC_A</t>
        </is>
      </c>
      <c r="C136" s="3">
        <f>Paid!C81+Legacy!C83</f>
        <v/>
      </c>
      <c r="D136" s="3">
        <f>Paid!D81+Legacy!D83</f>
        <v/>
      </c>
      <c r="E136" s="3">
        <f>Paid!E81+Legacy!E83</f>
        <v/>
      </c>
      <c r="F136" s="3">
        <f>Paid!F81+Legacy!F83</f>
        <v/>
      </c>
      <c r="G136" s="3">
        <f>Paid!G81+Legacy!G83</f>
        <v/>
      </c>
      <c r="H136" s="3">
        <f>Paid!H81+Legacy!H83</f>
        <v/>
      </c>
      <c r="I136" s="3">
        <f>Paid!I81+Legacy!I83</f>
        <v/>
      </c>
      <c r="J136" s="3">
        <f>Paid!J81+Legacy!J83</f>
        <v/>
      </c>
      <c r="K136" s="3">
        <f>Paid!K81+Legacy!K83</f>
        <v/>
      </c>
      <c r="L136" s="3">
        <f>Paid!L81+Legacy!L83</f>
        <v/>
      </c>
      <c r="M136" s="3">
        <f>Paid!M81+Legacy!M83</f>
        <v/>
      </c>
      <c r="N136" s="3">
        <f>Paid!N81+Legacy!N83</f>
        <v/>
      </c>
      <c r="O136" s="3">
        <f>Paid!O81+Legacy!O83</f>
        <v/>
      </c>
      <c r="P136" s="3">
        <f>Paid!P81+Legacy!P83</f>
        <v/>
      </c>
      <c r="Q136" s="3">
        <f>Paid!Q81+Legacy!Q83</f>
        <v/>
      </c>
      <c r="R136" s="3">
        <f>Paid!R81+Legacy!R83</f>
        <v/>
      </c>
      <c r="S136" s="3">
        <f>Paid!S81+Legacy!S83</f>
        <v/>
      </c>
      <c r="T136" s="3">
        <f>Paid!T81+Legacy!T83</f>
        <v/>
      </c>
      <c r="U136" s="3">
        <f>Paid!U81+Legacy!U83</f>
        <v/>
      </c>
      <c r="V136" s="3">
        <f>Paid!V81+Legacy!V83</f>
        <v/>
      </c>
      <c r="W136" s="3">
        <f>Paid!W81+Legacy!W83</f>
        <v/>
      </c>
      <c r="X136" s="3">
        <f>Paid!X81+Legacy!X83</f>
        <v/>
      </c>
      <c r="Y136" s="3">
        <f>Paid!Y81+Legacy!Y83</f>
        <v/>
      </c>
      <c r="Z136" s="3">
        <f>Paid!Z81+Legacy!Z83</f>
        <v/>
      </c>
      <c r="AA136" s="3">
        <f>Paid!AA81+Legacy!AA83</f>
        <v/>
      </c>
      <c r="AB136" s="3">
        <f>Paid!AB81+Legacy!AB83</f>
        <v/>
      </c>
      <c r="AC136" s="3">
        <f>Paid!AC81+Legacy!AC83</f>
        <v/>
      </c>
      <c r="AD136" s="3">
        <f>Paid!AD81+Legacy!AD83</f>
        <v/>
      </c>
      <c r="AE136" s="3">
        <f>Paid!AE81+Legacy!AE83</f>
        <v/>
      </c>
      <c r="AF136" s="3">
        <f>Paid!AF81+Legacy!AF83</f>
        <v/>
      </c>
      <c r="AG136" s="3">
        <f>Paid!AG81+Legacy!AG83</f>
        <v/>
      </c>
      <c r="AH136" s="3">
        <f>Paid!AH81+Legacy!AH83</f>
        <v/>
      </c>
      <c r="AI136" s="3">
        <f>Paid!AI81+Legacy!AI83</f>
        <v/>
      </c>
      <c r="AJ136" s="3">
        <f>Paid!AJ81+Legacy!AJ83</f>
        <v/>
      </c>
      <c r="AK136" s="3">
        <f>Paid!AK81+Legacy!AK83</f>
        <v/>
      </c>
      <c r="AL136" s="3">
        <f>Paid!AL81+Legacy!AL83</f>
        <v/>
      </c>
      <c r="AM136" s="3">
        <f>Paid!AM81+Legacy!AM83</f>
        <v/>
      </c>
      <c r="AN136" s="3">
        <f>Paid!AN81+Legacy!AN83</f>
        <v/>
      </c>
      <c r="AO136" s="3">
        <f>Paid!AO81+Legacy!AO83</f>
        <v/>
      </c>
      <c r="AP136" s="3">
        <f>Paid!AP81+Legacy!AP83</f>
        <v/>
      </c>
      <c r="AQ136" s="3">
        <f>Paid!AQ81+Legacy!AQ83</f>
        <v/>
      </c>
      <c r="AR136" s="3">
        <f>Paid!AR81+Legacy!AR83</f>
        <v/>
      </c>
      <c r="AS136" s="3">
        <f>Paid!AS81+Legacy!AS83</f>
        <v/>
      </c>
      <c r="AT136" s="3">
        <f>Paid!AT81+Legacy!AT83</f>
        <v/>
      </c>
      <c r="AU136" s="3">
        <f>Paid!AU81+Legacy!AU83</f>
        <v/>
      </c>
      <c r="AV136" s="3">
        <f>Paid!AV81+Legacy!AV83</f>
        <v/>
      </c>
      <c r="AW136" s="3">
        <f>Paid!AW81+Legacy!AW83</f>
        <v/>
      </c>
      <c r="AX136" s="3">
        <f>Paid!AX81+Legacy!AX83</f>
        <v/>
      </c>
      <c r="AY136" s="3">
        <f>Paid!AY81+Legacy!AY83</f>
        <v/>
      </c>
      <c r="AZ136" s="3">
        <f>Paid!AZ81+Legacy!AZ83</f>
        <v/>
      </c>
      <c r="BA136" s="3">
        <f>Paid!BA81+Legacy!BA83</f>
        <v/>
      </c>
      <c r="BB136" s="3">
        <f>Paid!BB81+Legacy!BB83</f>
        <v/>
      </c>
      <c r="BC136" s="3">
        <f>Paid!BC81+Legacy!BC83</f>
        <v/>
      </c>
      <c r="BD136" s="3">
        <f>Paid!BD81+Legacy!BD83</f>
        <v/>
      </c>
      <c r="BE136" s="3">
        <f>Paid!BE81+Legacy!BE83</f>
        <v/>
      </c>
      <c r="BF136" s="3">
        <f>Paid!BF81+Legacy!BF83</f>
        <v/>
      </c>
      <c r="BG136" s="3">
        <f>Paid!BG81+Legacy!BG83</f>
        <v/>
      </c>
      <c r="BH136" s="3">
        <f>Paid!BH81+Legacy!BH83</f>
        <v/>
      </c>
      <c r="BI136" s="3">
        <f>Paid!BI81+Legacy!BI83</f>
        <v/>
      </c>
      <c r="BJ136" s="3">
        <f>Paid!BJ81+Legacy!BJ83</f>
        <v/>
      </c>
      <c r="BK136" s="3">
        <f>Paid!BK81+Legacy!BK83</f>
        <v/>
      </c>
      <c r="BL136" s="3">
        <f>Paid!BL81+Legacy!BL83</f>
        <v/>
      </c>
      <c r="BM136" s="3">
        <f>Paid!BM81+Legacy!BM83</f>
        <v/>
      </c>
      <c r="BN136" s="3">
        <f>Paid!BN81+Legacy!BN83</f>
        <v/>
      </c>
      <c r="BO136" s="3">
        <f>Paid!BO81+Legacy!BO83</f>
        <v/>
      </c>
      <c r="BP136" s="3">
        <f>Paid!BP81+Legacy!BP83</f>
        <v/>
      </c>
      <c r="BQ136" s="3">
        <f>Paid!BQ81+Legacy!BQ83</f>
        <v/>
      </c>
      <c r="BR136" s="3">
        <f>Paid!BR81+Legacy!BR83</f>
        <v/>
      </c>
      <c r="BS136" s="3">
        <f>Paid!BS81+Legacy!BS83</f>
        <v/>
      </c>
      <c r="BT136" s="3">
        <f>Paid!BT81+Legacy!BT83</f>
        <v/>
      </c>
      <c r="BU136" s="3">
        <f>Paid!BU81+Legacy!BU83</f>
        <v/>
      </c>
      <c r="BV136" s="3">
        <f>Paid!BV81+Legacy!BV83</f>
        <v/>
      </c>
    </row>
    <row r="137">
      <c r="A137" t="inlineStr">
        <is>
          <t>reactivations out</t>
        </is>
      </c>
      <c r="B137" t="inlineStr">
        <is>
          <t>ROW|BASIC_A</t>
        </is>
      </c>
      <c r="C137" s="3">
        <f>React!$C$136*Curves!$BV$19</f>
        <v/>
      </c>
      <c r="D137" s="3">
        <f>SUMPRODUCT(React!$C$136:$D$136,Curves!$BU$19:$BV$19)</f>
        <v/>
      </c>
      <c r="E137" s="3">
        <f>SUMPRODUCT(React!$C$136:$E$136,Curves!$BT$19:$BV$19)</f>
        <v/>
      </c>
      <c r="F137" s="3">
        <f>SUMPRODUCT(React!$C$136:$F$136,Curves!$BS$19:$BV$19)</f>
        <v/>
      </c>
      <c r="G137" s="3">
        <f>SUMPRODUCT(React!$C$136:$G$136,Curves!$BR$19:$BV$19)</f>
        <v/>
      </c>
      <c r="H137" s="3">
        <f>SUMPRODUCT(React!$C$136:$H$136,Curves!$BQ$19:$BV$19)</f>
        <v/>
      </c>
      <c r="I137" s="3">
        <f>SUMPRODUCT(React!$C$136:$I$136,Curves!$BP$19:$BV$19)</f>
        <v/>
      </c>
      <c r="J137" s="3">
        <f>SUMPRODUCT(React!$C$136:$J$136,Curves!$BO$19:$BV$19)</f>
        <v/>
      </c>
      <c r="K137" s="3">
        <f>SUMPRODUCT(React!$C$136:$K$136,Curves!$BN$19:$BV$19)</f>
        <v/>
      </c>
      <c r="L137" s="3">
        <f>SUMPRODUCT(React!$C$136:$L$136,Curves!$BM$19:$BV$19)</f>
        <v/>
      </c>
      <c r="M137" s="3">
        <f>SUMPRODUCT(React!$C$136:$M$136,Curves!$BL$19:$BV$19)</f>
        <v/>
      </c>
      <c r="N137" s="3">
        <f>SUMPRODUCT(React!$C$136:$N$136,Curves!$BK$19:$BV$19)</f>
        <v/>
      </c>
      <c r="O137" s="3">
        <f>SUMPRODUCT(React!$C$136:$O$136,Curves!$BJ$19:$BV$19)</f>
        <v/>
      </c>
      <c r="P137" s="3">
        <f>SUMPRODUCT(React!$C$136:$P$136,Curves!$BI$19:$BV$19)</f>
        <v/>
      </c>
      <c r="Q137" s="3">
        <f>SUMPRODUCT(React!$C$136:$Q$136,Curves!$BH$19:$BV$19)</f>
        <v/>
      </c>
      <c r="R137" s="3">
        <f>SUMPRODUCT(React!$C$136:$R$136,Curves!$BG$19:$BV$19)</f>
        <v/>
      </c>
      <c r="S137" s="3">
        <f>SUMPRODUCT(React!$C$136:$S$136,Curves!$BF$19:$BV$19)</f>
        <v/>
      </c>
      <c r="T137" s="3">
        <f>SUMPRODUCT(React!$C$136:$T$136,Curves!$BE$19:$BV$19)</f>
        <v/>
      </c>
      <c r="U137" s="3">
        <f>SUMPRODUCT(React!$C$136:$U$136,Curves!$BD$19:$BV$19)</f>
        <v/>
      </c>
      <c r="V137" s="3">
        <f>SUMPRODUCT(React!$C$136:$V$136,Curves!$BC$19:$BV$19)</f>
        <v/>
      </c>
      <c r="W137" s="3">
        <f>SUMPRODUCT(React!$C$136:$W$136,Curves!$BB$19:$BV$19)</f>
        <v/>
      </c>
      <c r="X137" s="3">
        <f>SUMPRODUCT(React!$C$136:$X$136,Curves!$BA$19:$BV$19)</f>
        <v/>
      </c>
      <c r="Y137" s="3">
        <f>SUMPRODUCT(React!$C$136:$Y$136,Curves!$AZ$19:$BV$19)</f>
        <v/>
      </c>
      <c r="Z137" s="3">
        <f>SUMPRODUCT(React!$C$136:$Z$136,Curves!$AY$19:$BV$19)</f>
        <v/>
      </c>
      <c r="AA137" s="3">
        <f>SUMPRODUCT(React!$C$136:$AA$136,Curves!$AX$19:$BV$19)</f>
        <v/>
      </c>
      <c r="AB137" s="3">
        <f>SUMPRODUCT(React!$C$136:$AB$136,Curves!$AW$19:$BV$19)</f>
        <v/>
      </c>
      <c r="AC137" s="3">
        <f>SUMPRODUCT(React!$C$136:$AC$136,Curves!$AV$19:$BV$19)</f>
        <v/>
      </c>
      <c r="AD137" s="3">
        <f>SUMPRODUCT(React!$C$136:$AD$136,Curves!$AU$19:$BV$19)</f>
        <v/>
      </c>
      <c r="AE137" s="3">
        <f>SUMPRODUCT(React!$C$136:$AE$136,Curves!$AT$19:$BV$19)</f>
        <v/>
      </c>
      <c r="AF137" s="3">
        <f>SUMPRODUCT(React!$C$136:$AF$136,Curves!$AS$19:$BV$19)</f>
        <v/>
      </c>
      <c r="AG137" s="3">
        <f>SUMPRODUCT(React!$C$136:$AG$136,Curves!$AR$19:$BV$19)</f>
        <v/>
      </c>
      <c r="AH137" s="3">
        <f>SUMPRODUCT(React!$C$136:$AH$136,Curves!$AQ$19:$BV$19)</f>
        <v/>
      </c>
      <c r="AI137" s="3">
        <f>SUMPRODUCT(React!$C$136:$AI$136,Curves!$AP$19:$BV$19)</f>
        <v/>
      </c>
      <c r="AJ137" s="3">
        <f>SUMPRODUCT(React!$C$136:$AJ$136,Curves!$AO$19:$BV$19)</f>
        <v/>
      </c>
      <c r="AK137" s="3">
        <f>SUMPRODUCT(React!$C$136:$AK$136,Curves!$AN$19:$BV$19)</f>
        <v/>
      </c>
      <c r="AL137" s="3">
        <f>SUMPRODUCT(React!$C$136:$AL$136,Curves!$AM$19:$BV$19)</f>
        <v/>
      </c>
      <c r="AM137" s="3">
        <f>SUMPRODUCT(React!$C$136:$AM$136,Curves!$AL$19:$BV$19)</f>
        <v/>
      </c>
      <c r="AN137" s="3">
        <f>SUMPRODUCT(React!$C$136:$AN$136,Curves!$AK$19:$BV$19)</f>
        <v/>
      </c>
      <c r="AO137" s="3">
        <f>SUMPRODUCT(React!$C$136:$AO$136,Curves!$AJ$19:$BV$19)</f>
        <v/>
      </c>
      <c r="AP137" s="3">
        <f>SUMPRODUCT(React!$C$136:$AP$136,Curves!$AI$19:$BV$19)</f>
        <v/>
      </c>
      <c r="AQ137" s="3">
        <f>SUMPRODUCT(React!$C$136:$AQ$136,Curves!$AH$19:$BV$19)</f>
        <v/>
      </c>
      <c r="AR137" s="3">
        <f>SUMPRODUCT(React!$C$136:$AR$136,Curves!$AG$19:$BV$19)</f>
        <v/>
      </c>
      <c r="AS137" s="3">
        <f>SUMPRODUCT(React!$C$136:$AS$136,Curves!$AF$19:$BV$19)</f>
        <v/>
      </c>
      <c r="AT137" s="3">
        <f>SUMPRODUCT(React!$C$136:$AT$136,Curves!$AE$19:$BV$19)</f>
        <v/>
      </c>
      <c r="AU137" s="3">
        <f>SUMPRODUCT(React!$C$136:$AU$136,Curves!$AD$19:$BV$19)</f>
        <v/>
      </c>
      <c r="AV137" s="3">
        <f>SUMPRODUCT(React!$C$136:$AV$136,Curves!$AC$19:$BV$19)</f>
        <v/>
      </c>
      <c r="AW137" s="3">
        <f>SUMPRODUCT(React!$C$136:$AW$136,Curves!$AB$19:$BV$19)</f>
        <v/>
      </c>
      <c r="AX137" s="3">
        <f>SUMPRODUCT(React!$C$136:$AX$136,Curves!$AA$19:$BV$19)</f>
        <v/>
      </c>
      <c r="AY137" s="3">
        <f>SUMPRODUCT(React!$C$136:$AY$136,Curves!$Z$19:$BV$19)</f>
        <v/>
      </c>
      <c r="AZ137" s="3">
        <f>SUMPRODUCT(React!$C$136:$AZ$136,Curves!$Y$19:$BV$19)</f>
        <v/>
      </c>
      <c r="BA137" s="3">
        <f>SUMPRODUCT(React!$C$136:$BA$136,Curves!$X$19:$BV$19)</f>
        <v/>
      </c>
      <c r="BB137" s="3">
        <f>SUMPRODUCT(React!$C$136:$BB$136,Curves!$W$19:$BV$19)</f>
        <v/>
      </c>
      <c r="BC137" s="3">
        <f>SUMPRODUCT(React!$C$136:$BC$136,Curves!$V$19:$BV$19)</f>
        <v/>
      </c>
      <c r="BD137" s="3">
        <f>SUMPRODUCT(React!$C$136:$BD$136,Curves!$U$19:$BV$19)</f>
        <v/>
      </c>
      <c r="BE137" s="3">
        <f>SUMPRODUCT(React!$C$136:$BE$136,Curves!$T$19:$BV$19)</f>
        <v/>
      </c>
      <c r="BF137" s="3">
        <f>SUMPRODUCT(React!$C$136:$BF$136,Curves!$S$19:$BV$19)</f>
        <v/>
      </c>
      <c r="BG137" s="3">
        <f>SUMPRODUCT(React!$C$136:$BG$136,Curves!$R$19:$BV$19)</f>
        <v/>
      </c>
      <c r="BH137" s="3">
        <f>SUMPRODUCT(React!$C$136:$BH$136,Curves!$Q$19:$BV$19)</f>
        <v/>
      </c>
      <c r="BI137" s="3">
        <f>SUMPRODUCT(React!$C$136:$BI$136,Curves!$P$19:$BV$19)</f>
        <v/>
      </c>
      <c r="BJ137" s="3">
        <f>SUMPRODUCT(React!$C$136:$BJ$136,Curves!$O$19:$BV$19)</f>
        <v/>
      </c>
      <c r="BK137" s="3">
        <f>SUMPRODUCT(React!$C$136:$BK$136,Curves!$N$19:$BV$19)</f>
        <v/>
      </c>
      <c r="BL137" s="3">
        <f>SUMPRODUCT(React!$C$136:$BL$136,Curves!$M$19:$BV$19)</f>
        <v/>
      </c>
      <c r="BM137" s="3">
        <f>SUMPRODUCT(React!$C$136:$BM$136,Curves!$L$19:$BV$19)</f>
        <v/>
      </c>
      <c r="BN137" s="3">
        <f>SUMPRODUCT(React!$C$136:$BN$136,Curves!$K$19:$BV$19)</f>
        <v/>
      </c>
      <c r="BO137" s="3">
        <f>SUMPRODUCT(React!$C$136:$BO$136,Curves!$J$19:$BV$19)</f>
        <v/>
      </c>
      <c r="BP137" s="3">
        <f>SUMPRODUCT(React!$C$136:$BP$136,Curves!$I$19:$BV$19)</f>
        <v/>
      </c>
      <c r="BQ137" s="3">
        <f>SUMPRODUCT(React!$C$136:$BQ$136,Curves!$H$19:$BV$19)</f>
        <v/>
      </c>
      <c r="BR137" s="3">
        <f>SUMPRODUCT(React!$C$136:$BR$136,Curves!$G$19:$BV$19)</f>
        <v/>
      </c>
      <c r="BS137" s="3">
        <f>SUMPRODUCT(React!$C$136:$BS$136,Curves!$F$19:$BV$19)</f>
        <v/>
      </c>
      <c r="BT137" s="3">
        <f>SUMPRODUCT(React!$C$136:$BT$136,Curves!$E$19:$BV$19)</f>
        <v/>
      </c>
      <c r="BU137" s="3">
        <f>SUMPRODUCT(React!$C$136:$BU$136,Curves!$D$19:$BV$19)</f>
        <v/>
      </c>
      <c r="BV137" s="3">
        <f>SUMPRODUCT(React!$C$136:$BV$136,Curves!$C$19:$BV$19)</f>
        <v/>
      </c>
    </row>
    <row r="138">
      <c r="A138" t="inlineStr">
        <is>
          <t>reactivated in</t>
        </is>
      </c>
      <c r="B138" t="inlineStr">
        <is>
          <t>ROW|BASIC_A</t>
        </is>
      </c>
      <c r="C138" s="3">
        <f>0</f>
        <v/>
      </c>
      <c r="D138" s="3">
        <f>0</f>
        <v/>
      </c>
      <c r="E138" s="3">
        <f>0</f>
        <v/>
      </c>
      <c r="F138" s="3">
        <f>0</f>
        <v/>
      </c>
      <c r="G138" s="3">
        <f>0</f>
        <v/>
      </c>
      <c r="H138" s="3">
        <f>0</f>
        <v/>
      </c>
      <c r="I138" s="3">
        <f>0</f>
        <v/>
      </c>
      <c r="J138" s="3">
        <f>0</f>
        <v/>
      </c>
      <c r="K138" s="3">
        <f>0</f>
        <v/>
      </c>
      <c r="L138" s="3">
        <f>0</f>
        <v/>
      </c>
      <c r="M138" s="3">
        <f>0</f>
        <v/>
      </c>
      <c r="N138" s="3">
        <f>0</f>
        <v/>
      </c>
      <c r="O138" s="3">
        <f>0</f>
        <v/>
      </c>
      <c r="P138" s="3">
        <f>0</f>
        <v/>
      </c>
      <c r="Q138" s="3">
        <f>0</f>
        <v/>
      </c>
      <c r="R138" s="3">
        <f>0</f>
        <v/>
      </c>
      <c r="S138" s="3">
        <f>0</f>
        <v/>
      </c>
      <c r="T138" s="3">
        <f>0</f>
        <v/>
      </c>
      <c r="U138" s="3">
        <f>0</f>
        <v/>
      </c>
      <c r="V138" s="3">
        <f>0</f>
        <v/>
      </c>
      <c r="W138" s="3">
        <f>0</f>
        <v/>
      </c>
      <c r="X138" s="3">
        <f>0</f>
        <v/>
      </c>
      <c r="Y138" s="3">
        <f>0</f>
        <v/>
      </c>
      <c r="Z138" s="3">
        <f>0</f>
        <v/>
      </c>
      <c r="AA138" s="3">
        <f>0</f>
        <v/>
      </c>
      <c r="AB138" s="3">
        <f>0</f>
        <v/>
      </c>
      <c r="AC138" s="3">
        <f>0</f>
        <v/>
      </c>
      <c r="AD138" s="3">
        <f>0</f>
        <v/>
      </c>
      <c r="AE138" s="3">
        <f>0</f>
        <v/>
      </c>
      <c r="AF138" s="3">
        <f>0</f>
        <v/>
      </c>
      <c r="AG138" s="3">
        <f>0</f>
        <v/>
      </c>
      <c r="AH138" s="3">
        <f>0</f>
        <v/>
      </c>
      <c r="AI138" s="3">
        <f>0</f>
        <v/>
      </c>
      <c r="AJ138" s="3">
        <f>0</f>
        <v/>
      </c>
      <c r="AK138" s="3">
        <f>0</f>
        <v/>
      </c>
      <c r="AL138" s="3">
        <f>0</f>
        <v/>
      </c>
      <c r="AM138" s="3">
        <f>0</f>
        <v/>
      </c>
      <c r="AN138" s="3">
        <f>0</f>
        <v/>
      </c>
      <c r="AO138" s="3">
        <f>0</f>
        <v/>
      </c>
      <c r="AP138" s="3">
        <f>0</f>
        <v/>
      </c>
      <c r="AQ138" s="3">
        <f>0</f>
        <v/>
      </c>
      <c r="AR138" s="3">
        <f>0</f>
        <v/>
      </c>
      <c r="AS138" s="3">
        <f>0</f>
        <v/>
      </c>
      <c r="AT138" s="3">
        <f>0</f>
        <v/>
      </c>
      <c r="AU138" s="3">
        <f>0</f>
        <v/>
      </c>
      <c r="AV138" s="3">
        <f>0</f>
        <v/>
      </c>
      <c r="AW138" s="3">
        <f>0</f>
        <v/>
      </c>
      <c r="AX138" s="3">
        <f>0</f>
        <v/>
      </c>
      <c r="AY138" s="3">
        <f>0</f>
        <v/>
      </c>
      <c r="AZ138" s="3">
        <f>0</f>
        <v/>
      </c>
      <c r="BA138" s="3">
        <f>0</f>
        <v/>
      </c>
      <c r="BB138" s="3">
        <f>0</f>
        <v/>
      </c>
      <c r="BC138" s="3">
        <f>0</f>
        <v/>
      </c>
      <c r="BD138" s="3">
        <f>0</f>
        <v/>
      </c>
      <c r="BE138" s="3">
        <f>0</f>
        <v/>
      </c>
      <c r="BF138" s="3">
        <f>0</f>
        <v/>
      </c>
      <c r="BG138" s="3">
        <f>0</f>
        <v/>
      </c>
      <c r="BH138" s="3">
        <f>0</f>
        <v/>
      </c>
      <c r="BI138" s="3">
        <f>0</f>
        <v/>
      </c>
      <c r="BJ138" s="3">
        <f>0</f>
        <v/>
      </c>
      <c r="BK138" s="3">
        <f>0</f>
        <v/>
      </c>
      <c r="BL138" s="3">
        <f>0</f>
        <v/>
      </c>
      <c r="BM138" s="3">
        <f>0</f>
        <v/>
      </c>
      <c r="BN138" s="3">
        <f>0</f>
        <v/>
      </c>
      <c r="BO138" s="3">
        <f>0</f>
        <v/>
      </c>
      <c r="BP138" s="3">
        <f>0</f>
        <v/>
      </c>
      <c r="BQ138" s="3">
        <f>0</f>
        <v/>
      </c>
      <c r="BR138" s="3">
        <f>0</f>
        <v/>
      </c>
      <c r="BS138" s="3">
        <f>0</f>
        <v/>
      </c>
      <c r="BT138" s="3">
        <f>0</f>
        <v/>
      </c>
      <c r="BU138" s="3">
        <f>0</f>
        <v/>
      </c>
      <c r="BV138" s="3">
        <f>0</f>
        <v/>
      </c>
    </row>
    <row r="139">
      <c r="A139" t="inlineStr">
        <is>
          <t>active</t>
        </is>
      </c>
      <c r="B139" t="inlineStr">
        <is>
          <t>ROW|BASIC_A</t>
        </is>
      </c>
      <c r="C139" s="3">
        <f>React!$C$138*Curves!$BV$17</f>
        <v/>
      </c>
      <c r="D139" s="3">
        <f>SUMPRODUCT(React!$C$138:$D$138,Curves!$BU$17:$BV$17)</f>
        <v/>
      </c>
      <c r="E139" s="3">
        <f>SUMPRODUCT(React!$C$138:$E$138,Curves!$BT$17:$BV$17)</f>
        <v/>
      </c>
      <c r="F139" s="3">
        <f>SUMPRODUCT(React!$C$138:$F$138,Curves!$BS$17:$BV$17)</f>
        <v/>
      </c>
      <c r="G139" s="3">
        <f>SUMPRODUCT(React!$C$138:$G$138,Curves!$BR$17:$BV$17)</f>
        <v/>
      </c>
      <c r="H139" s="3">
        <f>SUMPRODUCT(React!$C$138:$H$138,Curves!$BQ$17:$BV$17)</f>
        <v/>
      </c>
      <c r="I139" s="3">
        <f>SUMPRODUCT(React!$C$138:$I$138,Curves!$BP$17:$BV$17)</f>
        <v/>
      </c>
      <c r="J139" s="3">
        <f>SUMPRODUCT(React!$C$138:$J$138,Curves!$BO$17:$BV$17)</f>
        <v/>
      </c>
      <c r="K139" s="3">
        <f>SUMPRODUCT(React!$C$138:$K$138,Curves!$BN$17:$BV$17)</f>
        <v/>
      </c>
      <c r="L139" s="3">
        <f>SUMPRODUCT(React!$C$138:$L$138,Curves!$BM$17:$BV$17)</f>
        <v/>
      </c>
      <c r="M139" s="3">
        <f>SUMPRODUCT(React!$C$138:$M$138,Curves!$BL$17:$BV$17)</f>
        <v/>
      </c>
      <c r="N139" s="3">
        <f>SUMPRODUCT(React!$C$138:$N$138,Curves!$BK$17:$BV$17)</f>
        <v/>
      </c>
      <c r="O139" s="3">
        <f>SUMPRODUCT(React!$C$138:$O$138,Curves!$BJ$17:$BV$17)</f>
        <v/>
      </c>
      <c r="P139" s="3">
        <f>SUMPRODUCT(React!$C$138:$P$138,Curves!$BI$17:$BV$17)</f>
        <v/>
      </c>
      <c r="Q139" s="3">
        <f>SUMPRODUCT(React!$C$138:$Q$138,Curves!$BH$17:$BV$17)</f>
        <v/>
      </c>
      <c r="R139" s="3">
        <f>SUMPRODUCT(React!$C$138:$R$138,Curves!$BG$17:$BV$17)</f>
        <v/>
      </c>
      <c r="S139" s="3">
        <f>SUMPRODUCT(React!$C$138:$S$138,Curves!$BF$17:$BV$17)</f>
        <v/>
      </c>
      <c r="T139" s="3">
        <f>SUMPRODUCT(React!$C$138:$T$138,Curves!$BE$17:$BV$17)</f>
        <v/>
      </c>
      <c r="U139" s="3">
        <f>SUMPRODUCT(React!$C$138:$U$138,Curves!$BD$17:$BV$17)</f>
        <v/>
      </c>
      <c r="V139" s="3">
        <f>SUMPRODUCT(React!$C$138:$V$138,Curves!$BC$17:$BV$17)</f>
        <v/>
      </c>
      <c r="W139" s="3">
        <f>SUMPRODUCT(React!$C$138:$W$138,Curves!$BB$17:$BV$17)</f>
        <v/>
      </c>
      <c r="X139" s="3">
        <f>SUMPRODUCT(React!$C$138:$X$138,Curves!$BA$17:$BV$17)</f>
        <v/>
      </c>
      <c r="Y139" s="3">
        <f>SUMPRODUCT(React!$C$138:$Y$138,Curves!$AZ$17:$BV$17)</f>
        <v/>
      </c>
      <c r="Z139" s="3">
        <f>SUMPRODUCT(React!$C$138:$Z$138,Curves!$AY$17:$BV$17)</f>
        <v/>
      </c>
      <c r="AA139" s="3">
        <f>SUMPRODUCT(React!$C$138:$AA$138,Curves!$AX$17:$BV$17)</f>
        <v/>
      </c>
      <c r="AB139" s="3">
        <f>SUMPRODUCT(React!$C$138:$AB$138,Curves!$AW$17:$BV$17)</f>
        <v/>
      </c>
      <c r="AC139" s="3">
        <f>SUMPRODUCT(React!$C$138:$AC$138,Curves!$AV$17:$BV$17)</f>
        <v/>
      </c>
      <c r="AD139" s="3">
        <f>SUMPRODUCT(React!$C$138:$AD$138,Curves!$AU$17:$BV$17)</f>
        <v/>
      </c>
      <c r="AE139" s="3">
        <f>SUMPRODUCT(React!$C$138:$AE$138,Curves!$AT$17:$BV$17)</f>
        <v/>
      </c>
      <c r="AF139" s="3">
        <f>SUMPRODUCT(React!$C$138:$AF$138,Curves!$AS$17:$BV$17)</f>
        <v/>
      </c>
      <c r="AG139" s="3">
        <f>SUMPRODUCT(React!$C$138:$AG$138,Curves!$AR$17:$BV$17)</f>
        <v/>
      </c>
      <c r="AH139" s="3">
        <f>SUMPRODUCT(React!$C$138:$AH$138,Curves!$AQ$17:$BV$17)</f>
        <v/>
      </c>
      <c r="AI139" s="3">
        <f>SUMPRODUCT(React!$C$138:$AI$138,Curves!$AP$17:$BV$17)</f>
        <v/>
      </c>
      <c r="AJ139" s="3">
        <f>SUMPRODUCT(React!$C$138:$AJ$138,Curves!$AO$17:$BV$17)</f>
        <v/>
      </c>
      <c r="AK139" s="3">
        <f>SUMPRODUCT(React!$C$138:$AK$138,Curves!$AN$17:$BV$17)</f>
        <v/>
      </c>
      <c r="AL139" s="3">
        <f>SUMPRODUCT(React!$C$138:$AL$138,Curves!$AM$17:$BV$17)</f>
        <v/>
      </c>
      <c r="AM139" s="3">
        <f>SUMPRODUCT(React!$C$138:$AM$138,Curves!$AL$17:$BV$17)</f>
        <v/>
      </c>
      <c r="AN139" s="3">
        <f>SUMPRODUCT(React!$C$138:$AN$138,Curves!$AK$17:$BV$17)</f>
        <v/>
      </c>
      <c r="AO139" s="3">
        <f>SUMPRODUCT(React!$C$138:$AO$138,Curves!$AJ$17:$BV$17)</f>
        <v/>
      </c>
      <c r="AP139" s="3">
        <f>SUMPRODUCT(React!$C$138:$AP$138,Curves!$AI$17:$BV$17)</f>
        <v/>
      </c>
      <c r="AQ139" s="3">
        <f>SUMPRODUCT(React!$C$138:$AQ$138,Curves!$AH$17:$BV$17)</f>
        <v/>
      </c>
      <c r="AR139" s="3">
        <f>SUMPRODUCT(React!$C$138:$AR$138,Curves!$AG$17:$BV$17)</f>
        <v/>
      </c>
      <c r="AS139" s="3">
        <f>SUMPRODUCT(React!$C$138:$AS$138,Curves!$AF$17:$BV$17)</f>
        <v/>
      </c>
      <c r="AT139" s="3">
        <f>SUMPRODUCT(React!$C$138:$AT$138,Curves!$AE$17:$BV$17)</f>
        <v/>
      </c>
      <c r="AU139" s="3">
        <f>SUMPRODUCT(React!$C$138:$AU$138,Curves!$AD$17:$BV$17)</f>
        <v/>
      </c>
      <c r="AV139" s="3">
        <f>SUMPRODUCT(React!$C$138:$AV$138,Curves!$AC$17:$BV$17)</f>
        <v/>
      </c>
      <c r="AW139" s="3">
        <f>SUMPRODUCT(React!$C$138:$AW$138,Curves!$AB$17:$BV$17)</f>
        <v/>
      </c>
      <c r="AX139" s="3">
        <f>SUMPRODUCT(React!$C$138:$AX$138,Curves!$AA$17:$BV$17)</f>
        <v/>
      </c>
      <c r="AY139" s="3">
        <f>SUMPRODUCT(React!$C$138:$AY$138,Curves!$Z$17:$BV$17)</f>
        <v/>
      </c>
      <c r="AZ139" s="3">
        <f>SUMPRODUCT(React!$C$138:$AZ$138,Curves!$Y$17:$BV$17)</f>
        <v/>
      </c>
      <c r="BA139" s="3">
        <f>SUMPRODUCT(React!$C$138:$BA$138,Curves!$X$17:$BV$17)</f>
        <v/>
      </c>
      <c r="BB139" s="3">
        <f>SUMPRODUCT(React!$C$138:$BB$138,Curves!$W$17:$BV$17)</f>
        <v/>
      </c>
      <c r="BC139" s="3">
        <f>SUMPRODUCT(React!$C$138:$BC$138,Curves!$V$17:$BV$17)</f>
        <v/>
      </c>
      <c r="BD139" s="3">
        <f>SUMPRODUCT(React!$C$138:$BD$138,Curves!$U$17:$BV$17)</f>
        <v/>
      </c>
      <c r="BE139" s="3">
        <f>SUMPRODUCT(React!$C$138:$BE$138,Curves!$T$17:$BV$17)</f>
        <v/>
      </c>
      <c r="BF139" s="3">
        <f>SUMPRODUCT(React!$C$138:$BF$138,Curves!$S$17:$BV$17)</f>
        <v/>
      </c>
      <c r="BG139" s="3">
        <f>SUMPRODUCT(React!$C$138:$BG$138,Curves!$R$17:$BV$17)</f>
        <v/>
      </c>
      <c r="BH139" s="3">
        <f>SUMPRODUCT(React!$C$138:$BH$138,Curves!$Q$17:$BV$17)</f>
        <v/>
      </c>
      <c r="BI139" s="3">
        <f>SUMPRODUCT(React!$C$138:$BI$138,Curves!$P$17:$BV$17)</f>
        <v/>
      </c>
      <c r="BJ139" s="3">
        <f>SUMPRODUCT(React!$C$138:$BJ$138,Curves!$O$17:$BV$17)</f>
        <v/>
      </c>
      <c r="BK139" s="3">
        <f>SUMPRODUCT(React!$C$138:$BK$138,Curves!$N$17:$BV$17)</f>
        <v/>
      </c>
      <c r="BL139" s="3">
        <f>SUMPRODUCT(React!$C$138:$BL$138,Curves!$M$17:$BV$17)</f>
        <v/>
      </c>
      <c r="BM139" s="3">
        <f>SUMPRODUCT(React!$C$138:$BM$138,Curves!$L$17:$BV$17)</f>
        <v/>
      </c>
      <c r="BN139" s="3">
        <f>SUMPRODUCT(React!$C$138:$BN$138,Curves!$K$17:$BV$17)</f>
        <v/>
      </c>
      <c r="BO139" s="3">
        <f>SUMPRODUCT(React!$C$138:$BO$138,Curves!$J$17:$BV$17)</f>
        <v/>
      </c>
      <c r="BP139" s="3">
        <f>SUMPRODUCT(React!$C$138:$BP$138,Curves!$I$17:$BV$17)</f>
        <v/>
      </c>
      <c r="BQ139" s="3">
        <f>SUMPRODUCT(React!$C$138:$BQ$138,Curves!$H$17:$BV$17)</f>
        <v/>
      </c>
      <c r="BR139" s="3">
        <f>SUMPRODUCT(React!$C$138:$BR$138,Curves!$G$17:$BV$17)</f>
        <v/>
      </c>
      <c r="BS139" s="3">
        <f>SUMPRODUCT(React!$C$138:$BS$138,Curves!$F$17:$BV$17)</f>
        <v/>
      </c>
      <c r="BT139" s="3">
        <f>SUMPRODUCT(React!$C$138:$BT$138,Curves!$E$17:$BV$17)</f>
        <v/>
      </c>
      <c r="BU139" s="3">
        <f>SUMPRODUCT(React!$C$138:$BU$138,Curves!$D$17:$BV$17)</f>
        <v/>
      </c>
      <c r="BV139" s="3">
        <f>SUMPRODUCT(React!$C$138:$BV$138,Curves!$C$17:$BV$17)</f>
        <v/>
      </c>
    </row>
    <row r="140">
      <c r="A140" t="inlineStr">
        <is>
          <t>active yr 1</t>
        </is>
      </c>
      <c r="B140" t="inlineStr">
        <is>
          <t>ROW|BASIC_A</t>
        </is>
      </c>
      <c r="C140" s="3">
        <f>React!$C$138*Curves!$BV$22</f>
        <v/>
      </c>
      <c r="D140" s="3">
        <f>SUMPRODUCT(React!$C$138:$D$138,Curves!$BU$22:$BV$22)</f>
        <v/>
      </c>
      <c r="E140" s="3">
        <f>SUMPRODUCT(React!$C$138:$E$138,Curves!$BT$22:$BV$22)</f>
        <v/>
      </c>
      <c r="F140" s="3">
        <f>SUMPRODUCT(React!$C$138:$F$138,Curves!$BS$22:$BV$22)</f>
        <v/>
      </c>
      <c r="G140" s="3">
        <f>SUMPRODUCT(React!$C$138:$G$138,Curves!$BR$22:$BV$22)</f>
        <v/>
      </c>
      <c r="H140" s="3">
        <f>SUMPRODUCT(React!$C$138:$H$138,Curves!$BQ$22:$BV$22)</f>
        <v/>
      </c>
      <c r="I140" s="3">
        <f>SUMPRODUCT(React!$C$138:$I$138,Curves!$BP$22:$BV$22)</f>
        <v/>
      </c>
      <c r="J140" s="3">
        <f>SUMPRODUCT(React!$C$138:$J$138,Curves!$BO$22:$BV$22)</f>
        <v/>
      </c>
      <c r="K140" s="3">
        <f>SUMPRODUCT(React!$C$138:$K$138,Curves!$BN$22:$BV$22)</f>
        <v/>
      </c>
      <c r="L140" s="3">
        <f>SUMPRODUCT(React!$C$138:$L$138,Curves!$BM$22:$BV$22)</f>
        <v/>
      </c>
      <c r="M140" s="3">
        <f>SUMPRODUCT(React!$C$138:$M$138,Curves!$BL$22:$BV$22)</f>
        <v/>
      </c>
      <c r="N140" s="3">
        <f>SUMPRODUCT(React!$C$138:$N$138,Curves!$BK$22:$BV$22)</f>
        <v/>
      </c>
      <c r="O140" s="3">
        <f>SUMPRODUCT(React!$C$138:$O$138,Curves!$BJ$22:$BV$22)</f>
        <v/>
      </c>
      <c r="P140" s="3">
        <f>SUMPRODUCT(React!$C$138:$P$138,Curves!$BI$22:$BV$22)</f>
        <v/>
      </c>
      <c r="Q140" s="3">
        <f>SUMPRODUCT(React!$C$138:$Q$138,Curves!$BH$22:$BV$22)</f>
        <v/>
      </c>
      <c r="R140" s="3">
        <f>SUMPRODUCT(React!$C$138:$R$138,Curves!$BG$22:$BV$22)</f>
        <v/>
      </c>
      <c r="S140" s="3">
        <f>SUMPRODUCT(React!$C$138:$S$138,Curves!$BF$22:$BV$22)</f>
        <v/>
      </c>
      <c r="T140" s="3">
        <f>SUMPRODUCT(React!$C$138:$T$138,Curves!$BE$22:$BV$22)</f>
        <v/>
      </c>
      <c r="U140" s="3">
        <f>SUMPRODUCT(React!$C$138:$U$138,Curves!$BD$22:$BV$22)</f>
        <v/>
      </c>
      <c r="V140" s="3">
        <f>SUMPRODUCT(React!$C$138:$V$138,Curves!$BC$22:$BV$22)</f>
        <v/>
      </c>
      <c r="W140" s="3">
        <f>SUMPRODUCT(React!$C$138:$W$138,Curves!$BB$22:$BV$22)</f>
        <v/>
      </c>
      <c r="X140" s="3">
        <f>SUMPRODUCT(React!$C$138:$X$138,Curves!$BA$22:$BV$22)</f>
        <v/>
      </c>
      <c r="Y140" s="3">
        <f>SUMPRODUCT(React!$C$138:$Y$138,Curves!$AZ$22:$BV$22)</f>
        <v/>
      </c>
      <c r="Z140" s="3">
        <f>SUMPRODUCT(React!$C$138:$Z$138,Curves!$AY$22:$BV$22)</f>
        <v/>
      </c>
      <c r="AA140" s="3">
        <f>SUMPRODUCT(React!$C$138:$AA$138,Curves!$AX$22:$BV$22)</f>
        <v/>
      </c>
      <c r="AB140" s="3">
        <f>SUMPRODUCT(React!$C$138:$AB$138,Curves!$AW$22:$BV$22)</f>
        <v/>
      </c>
      <c r="AC140" s="3">
        <f>SUMPRODUCT(React!$C$138:$AC$138,Curves!$AV$22:$BV$22)</f>
        <v/>
      </c>
      <c r="AD140" s="3">
        <f>SUMPRODUCT(React!$C$138:$AD$138,Curves!$AU$22:$BV$22)</f>
        <v/>
      </c>
      <c r="AE140" s="3">
        <f>SUMPRODUCT(React!$C$138:$AE$138,Curves!$AT$22:$BV$22)</f>
        <v/>
      </c>
      <c r="AF140" s="3">
        <f>SUMPRODUCT(React!$C$138:$AF$138,Curves!$AS$22:$BV$22)</f>
        <v/>
      </c>
      <c r="AG140" s="3">
        <f>SUMPRODUCT(React!$C$138:$AG$138,Curves!$AR$22:$BV$22)</f>
        <v/>
      </c>
      <c r="AH140" s="3">
        <f>SUMPRODUCT(React!$C$138:$AH$138,Curves!$AQ$22:$BV$22)</f>
        <v/>
      </c>
      <c r="AI140" s="3">
        <f>SUMPRODUCT(React!$C$138:$AI$138,Curves!$AP$22:$BV$22)</f>
        <v/>
      </c>
      <c r="AJ140" s="3">
        <f>SUMPRODUCT(React!$C$138:$AJ$138,Curves!$AO$22:$BV$22)</f>
        <v/>
      </c>
      <c r="AK140" s="3">
        <f>SUMPRODUCT(React!$C$138:$AK$138,Curves!$AN$22:$BV$22)</f>
        <v/>
      </c>
      <c r="AL140" s="3">
        <f>SUMPRODUCT(React!$C$138:$AL$138,Curves!$AM$22:$BV$22)</f>
        <v/>
      </c>
      <c r="AM140" s="3">
        <f>SUMPRODUCT(React!$C$138:$AM$138,Curves!$AL$22:$BV$22)</f>
        <v/>
      </c>
      <c r="AN140" s="3">
        <f>SUMPRODUCT(React!$C$138:$AN$138,Curves!$AK$22:$BV$22)</f>
        <v/>
      </c>
      <c r="AO140" s="3">
        <f>SUMPRODUCT(React!$C$138:$AO$138,Curves!$AJ$22:$BV$22)</f>
        <v/>
      </c>
      <c r="AP140" s="3">
        <f>SUMPRODUCT(React!$C$138:$AP$138,Curves!$AI$22:$BV$22)</f>
        <v/>
      </c>
      <c r="AQ140" s="3">
        <f>SUMPRODUCT(React!$C$138:$AQ$138,Curves!$AH$22:$BV$22)</f>
        <v/>
      </c>
      <c r="AR140" s="3">
        <f>SUMPRODUCT(React!$C$138:$AR$138,Curves!$AG$22:$BV$22)</f>
        <v/>
      </c>
      <c r="AS140" s="3">
        <f>SUMPRODUCT(React!$C$138:$AS$138,Curves!$AF$22:$BV$22)</f>
        <v/>
      </c>
      <c r="AT140" s="3">
        <f>SUMPRODUCT(React!$C$138:$AT$138,Curves!$AE$22:$BV$22)</f>
        <v/>
      </c>
      <c r="AU140" s="3">
        <f>SUMPRODUCT(React!$C$138:$AU$138,Curves!$AD$22:$BV$22)</f>
        <v/>
      </c>
      <c r="AV140" s="3">
        <f>SUMPRODUCT(React!$C$138:$AV$138,Curves!$AC$22:$BV$22)</f>
        <v/>
      </c>
      <c r="AW140" s="3">
        <f>SUMPRODUCT(React!$C$138:$AW$138,Curves!$AB$22:$BV$22)</f>
        <v/>
      </c>
      <c r="AX140" s="3">
        <f>SUMPRODUCT(React!$C$138:$AX$138,Curves!$AA$22:$BV$22)</f>
        <v/>
      </c>
      <c r="AY140" s="3">
        <f>SUMPRODUCT(React!$C$138:$AY$138,Curves!$Z$22:$BV$22)</f>
        <v/>
      </c>
      <c r="AZ140" s="3">
        <f>SUMPRODUCT(React!$C$138:$AZ$138,Curves!$Y$22:$BV$22)</f>
        <v/>
      </c>
      <c r="BA140" s="3">
        <f>SUMPRODUCT(React!$C$138:$BA$138,Curves!$X$22:$BV$22)</f>
        <v/>
      </c>
      <c r="BB140" s="3">
        <f>SUMPRODUCT(React!$C$138:$BB$138,Curves!$W$22:$BV$22)</f>
        <v/>
      </c>
      <c r="BC140" s="3">
        <f>SUMPRODUCT(React!$C$138:$BC$138,Curves!$V$22:$BV$22)</f>
        <v/>
      </c>
      <c r="BD140" s="3">
        <f>SUMPRODUCT(React!$C$138:$BD$138,Curves!$U$22:$BV$22)</f>
        <v/>
      </c>
      <c r="BE140" s="3">
        <f>SUMPRODUCT(React!$C$138:$BE$138,Curves!$T$22:$BV$22)</f>
        <v/>
      </c>
      <c r="BF140" s="3">
        <f>SUMPRODUCT(React!$C$138:$BF$138,Curves!$S$22:$BV$22)</f>
        <v/>
      </c>
      <c r="BG140" s="3">
        <f>SUMPRODUCT(React!$C$138:$BG$138,Curves!$R$22:$BV$22)</f>
        <v/>
      </c>
      <c r="BH140" s="3">
        <f>SUMPRODUCT(React!$C$138:$BH$138,Curves!$Q$22:$BV$22)</f>
        <v/>
      </c>
      <c r="BI140" s="3">
        <f>SUMPRODUCT(React!$C$138:$BI$138,Curves!$P$22:$BV$22)</f>
        <v/>
      </c>
      <c r="BJ140" s="3">
        <f>SUMPRODUCT(React!$C$138:$BJ$138,Curves!$O$22:$BV$22)</f>
        <v/>
      </c>
      <c r="BK140" s="3">
        <f>SUMPRODUCT(React!$C$138:$BK$138,Curves!$N$22:$BV$22)</f>
        <v/>
      </c>
      <c r="BL140" s="3">
        <f>SUMPRODUCT(React!$C$138:$BL$138,Curves!$M$22:$BV$22)</f>
        <v/>
      </c>
      <c r="BM140" s="3">
        <f>SUMPRODUCT(React!$C$138:$BM$138,Curves!$L$22:$BV$22)</f>
        <v/>
      </c>
      <c r="BN140" s="3">
        <f>SUMPRODUCT(React!$C$138:$BN$138,Curves!$K$22:$BV$22)</f>
        <v/>
      </c>
      <c r="BO140" s="3">
        <f>SUMPRODUCT(React!$C$138:$BO$138,Curves!$J$22:$BV$22)</f>
        <v/>
      </c>
      <c r="BP140" s="3">
        <f>SUMPRODUCT(React!$C$138:$BP$138,Curves!$I$22:$BV$22)</f>
        <v/>
      </c>
      <c r="BQ140" s="3">
        <f>SUMPRODUCT(React!$C$138:$BQ$138,Curves!$H$22:$BV$22)</f>
        <v/>
      </c>
      <c r="BR140" s="3">
        <f>SUMPRODUCT(React!$C$138:$BR$138,Curves!$G$22:$BV$22)</f>
        <v/>
      </c>
      <c r="BS140" s="3">
        <f>SUMPRODUCT(React!$C$138:$BS$138,Curves!$F$22:$BV$22)</f>
        <v/>
      </c>
      <c r="BT140" s="3">
        <f>SUMPRODUCT(React!$C$138:$BT$138,Curves!$E$22:$BV$22)</f>
        <v/>
      </c>
      <c r="BU140" s="3">
        <f>SUMPRODUCT(React!$C$138:$BU$138,Curves!$D$22:$BV$22)</f>
        <v/>
      </c>
      <c r="BV140" s="3">
        <f>SUMPRODUCT(React!$C$138:$BV$138,Curves!$C$22:$BV$22)</f>
        <v/>
      </c>
    </row>
    <row r="141">
      <c r="A141" t="inlineStr">
        <is>
          <t>churned</t>
        </is>
      </c>
      <c r="B141" t="inlineStr">
        <is>
          <t>ROW|BASIC_A</t>
        </is>
      </c>
      <c r="C141" s="3">
        <f>React!$C$138*Curves!$BV$18</f>
        <v/>
      </c>
      <c r="D141" s="3">
        <f>SUMPRODUCT(React!$C$138:$D$138,Curves!$BU$18:$BV$18)</f>
        <v/>
      </c>
      <c r="E141" s="3">
        <f>SUMPRODUCT(React!$C$138:$E$138,Curves!$BT$18:$BV$18)</f>
        <v/>
      </c>
      <c r="F141" s="3">
        <f>SUMPRODUCT(React!$C$138:$F$138,Curves!$BS$18:$BV$18)</f>
        <v/>
      </c>
      <c r="G141" s="3">
        <f>SUMPRODUCT(React!$C$138:$G$138,Curves!$BR$18:$BV$18)</f>
        <v/>
      </c>
      <c r="H141" s="3">
        <f>SUMPRODUCT(React!$C$138:$H$138,Curves!$BQ$18:$BV$18)</f>
        <v/>
      </c>
      <c r="I141" s="3">
        <f>SUMPRODUCT(React!$C$138:$I$138,Curves!$BP$18:$BV$18)</f>
        <v/>
      </c>
      <c r="J141" s="3">
        <f>SUMPRODUCT(React!$C$138:$J$138,Curves!$BO$18:$BV$18)</f>
        <v/>
      </c>
      <c r="K141" s="3">
        <f>SUMPRODUCT(React!$C$138:$K$138,Curves!$BN$18:$BV$18)</f>
        <v/>
      </c>
      <c r="L141" s="3">
        <f>SUMPRODUCT(React!$C$138:$L$138,Curves!$BM$18:$BV$18)</f>
        <v/>
      </c>
      <c r="M141" s="3">
        <f>SUMPRODUCT(React!$C$138:$M$138,Curves!$BL$18:$BV$18)</f>
        <v/>
      </c>
      <c r="N141" s="3">
        <f>SUMPRODUCT(React!$C$138:$N$138,Curves!$BK$18:$BV$18)</f>
        <v/>
      </c>
      <c r="O141" s="3">
        <f>SUMPRODUCT(React!$C$138:$O$138,Curves!$BJ$18:$BV$18)</f>
        <v/>
      </c>
      <c r="P141" s="3">
        <f>SUMPRODUCT(React!$C$138:$P$138,Curves!$BI$18:$BV$18)</f>
        <v/>
      </c>
      <c r="Q141" s="3">
        <f>SUMPRODUCT(React!$C$138:$Q$138,Curves!$BH$18:$BV$18)</f>
        <v/>
      </c>
      <c r="R141" s="3">
        <f>SUMPRODUCT(React!$C$138:$R$138,Curves!$BG$18:$BV$18)</f>
        <v/>
      </c>
      <c r="S141" s="3">
        <f>SUMPRODUCT(React!$C$138:$S$138,Curves!$BF$18:$BV$18)</f>
        <v/>
      </c>
      <c r="T141" s="3">
        <f>SUMPRODUCT(React!$C$138:$T$138,Curves!$BE$18:$BV$18)</f>
        <v/>
      </c>
      <c r="U141" s="3">
        <f>SUMPRODUCT(React!$C$138:$U$138,Curves!$BD$18:$BV$18)</f>
        <v/>
      </c>
      <c r="V141" s="3">
        <f>SUMPRODUCT(React!$C$138:$V$138,Curves!$BC$18:$BV$18)</f>
        <v/>
      </c>
      <c r="W141" s="3">
        <f>SUMPRODUCT(React!$C$138:$W$138,Curves!$BB$18:$BV$18)</f>
        <v/>
      </c>
      <c r="X141" s="3">
        <f>SUMPRODUCT(React!$C$138:$X$138,Curves!$BA$18:$BV$18)</f>
        <v/>
      </c>
      <c r="Y141" s="3">
        <f>SUMPRODUCT(React!$C$138:$Y$138,Curves!$AZ$18:$BV$18)</f>
        <v/>
      </c>
      <c r="Z141" s="3">
        <f>SUMPRODUCT(React!$C$138:$Z$138,Curves!$AY$18:$BV$18)</f>
        <v/>
      </c>
      <c r="AA141" s="3">
        <f>SUMPRODUCT(React!$C$138:$AA$138,Curves!$AX$18:$BV$18)</f>
        <v/>
      </c>
      <c r="AB141" s="3">
        <f>SUMPRODUCT(React!$C$138:$AB$138,Curves!$AW$18:$BV$18)</f>
        <v/>
      </c>
      <c r="AC141" s="3">
        <f>SUMPRODUCT(React!$C$138:$AC$138,Curves!$AV$18:$BV$18)</f>
        <v/>
      </c>
      <c r="AD141" s="3">
        <f>SUMPRODUCT(React!$C$138:$AD$138,Curves!$AU$18:$BV$18)</f>
        <v/>
      </c>
      <c r="AE141" s="3">
        <f>SUMPRODUCT(React!$C$138:$AE$138,Curves!$AT$18:$BV$18)</f>
        <v/>
      </c>
      <c r="AF141" s="3">
        <f>SUMPRODUCT(React!$C$138:$AF$138,Curves!$AS$18:$BV$18)</f>
        <v/>
      </c>
      <c r="AG141" s="3">
        <f>SUMPRODUCT(React!$C$138:$AG$138,Curves!$AR$18:$BV$18)</f>
        <v/>
      </c>
      <c r="AH141" s="3">
        <f>SUMPRODUCT(React!$C$138:$AH$138,Curves!$AQ$18:$BV$18)</f>
        <v/>
      </c>
      <c r="AI141" s="3">
        <f>SUMPRODUCT(React!$C$138:$AI$138,Curves!$AP$18:$BV$18)</f>
        <v/>
      </c>
      <c r="AJ141" s="3">
        <f>SUMPRODUCT(React!$C$138:$AJ$138,Curves!$AO$18:$BV$18)</f>
        <v/>
      </c>
      <c r="AK141" s="3">
        <f>SUMPRODUCT(React!$C$138:$AK$138,Curves!$AN$18:$BV$18)</f>
        <v/>
      </c>
      <c r="AL141" s="3">
        <f>SUMPRODUCT(React!$C$138:$AL$138,Curves!$AM$18:$BV$18)</f>
        <v/>
      </c>
      <c r="AM141" s="3">
        <f>SUMPRODUCT(React!$C$138:$AM$138,Curves!$AL$18:$BV$18)</f>
        <v/>
      </c>
      <c r="AN141" s="3">
        <f>SUMPRODUCT(React!$C$138:$AN$138,Curves!$AK$18:$BV$18)</f>
        <v/>
      </c>
      <c r="AO141" s="3">
        <f>SUMPRODUCT(React!$C$138:$AO$138,Curves!$AJ$18:$BV$18)</f>
        <v/>
      </c>
      <c r="AP141" s="3">
        <f>SUMPRODUCT(React!$C$138:$AP$138,Curves!$AI$18:$BV$18)</f>
        <v/>
      </c>
      <c r="AQ141" s="3">
        <f>SUMPRODUCT(React!$C$138:$AQ$138,Curves!$AH$18:$BV$18)</f>
        <v/>
      </c>
      <c r="AR141" s="3">
        <f>SUMPRODUCT(React!$C$138:$AR$138,Curves!$AG$18:$BV$18)</f>
        <v/>
      </c>
      <c r="AS141" s="3">
        <f>SUMPRODUCT(React!$C$138:$AS$138,Curves!$AF$18:$BV$18)</f>
        <v/>
      </c>
      <c r="AT141" s="3">
        <f>SUMPRODUCT(React!$C$138:$AT$138,Curves!$AE$18:$BV$18)</f>
        <v/>
      </c>
      <c r="AU141" s="3">
        <f>SUMPRODUCT(React!$C$138:$AU$138,Curves!$AD$18:$BV$18)</f>
        <v/>
      </c>
      <c r="AV141" s="3">
        <f>SUMPRODUCT(React!$C$138:$AV$138,Curves!$AC$18:$BV$18)</f>
        <v/>
      </c>
      <c r="AW141" s="3">
        <f>SUMPRODUCT(React!$C$138:$AW$138,Curves!$AB$18:$BV$18)</f>
        <v/>
      </c>
      <c r="AX141" s="3">
        <f>SUMPRODUCT(React!$C$138:$AX$138,Curves!$AA$18:$BV$18)</f>
        <v/>
      </c>
      <c r="AY141" s="3">
        <f>SUMPRODUCT(React!$C$138:$AY$138,Curves!$Z$18:$BV$18)</f>
        <v/>
      </c>
      <c r="AZ141" s="3">
        <f>SUMPRODUCT(React!$C$138:$AZ$138,Curves!$Y$18:$BV$18)</f>
        <v/>
      </c>
      <c r="BA141" s="3">
        <f>SUMPRODUCT(React!$C$138:$BA$138,Curves!$X$18:$BV$18)</f>
        <v/>
      </c>
      <c r="BB141" s="3">
        <f>SUMPRODUCT(React!$C$138:$BB$138,Curves!$W$18:$BV$18)</f>
        <v/>
      </c>
      <c r="BC141" s="3">
        <f>SUMPRODUCT(React!$C$138:$BC$138,Curves!$V$18:$BV$18)</f>
        <v/>
      </c>
      <c r="BD141" s="3">
        <f>SUMPRODUCT(React!$C$138:$BD$138,Curves!$U$18:$BV$18)</f>
        <v/>
      </c>
      <c r="BE141" s="3">
        <f>SUMPRODUCT(React!$C$138:$BE$138,Curves!$T$18:$BV$18)</f>
        <v/>
      </c>
      <c r="BF141" s="3">
        <f>SUMPRODUCT(React!$C$138:$BF$138,Curves!$S$18:$BV$18)</f>
        <v/>
      </c>
      <c r="BG141" s="3">
        <f>SUMPRODUCT(React!$C$138:$BG$138,Curves!$R$18:$BV$18)</f>
        <v/>
      </c>
      <c r="BH141" s="3">
        <f>SUMPRODUCT(React!$C$138:$BH$138,Curves!$Q$18:$BV$18)</f>
        <v/>
      </c>
      <c r="BI141" s="3">
        <f>SUMPRODUCT(React!$C$138:$BI$138,Curves!$P$18:$BV$18)</f>
        <v/>
      </c>
      <c r="BJ141" s="3">
        <f>SUMPRODUCT(React!$C$138:$BJ$138,Curves!$O$18:$BV$18)</f>
        <v/>
      </c>
      <c r="BK141" s="3">
        <f>SUMPRODUCT(React!$C$138:$BK$138,Curves!$N$18:$BV$18)</f>
        <v/>
      </c>
      <c r="BL141" s="3">
        <f>SUMPRODUCT(React!$C$138:$BL$138,Curves!$M$18:$BV$18)</f>
        <v/>
      </c>
      <c r="BM141" s="3">
        <f>SUMPRODUCT(React!$C$138:$BM$138,Curves!$L$18:$BV$18)</f>
        <v/>
      </c>
      <c r="BN141" s="3">
        <f>SUMPRODUCT(React!$C$138:$BN$138,Curves!$K$18:$BV$18)</f>
        <v/>
      </c>
      <c r="BO141" s="3">
        <f>SUMPRODUCT(React!$C$138:$BO$138,Curves!$J$18:$BV$18)</f>
        <v/>
      </c>
      <c r="BP141" s="3">
        <f>SUMPRODUCT(React!$C$138:$BP$138,Curves!$I$18:$BV$18)</f>
        <v/>
      </c>
      <c r="BQ141" s="3">
        <f>SUMPRODUCT(React!$C$138:$BQ$138,Curves!$H$18:$BV$18)</f>
        <v/>
      </c>
      <c r="BR141" s="3">
        <f>SUMPRODUCT(React!$C$138:$BR$138,Curves!$G$18:$BV$18)</f>
        <v/>
      </c>
      <c r="BS141" s="3">
        <f>SUMPRODUCT(React!$C$138:$BS$138,Curves!$F$18:$BV$18)</f>
        <v/>
      </c>
      <c r="BT141" s="3">
        <f>SUMPRODUCT(React!$C$138:$BT$138,Curves!$E$18:$BV$18)</f>
        <v/>
      </c>
      <c r="BU141" s="3">
        <f>SUMPRODUCT(React!$C$138:$BU$138,Curves!$D$18:$BV$18)</f>
        <v/>
      </c>
      <c r="BV141" s="3">
        <f>SUMPRODUCT(React!$C$138:$BV$138,Curves!$C$18:$BV$18)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1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s="1" t="inlineStr">
        <is>
          <t>opening</t>
        </is>
      </c>
      <c r="B3" s="1" t="inlineStr">
        <is>
          <t>TOTAL</t>
        </is>
      </c>
      <c r="C3" s="7">
        <f>SUM(C10,C17,C24,C31,C38,C45,C52,C59,C66,C73,C80,C87,C94,C101,C108,C115,C122,C129,C136,C143)</f>
        <v/>
      </c>
      <c r="D3" s="7">
        <f>SUM(D10,D17,D24,D31,D38,D45,D52,D59,D66,D73,D80,D87,D94,D101,D108,D115,D122,D129,D136,D143)</f>
        <v/>
      </c>
      <c r="E3" s="7">
        <f>SUM(E10,E17,E24,E31,E38,E45,E52,E59,E66,E73,E80,E87,E94,E101,E108,E115,E122,E129,E136,E143)</f>
        <v/>
      </c>
      <c r="F3" s="7">
        <f>SUM(F10,F17,F24,F31,F38,F45,F52,F59,F66,F73,F80,F87,F94,F101,F108,F115,F122,F129,F136,F143)</f>
        <v/>
      </c>
      <c r="G3" s="7">
        <f>SUM(G10,G17,G24,G31,G38,G45,G52,G59,G66,G73,G80,G87,G94,G101,G108,G115,G122,G129,G136,G143)</f>
        <v/>
      </c>
      <c r="H3" s="7">
        <f>SUM(H10,H17,H24,H31,H38,H45,H52,H59,H66,H73,H80,H87,H94,H101,H108,H115,H122,H129,H136,H143)</f>
        <v/>
      </c>
      <c r="I3" s="7">
        <f>SUM(I10,I17,I24,I31,I38,I45,I52,I59,I66,I73,I80,I87,I94,I101,I108,I115,I122,I129,I136,I143)</f>
        <v/>
      </c>
      <c r="J3" s="7">
        <f>SUM(J10,J17,J24,J31,J38,J45,J52,J59,J66,J73,J80,J87,J94,J101,J108,J115,J122,J129,J136,J143)</f>
        <v/>
      </c>
      <c r="K3" s="7">
        <f>SUM(K10,K17,K24,K31,K38,K45,K52,K59,K66,K73,K80,K87,K94,K101,K108,K115,K122,K129,K136,K143)</f>
        <v/>
      </c>
      <c r="L3" s="7">
        <f>SUM(L10,L17,L24,L31,L38,L45,L52,L59,L66,L73,L80,L87,L94,L101,L108,L115,L122,L129,L136,L143)</f>
        <v/>
      </c>
      <c r="M3" s="7">
        <f>SUM(M10,M17,M24,M31,M38,M45,M52,M59,M66,M73,M80,M87,M94,M101,M108,M115,M122,M129,M136,M143)</f>
        <v/>
      </c>
      <c r="N3" s="7">
        <f>SUM(N10,N17,N24,N31,N38,N45,N52,N59,N66,N73,N80,N87,N94,N101,N108,N115,N122,N129,N136,N143)</f>
        <v/>
      </c>
      <c r="O3" s="7">
        <f>SUM(O10,O17,O24,O31,O38,O45,O52,O59,O66,O73,O80,O87,O94,O101,O108,O115,O122,O129,O136,O143)</f>
        <v/>
      </c>
      <c r="P3" s="7">
        <f>SUM(P10,P17,P24,P31,P38,P45,P52,P59,P66,P73,P80,P87,P94,P101,P108,P115,P122,P129,P136,P143)</f>
        <v/>
      </c>
      <c r="Q3" s="7">
        <f>SUM(Q10,Q17,Q24,Q31,Q38,Q45,Q52,Q59,Q66,Q73,Q80,Q87,Q94,Q101,Q108,Q115,Q122,Q129,Q136,Q143)</f>
        <v/>
      </c>
      <c r="R3" s="7">
        <f>SUM(R10,R17,R24,R31,R38,R45,R52,R59,R66,R73,R80,R87,R94,R101,R108,R115,R122,R129,R136,R143)</f>
        <v/>
      </c>
      <c r="S3" s="7">
        <f>SUM(S10,S17,S24,S31,S38,S45,S52,S59,S66,S73,S80,S87,S94,S101,S108,S115,S122,S129,S136,S143)</f>
        <v/>
      </c>
      <c r="T3" s="7">
        <f>SUM(T10,T17,T24,T31,T38,T45,T52,T59,T66,T73,T80,T87,T94,T101,T108,T115,T122,T129,T136,T143)</f>
        <v/>
      </c>
      <c r="U3" s="7">
        <f>SUM(U10,U17,U24,U31,U38,U45,U52,U59,U66,U73,U80,U87,U94,U101,U108,U115,U122,U129,U136,U143)</f>
        <v/>
      </c>
      <c r="V3" s="7">
        <f>SUM(V10,V17,V24,V31,V38,V45,V52,V59,V66,V73,V80,V87,V94,V101,V108,V115,V122,V129,V136,V143)</f>
        <v/>
      </c>
      <c r="W3" s="7">
        <f>SUM(W10,W17,W24,W31,W38,W45,W52,W59,W66,W73,W80,W87,W94,W101,W108,W115,W122,W129,W136,W143)</f>
        <v/>
      </c>
      <c r="X3" s="7">
        <f>SUM(X10,X17,X24,X31,X38,X45,X52,X59,X66,X73,X80,X87,X94,X101,X108,X115,X122,X129,X136,X143)</f>
        <v/>
      </c>
      <c r="Y3" s="7">
        <f>SUM(Y10,Y17,Y24,Y31,Y38,Y45,Y52,Y59,Y66,Y73,Y80,Y87,Y94,Y101,Y108,Y115,Y122,Y129,Y136,Y143)</f>
        <v/>
      </c>
      <c r="Z3" s="7">
        <f>SUM(Z10,Z17,Z24,Z31,Z38,Z45,Z52,Z59,Z66,Z73,Z80,Z87,Z94,Z101,Z108,Z115,Z122,Z129,Z136,Z143)</f>
        <v/>
      </c>
      <c r="AA3" s="7">
        <f>SUM(AA10,AA17,AA24,AA31,AA38,AA45,AA52,AA59,AA66,AA73,AA80,AA87,AA94,AA101,AA108,AA115,AA122,AA129,AA136,AA143)</f>
        <v/>
      </c>
      <c r="AB3" s="7">
        <f>SUM(AB10,AB17,AB24,AB31,AB38,AB45,AB52,AB59,AB66,AB73,AB80,AB87,AB94,AB101,AB108,AB115,AB122,AB129,AB136,AB143)</f>
        <v/>
      </c>
      <c r="AC3" s="7">
        <f>SUM(AC10,AC17,AC24,AC31,AC38,AC45,AC52,AC59,AC66,AC73,AC80,AC87,AC94,AC101,AC108,AC115,AC122,AC129,AC136,AC143)</f>
        <v/>
      </c>
      <c r="AD3" s="7">
        <f>SUM(AD10,AD17,AD24,AD31,AD38,AD45,AD52,AD59,AD66,AD73,AD80,AD87,AD94,AD101,AD108,AD115,AD122,AD129,AD136,AD143)</f>
        <v/>
      </c>
      <c r="AE3" s="7">
        <f>SUM(AE10,AE17,AE24,AE31,AE38,AE45,AE52,AE59,AE66,AE73,AE80,AE87,AE94,AE101,AE108,AE115,AE122,AE129,AE136,AE143)</f>
        <v/>
      </c>
      <c r="AF3" s="7">
        <f>SUM(AF10,AF17,AF24,AF31,AF38,AF45,AF52,AF59,AF66,AF73,AF80,AF87,AF94,AF101,AF108,AF115,AF122,AF129,AF136,AF143)</f>
        <v/>
      </c>
      <c r="AG3" s="7">
        <f>SUM(AG10,AG17,AG24,AG31,AG38,AG45,AG52,AG59,AG66,AG73,AG80,AG87,AG94,AG101,AG108,AG115,AG122,AG129,AG136,AG143)</f>
        <v/>
      </c>
      <c r="AH3" s="7">
        <f>SUM(AH10,AH17,AH24,AH31,AH38,AH45,AH52,AH59,AH66,AH73,AH80,AH87,AH94,AH101,AH108,AH115,AH122,AH129,AH136,AH143)</f>
        <v/>
      </c>
      <c r="AI3" s="7">
        <f>SUM(AI10,AI17,AI24,AI31,AI38,AI45,AI52,AI59,AI66,AI73,AI80,AI87,AI94,AI101,AI108,AI115,AI122,AI129,AI136,AI143)</f>
        <v/>
      </c>
      <c r="AJ3" s="7">
        <f>SUM(AJ10,AJ17,AJ24,AJ31,AJ38,AJ45,AJ52,AJ59,AJ66,AJ73,AJ80,AJ87,AJ94,AJ101,AJ108,AJ115,AJ122,AJ129,AJ136,AJ143)</f>
        <v/>
      </c>
      <c r="AK3" s="7">
        <f>SUM(AK10,AK17,AK24,AK31,AK38,AK45,AK52,AK59,AK66,AK73,AK80,AK87,AK94,AK101,AK108,AK115,AK122,AK129,AK136,AK143)</f>
        <v/>
      </c>
      <c r="AL3" s="7">
        <f>SUM(AL10,AL17,AL24,AL31,AL38,AL45,AL52,AL59,AL66,AL73,AL80,AL87,AL94,AL101,AL108,AL115,AL122,AL129,AL136,AL143)</f>
        <v/>
      </c>
      <c r="AM3" s="7">
        <f>SUM(AM10,AM17,AM24,AM31,AM38,AM45,AM52,AM59,AM66,AM73,AM80,AM87,AM94,AM101,AM108,AM115,AM122,AM129,AM136,AM143)</f>
        <v/>
      </c>
      <c r="AN3" s="7">
        <f>SUM(AN10,AN17,AN24,AN31,AN38,AN45,AN52,AN59,AN66,AN73,AN80,AN87,AN94,AN101,AN108,AN115,AN122,AN129,AN136,AN143)</f>
        <v/>
      </c>
      <c r="AO3" s="7">
        <f>SUM(AO10,AO17,AO24,AO31,AO38,AO45,AO52,AO59,AO66,AO73,AO80,AO87,AO94,AO101,AO108,AO115,AO122,AO129,AO136,AO143)</f>
        <v/>
      </c>
      <c r="AP3" s="7">
        <f>SUM(AP10,AP17,AP24,AP31,AP38,AP45,AP52,AP59,AP66,AP73,AP80,AP87,AP94,AP101,AP108,AP115,AP122,AP129,AP136,AP143)</f>
        <v/>
      </c>
      <c r="AQ3" s="7">
        <f>SUM(AQ10,AQ17,AQ24,AQ31,AQ38,AQ45,AQ52,AQ59,AQ66,AQ73,AQ80,AQ87,AQ94,AQ101,AQ108,AQ115,AQ122,AQ129,AQ136,AQ143)</f>
        <v/>
      </c>
      <c r="AR3" s="7">
        <f>SUM(AR10,AR17,AR24,AR31,AR38,AR45,AR52,AR59,AR66,AR73,AR80,AR87,AR94,AR101,AR108,AR115,AR122,AR129,AR136,AR143)</f>
        <v/>
      </c>
      <c r="AS3" s="7">
        <f>SUM(AS10,AS17,AS24,AS31,AS38,AS45,AS52,AS59,AS66,AS73,AS80,AS87,AS94,AS101,AS108,AS115,AS122,AS129,AS136,AS143)</f>
        <v/>
      </c>
      <c r="AT3" s="7">
        <f>SUM(AT10,AT17,AT24,AT31,AT38,AT45,AT52,AT59,AT66,AT73,AT80,AT87,AT94,AT101,AT108,AT115,AT122,AT129,AT136,AT143)</f>
        <v/>
      </c>
      <c r="AU3" s="7">
        <f>SUM(AU10,AU17,AU24,AU31,AU38,AU45,AU52,AU59,AU66,AU73,AU80,AU87,AU94,AU101,AU108,AU115,AU122,AU129,AU136,AU143)</f>
        <v/>
      </c>
      <c r="AV3" s="7">
        <f>SUM(AV10,AV17,AV24,AV31,AV38,AV45,AV52,AV59,AV66,AV73,AV80,AV87,AV94,AV101,AV108,AV115,AV122,AV129,AV136,AV143)</f>
        <v/>
      </c>
      <c r="AW3" s="7">
        <f>SUM(AW10,AW17,AW24,AW31,AW38,AW45,AW52,AW59,AW66,AW73,AW80,AW87,AW94,AW101,AW108,AW115,AW122,AW129,AW136,AW143)</f>
        <v/>
      </c>
      <c r="AX3" s="7">
        <f>SUM(AX10,AX17,AX24,AX31,AX38,AX45,AX52,AX59,AX66,AX73,AX80,AX87,AX94,AX101,AX108,AX115,AX122,AX129,AX136,AX143)</f>
        <v/>
      </c>
      <c r="AY3" s="7">
        <f>SUM(AY10,AY17,AY24,AY31,AY38,AY45,AY52,AY59,AY66,AY73,AY80,AY87,AY94,AY101,AY108,AY115,AY122,AY129,AY136,AY143)</f>
        <v/>
      </c>
      <c r="AZ3" s="7">
        <f>SUM(AZ10,AZ17,AZ24,AZ31,AZ38,AZ45,AZ52,AZ59,AZ66,AZ73,AZ80,AZ87,AZ94,AZ101,AZ108,AZ115,AZ122,AZ129,AZ136,AZ143)</f>
        <v/>
      </c>
      <c r="BA3" s="7">
        <f>SUM(BA10,BA17,BA24,BA31,BA38,BA45,BA52,BA59,BA66,BA73,BA80,BA87,BA94,BA101,BA108,BA115,BA122,BA129,BA136,BA143)</f>
        <v/>
      </c>
      <c r="BB3" s="7">
        <f>SUM(BB10,BB17,BB24,BB31,BB38,BB45,BB52,BB59,BB66,BB73,BB80,BB87,BB94,BB101,BB108,BB115,BB122,BB129,BB136,BB143)</f>
        <v/>
      </c>
      <c r="BC3" s="7">
        <f>SUM(BC10,BC17,BC24,BC31,BC38,BC45,BC52,BC59,BC66,BC73,BC80,BC87,BC94,BC101,BC108,BC115,BC122,BC129,BC136,BC143)</f>
        <v/>
      </c>
      <c r="BD3" s="7">
        <f>SUM(BD10,BD17,BD24,BD31,BD38,BD45,BD52,BD59,BD66,BD73,BD80,BD87,BD94,BD101,BD108,BD115,BD122,BD129,BD136,BD143)</f>
        <v/>
      </c>
      <c r="BE3" s="7">
        <f>SUM(BE10,BE17,BE24,BE31,BE38,BE45,BE52,BE59,BE66,BE73,BE80,BE87,BE94,BE101,BE108,BE115,BE122,BE129,BE136,BE143)</f>
        <v/>
      </c>
      <c r="BF3" s="7">
        <f>SUM(BF10,BF17,BF24,BF31,BF38,BF45,BF52,BF59,BF66,BF73,BF80,BF87,BF94,BF101,BF108,BF115,BF122,BF129,BF136,BF143)</f>
        <v/>
      </c>
      <c r="BG3" s="7">
        <f>SUM(BG10,BG17,BG24,BG31,BG38,BG45,BG52,BG59,BG66,BG73,BG80,BG87,BG94,BG101,BG108,BG115,BG122,BG129,BG136,BG143)</f>
        <v/>
      </c>
      <c r="BH3" s="7">
        <f>SUM(BH10,BH17,BH24,BH31,BH38,BH45,BH52,BH59,BH66,BH73,BH80,BH87,BH94,BH101,BH108,BH115,BH122,BH129,BH136,BH143)</f>
        <v/>
      </c>
      <c r="BI3" s="7">
        <f>SUM(BI10,BI17,BI24,BI31,BI38,BI45,BI52,BI59,BI66,BI73,BI80,BI87,BI94,BI101,BI108,BI115,BI122,BI129,BI136,BI143)</f>
        <v/>
      </c>
      <c r="BJ3" s="7">
        <f>SUM(BJ10,BJ17,BJ24,BJ31,BJ38,BJ45,BJ52,BJ59,BJ66,BJ73,BJ80,BJ87,BJ94,BJ101,BJ108,BJ115,BJ122,BJ129,BJ136,BJ143)</f>
        <v/>
      </c>
      <c r="BK3" s="7">
        <f>SUM(BK10,BK17,BK24,BK31,BK38,BK45,BK52,BK59,BK66,BK73,BK80,BK87,BK94,BK101,BK108,BK115,BK122,BK129,BK136,BK143)</f>
        <v/>
      </c>
      <c r="BL3" s="7">
        <f>SUM(BL10,BL17,BL24,BL31,BL38,BL45,BL52,BL59,BL66,BL73,BL80,BL87,BL94,BL101,BL108,BL115,BL122,BL129,BL136,BL143)</f>
        <v/>
      </c>
      <c r="BM3" s="7">
        <f>SUM(BM10,BM17,BM24,BM31,BM38,BM45,BM52,BM59,BM66,BM73,BM80,BM87,BM94,BM101,BM108,BM115,BM122,BM129,BM136,BM143)</f>
        <v/>
      </c>
      <c r="BN3" s="7">
        <f>SUM(BN10,BN17,BN24,BN31,BN38,BN45,BN52,BN59,BN66,BN73,BN80,BN87,BN94,BN101,BN108,BN115,BN122,BN129,BN136,BN143)</f>
        <v/>
      </c>
      <c r="BO3" s="7">
        <f>SUM(BO10,BO17,BO24,BO31,BO38,BO45,BO52,BO59,BO66,BO73,BO80,BO87,BO94,BO101,BO108,BO115,BO122,BO129,BO136,BO143)</f>
        <v/>
      </c>
      <c r="BP3" s="7">
        <f>SUM(BP10,BP17,BP24,BP31,BP38,BP45,BP52,BP59,BP66,BP73,BP80,BP87,BP94,BP101,BP108,BP115,BP122,BP129,BP136,BP143)</f>
        <v/>
      </c>
      <c r="BQ3" s="7">
        <f>SUM(BQ10,BQ17,BQ24,BQ31,BQ38,BQ45,BQ52,BQ59,BQ66,BQ73,BQ80,BQ87,BQ94,BQ101,BQ108,BQ115,BQ122,BQ129,BQ136,BQ143)</f>
        <v/>
      </c>
      <c r="BR3" s="7">
        <f>SUM(BR10,BR17,BR24,BR31,BR38,BR45,BR52,BR59,BR66,BR73,BR80,BR87,BR94,BR101,BR108,BR115,BR122,BR129,BR136,BR143)</f>
        <v/>
      </c>
      <c r="BS3" s="7">
        <f>SUM(BS10,BS17,BS24,BS31,BS38,BS45,BS52,BS59,BS66,BS73,BS80,BS87,BS94,BS101,BS108,BS115,BS122,BS129,BS136,BS143)</f>
        <v/>
      </c>
      <c r="BT3" s="7">
        <f>SUM(BT10,BT17,BT24,BT31,BT38,BT45,BT52,BT59,BT66,BT73,BT80,BT87,BT94,BT101,BT108,BT115,BT122,BT129,BT136,BT143)</f>
        <v/>
      </c>
      <c r="BU3" s="7">
        <f>SUM(BU10,BU17,BU24,BU31,BU38,BU45,BU52,BU59,BU66,BU73,BU80,BU87,BU94,BU101,BU108,BU115,BU122,BU129,BU136,BU143)</f>
        <v/>
      </c>
      <c r="BV3" s="7">
        <f>SUM(BV10,BV17,BV24,BV31,BV38,BV45,BV52,BV59,BV66,BV73,BV80,BV87,BV94,BV101,BV108,BV115,BV122,BV129,BV136,BV143)</f>
        <v/>
      </c>
    </row>
    <row r="4">
      <c r="A4" s="1" t="inlineStr">
        <is>
          <t>new</t>
        </is>
      </c>
      <c r="B4" s="1" t="inlineStr">
        <is>
          <t>TOTAL</t>
        </is>
      </c>
      <c r="C4" s="7">
        <f>SUM(C11,C18,C25,C32,C39,C46,C53,C60,C67,C74,C81,C88,C95,C102,C109,C116,C123,C130,C137,C144)</f>
        <v/>
      </c>
      <c r="D4" s="7">
        <f>SUM(D11,D18,D25,D32,D39,D46,D53,D60,D67,D74,D81,D88,D95,D102,D109,D116,D123,D130,D137,D144)</f>
        <v/>
      </c>
      <c r="E4" s="7">
        <f>SUM(E11,E18,E25,E32,E39,E46,E53,E60,E67,E74,E81,E88,E95,E102,E109,E116,E123,E130,E137,E144)</f>
        <v/>
      </c>
      <c r="F4" s="7">
        <f>SUM(F11,F18,F25,F32,F39,F46,F53,F60,F67,F74,F81,F88,F95,F102,F109,F116,F123,F130,F137,F144)</f>
        <v/>
      </c>
      <c r="G4" s="7">
        <f>SUM(G11,G18,G25,G32,G39,G46,G53,G60,G67,G74,G81,G88,G95,G102,G109,G116,G123,G130,G137,G144)</f>
        <v/>
      </c>
      <c r="H4" s="7">
        <f>SUM(H11,H18,H25,H32,H39,H46,H53,H60,H67,H74,H81,H88,H95,H102,H109,H116,H123,H130,H137,H144)</f>
        <v/>
      </c>
      <c r="I4" s="7">
        <f>SUM(I11,I18,I25,I32,I39,I46,I53,I60,I67,I74,I81,I88,I95,I102,I109,I116,I123,I130,I137,I144)</f>
        <v/>
      </c>
      <c r="J4" s="7">
        <f>SUM(J11,J18,J25,J32,J39,J46,J53,J60,J67,J74,J81,J88,J95,J102,J109,J116,J123,J130,J137,J144)</f>
        <v/>
      </c>
      <c r="K4" s="7">
        <f>SUM(K11,K18,K25,K32,K39,K46,K53,K60,K67,K74,K81,K88,K95,K102,K109,K116,K123,K130,K137,K144)</f>
        <v/>
      </c>
      <c r="L4" s="7">
        <f>SUM(L11,L18,L25,L32,L39,L46,L53,L60,L67,L74,L81,L88,L95,L102,L109,L116,L123,L130,L137,L144)</f>
        <v/>
      </c>
      <c r="M4" s="7">
        <f>SUM(M11,M18,M25,M32,M39,M46,M53,M60,M67,M74,M81,M88,M95,M102,M109,M116,M123,M130,M137,M144)</f>
        <v/>
      </c>
      <c r="N4" s="7">
        <f>SUM(N11,N18,N25,N32,N39,N46,N53,N60,N67,N74,N81,N88,N95,N102,N109,N116,N123,N130,N137,N144)</f>
        <v/>
      </c>
      <c r="O4" s="7">
        <f>SUM(O11,O18,O25,O32,O39,O46,O53,O60,O67,O74,O81,O88,O95,O102,O109,O116,O123,O130,O137,O144)</f>
        <v/>
      </c>
      <c r="P4" s="7">
        <f>SUM(P11,P18,P25,P32,P39,P46,P53,P60,P67,P74,P81,P88,P95,P102,P109,P116,P123,P130,P137,P144)</f>
        <v/>
      </c>
      <c r="Q4" s="7">
        <f>SUM(Q11,Q18,Q25,Q32,Q39,Q46,Q53,Q60,Q67,Q74,Q81,Q88,Q95,Q102,Q109,Q116,Q123,Q130,Q137,Q144)</f>
        <v/>
      </c>
      <c r="R4" s="7">
        <f>SUM(R11,R18,R25,R32,R39,R46,R53,R60,R67,R74,R81,R88,R95,R102,R109,R116,R123,R130,R137,R144)</f>
        <v/>
      </c>
      <c r="S4" s="7">
        <f>SUM(S11,S18,S25,S32,S39,S46,S53,S60,S67,S74,S81,S88,S95,S102,S109,S116,S123,S130,S137,S144)</f>
        <v/>
      </c>
      <c r="T4" s="7">
        <f>SUM(T11,T18,T25,T32,T39,T46,T53,T60,T67,T74,T81,T88,T95,T102,T109,T116,T123,T130,T137,T144)</f>
        <v/>
      </c>
      <c r="U4" s="7">
        <f>SUM(U11,U18,U25,U32,U39,U46,U53,U60,U67,U74,U81,U88,U95,U102,U109,U116,U123,U130,U137,U144)</f>
        <v/>
      </c>
      <c r="V4" s="7">
        <f>SUM(V11,V18,V25,V32,V39,V46,V53,V60,V67,V74,V81,V88,V95,V102,V109,V116,V123,V130,V137,V144)</f>
        <v/>
      </c>
      <c r="W4" s="7">
        <f>SUM(W11,W18,W25,W32,W39,W46,W53,W60,W67,W74,W81,W88,W95,W102,W109,W116,W123,W130,W137,W144)</f>
        <v/>
      </c>
      <c r="X4" s="7">
        <f>SUM(X11,X18,X25,X32,X39,X46,X53,X60,X67,X74,X81,X88,X95,X102,X109,X116,X123,X130,X137,X144)</f>
        <v/>
      </c>
      <c r="Y4" s="7">
        <f>SUM(Y11,Y18,Y25,Y32,Y39,Y46,Y53,Y60,Y67,Y74,Y81,Y88,Y95,Y102,Y109,Y116,Y123,Y130,Y137,Y144)</f>
        <v/>
      </c>
      <c r="Z4" s="7">
        <f>SUM(Z11,Z18,Z25,Z32,Z39,Z46,Z53,Z60,Z67,Z74,Z81,Z88,Z95,Z102,Z109,Z116,Z123,Z130,Z137,Z144)</f>
        <v/>
      </c>
      <c r="AA4" s="7">
        <f>SUM(AA11,AA18,AA25,AA32,AA39,AA46,AA53,AA60,AA67,AA74,AA81,AA88,AA95,AA102,AA109,AA116,AA123,AA130,AA137,AA144)</f>
        <v/>
      </c>
      <c r="AB4" s="7">
        <f>SUM(AB11,AB18,AB25,AB32,AB39,AB46,AB53,AB60,AB67,AB74,AB81,AB88,AB95,AB102,AB109,AB116,AB123,AB130,AB137,AB144)</f>
        <v/>
      </c>
      <c r="AC4" s="7">
        <f>SUM(AC11,AC18,AC25,AC32,AC39,AC46,AC53,AC60,AC67,AC74,AC81,AC88,AC95,AC102,AC109,AC116,AC123,AC130,AC137,AC144)</f>
        <v/>
      </c>
      <c r="AD4" s="7">
        <f>SUM(AD11,AD18,AD25,AD32,AD39,AD46,AD53,AD60,AD67,AD74,AD81,AD88,AD95,AD102,AD109,AD116,AD123,AD130,AD137,AD144)</f>
        <v/>
      </c>
      <c r="AE4" s="7">
        <f>SUM(AE11,AE18,AE25,AE32,AE39,AE46,AE53,AE60,AE67,AE74,AE81,AE88,AE95,AE102,AE109,AE116,AE123,AE130,AE137,AE144)</f>
        <v/>
      </c>
      <c r="AF4" s="7">
        <f>SUM(AF11,AF18,AF25,AF32,AF39,AF46,AF53,AF60,AF67,AF74,AF81,AF88,AF95,AF102,AF109,AF116,AF123,AF130,AF137,AF144)</f>
        <v/>
      </c>
      <c r="AG4" s="7">
        <f>SUM(AG11,AG18,AG25,AG32,AG39,AG46,AG53,AG60,AG67,AG74,AG81,AG88,AG95,AG102,AG109,AG116,AG123,AG130,AG137,AG144)</f>
        <v/>
      </c>
      <c r="AH4" s="7">
        <f>SUM(AH11,AH18,AH25,AH32,AH39,AH46,AH53,AH60,AH67,AH74,AH81,AH88,AH95,AH102,AH109,AH116,AH123,AH130,AH137,AH144)</f>
        <v/>
      </c>
      <c r="AI4" s="7">
        <f>SUM(AI11,AI18,AI25,AI32,AI39,AI46,AI53,AI60,AI67,AI74,AI81,AI88,AI95,AI102,AI109,AI116,AI123,AI130,AI137,AI144)</f>
        <v/>
      </c>
      <c r="AJ4" s="7">
        <f>SUM(AJ11,AJ18,AJ25,AJ32,AJ39,AJ46,AJ53,AJ60,AJ67,AJ74,AJ81,AJ88,AJ95,AJ102,AJ109,AJ116,AJ123,AJ130,AJ137,AJ144)</f>
        <v/>
      </c>
      <c r="AK4" s="7">
        <f>SUM(AK11,AK18,AK25,AK32,AK39,AK46,AK53,AK60,AK67,AK74,AK81,AK88,AK95,AK102,AK109,AK116,AK123,AK130,AK137,AK144)</f>
        <v/>
      </c>
      <c r="AL4" s="7">
        <f>SUM(AL11,AL18,AL25,AL32,AL39,AL46,AL53,AL60,AL67,AL74,AL81,AL88,AL95,AL102,AL109,AL116,AL123,AL130,AL137,AL144)</f>
        <v/>
      </c>
      <c r="AM4" s="7">
        <f>SUM(AM11,AM18,AM25,AM32,AM39,AM46,AM53,AM60,AM67,AM74,AM81,AM88,AM95,AM102,AM109,AM116,AM123,AM130,AM137,AM144)</f>
        <v/>
      </c>
      <c r="AN4" s="7">
        <f>SUM(AN11,AN18,AN25,AN32,AN39,AN46,AN53,AN60,AN67,AN74,AN81,AN88,AN95,AN102,AN109,AN116,AN123,AN130,AN137,AN144)</f>
        <v/>
      </c>
      <c r="AO4" s="7">
        <f>SUM(AO11,AO18,AO25,AO32,AO39,AO46,AO53,AO60,AO67,AO74,AO81,AO88,AO95,AO102,AO109,AO116,AO123,AO130,AO137,AO144)</f>
        <v/>
      </c>
      <c r="AP4" s="7">
        <f>SUM(AP11,AP18,AP25,AP32,AP39,AP46,AP53,AP60,AP67,AP74,AP81,AP88,AP95,AP102,AP109,AP116,AP123,AP130,AP137,AP144)</f>
        <v/>
      </c>
      <c r="AQ4" s="7">
        <f>SUM(AQ11,AQ18,AQ25,AQ32,AQ39,AQ46,AQ53,AQ60,AQ67,AQ74,AQ81,AQ88,AQ95,AQ102,AQ109,AQ116,AQ123,AQ130,AQ137,AQ144)</f>
        <v/>
      </c>
      <c r="AR4" s="7">
        <f>SUM(AR11,AR18,AR25,AR32,AR39,AR46,AR53,AR60,AR67,AR74,AR81,AR88,AR95,AR102,AR109,AR116,AR123,AR130,AR137,AR144)</f>
        <v/>
      </c>
      <c r="AS4" s="7">
        <f>SUM(AS11,AS18,AS25,AS32,AS39,AS46,AS53,AS60,AS67,AS74,AS81,AS88,AS95,AS102,AS109,AS116,AS123,AS130,AS137,AS144)</f>
        <v/>
      </c>
      <c r="AT4" s="7">
        <f>SUM(AT11,AT18,AT25,AT32,AT39,AT46,AT53,AT60,AT67,AT74,AT81,AT88,AT95,AT102,AT109,AT116,AT123,AT130,AT137,AT144)</f>
        <v/>
      </c>
      <c r="AU4" s="7">
        <f>SUM(AU11,AU18,AU25,AU32,AU39,AU46,AU53,AU60,AU67,AU74,AU81,AU88,AU95,AU102,AU109,AU116,AU123,AU130,AU137,AU144)</f>
        <v/>
      </c>
      <c r="AV4" s="7">
        <f>SUM(AV11,AV18,AV25,AV32,AV39,AV46,AV53,AV60,AV67,AV74,AV81,AV88,AV95,AV102,AV109,AV116,AV123,AV130,AV137,AV144)</f>
        <v/>
      </c>
      <c r="AW4" s="7">
        <f>SUM(AW11,AW18,AW25,AW32,AW39,AW46,AW53,AW60,AW67,AW74,AW81,AW88,AW95,AW102,AW109,AW116,AW123,AW130,AW137,AW144)</f>
        <v/>
      </c>
      <c r="AX4" s="7">
        <f>SUM(AX11,AX18,AX25,AX32,AX39,AX46,AX53,AX60,AX67,AX74,AX81,AX88,AX95,AX102,AX109,AX116,AX123,AX130,AX137,AX144)</f>
        <v/>
      </c>
      <c r="AY4" s="7">
        <f>SUM(AY11,AY18,AY25,AY32,AY39,AY46,AY53,AY60,AY67,AY74,AY81,AY88,AY95,AY102,AY109,AY116,AY123,AY130,AY137,AY144)</f>
        <v/>
      </c>
      <c r="AZ4" s="7">
        <f>SUM(AZ11,AZ18,AZ25,AZ32,AZ39,AZ46,AZ53,AZ60,AZ67,AZ74,AZ81,AZ88,AZ95,AZ102,AZ109,AZ116,AZ123,AZ130,AZ137,AZ144)</f>
        <v/>
      </c>
      <c r="BA4" s="7">
        <f>SUM(BA11,BA18,BA25,BA32,BA39,BA46,BA53,BA60,BA67,BA74,BA81,BA88,BA95,BA102,BA109,BA116,BA123,BA130,BA137,BA144)</f>
        <v/>
      </c>
      <c r="BB4" s="7">
        <f>SUM(BB11,BB18,BB25,BB32,BB39,BB46,BB53,BB60,BB67,BB74,BB81,BB88,BB95,BB102,BB109,BB116,BB123,BB130,BB137,BB144)</f>
        <v/>
      </c>
      <c r="BC4" s="7">
        <f>SUM(BC11,BC18,BC25,BC32,BC39,BC46,BC53,BC60,BC67,BC74,BC81,BC88,BC95,BC102,BC109,BC116,BC123,BC130,BC137,BC144)</f>
        <v/>
      </c>
      <c r="BD4" s="7">
        <f>SUM(BD11,BD18,BD25,BD32,BD39,BD46,BD53,BD60,BD67,BD74,BD81,BD88,BD95,BD102,BD109,BD116,BD123,BD130,BD137,BD144)</f>
        <v/>
      </c>
      <c r="BE4" s="7">
        <f>SUM(BE11,BE18,BE25,BE32,BE39,BE46,BE53,BE60,BE67,BE74,BE81,BE88,BE95,BE102,BE109,BE116,BE123,BE130,BE137,BE144)</f>
        <v/>
      </c>
      <c r="BF4" s="7">
        <f>SUM(BF11,BF18,BF25,BF32,BF39,BF46,BF53,BF60,BF67,BF74,BF81,BF88,BF95,BF102,BF109,BF116,BF123,BF130,BF137,BF144)</f>
        <v/>
      </c>
      <c r="BG4" s="7">
        <f>SUM(BG11,BG18,BG25,BG32,BG39,BG46,BG53,BG60,BG67,BG74,BG81,BG88,BG95,BG102,BG109,BG116,BG123,BG130,BG137,BG144)</f>
        <v/>
      </c>
      <c r="BH4" s="7">
        <f>SUM(BH11,BH18,BH25,BH32,BH39,BH46,BH53,BH60,BH67,BH74,BH81,BH88,BH95,BH102,BH109,BH116,BH123,BH130,BH137,BH144)</f>
        <v/>
      </c>
      <c r="BI4" s="7">
        <f>SUM(BI11,BI18,BI25,BI32,BI39,BI46,BI53,BI60,BI67,BI74,BI81,BI88,BI95,BI102,BI109,BI116,BI123,BI130,BI137,BI144)</f>
        <v/>
      </c>
      <c r="BJ4" s="7">
        <f>SUM(BJ11,BJ18,BJ25,BJ32,BJ39,BJ46,BJ53,BJ60,BJ67,BJ74,BJ81,BJ88,BJ95,BJ102,BJ109,BJ116,BJ123,BJ130,BJ137,BJ144)</f>
        <v/>
      </c>
      <c r="BK4" s="7">
        <f>SUM(BK11,BK18,BK25,BK32,BK39,BK46,BK53,BK60,BK67,BK74,BK81,BK88,BK95,BK102,BK109,BK116,BK123,BK130,BK137,BK144)</f>
        <v/>
      </c>
      <c r="BL4" s="7">
        <f>SUM(BL11,BL18,BL25,BL32,BL39,BL46,BL53,BL60,BL67,BL74,BL81,BL88,BL95,BL102,BL109,BL116,BL123,BL130,BL137,BL144)</f>
        <v/>
      </c>
      <c r="BM4" s="7">
        <f>SUM(BM11,BM18,BM25,BM32,BM39,BM46,BM53,BM60,BM67,BM74,BM81,BM88,BM95,BM102,BM109,BM116,BM123,BM130,BM137,BM144)</f>
        <v/>
      </c>
      <c r="BN4" s="7">
        <f>SUM(BN11,BN18,BN25,BN32,BN39,BN46,BN53,BN60,BN67,BN74,BN81,BN88,BN95,BN102,BN109,BN116,BN123,BN130,BN137,BN144)</f>
        <v/>
      </c>
      <c r="BO4" s="7">
        <f>SUM(BO11,BO18,BO25,BO32,BO39,BO46,BO53,BO60,BO67,BO74,BO81,BO88,BO95,BO102,BO109,BO116,BO123,BO130,BO137,BO144)</f>
        <v/>
      </c>
      <c r="BP4" s="7">
        <f>SUM(BP11,BP18,BP25,BP32,BP39,BP46,BP53,BP60,BP67,BP74,BP81,BP88,BP95,BP102,BP109,BP116,BP123,BP130,BP137,BP144)</f>
        <v/>
      </c>
      <c r="BQ4" s="7">
        <f>SUM(BQ11,BQ18,BQ25,BQ32,BQ39,BQ46,BQ53,BQ60,BQ67,BQ74,BQ81,BQ88,BQ95,BQ102,BQ109,BQ116,BQ123,BQ130,BQ137,BQ144)</f>
        <v/>
      </c>
      <c r="BR4" s="7">
        <f>SUM(BR11,BR18,BR25,BR32,BR39,BR46,BR53,BR60,BR67,BR74,BR81,BR88,BR95,BR102,BR109,BR116,BR123,BR130,BR137,BR144)</f>
        <v/>
      </c>
      <c r="BS4" s="7">
        <f>SUM(BS11,BS18,BS25,BS32,BS39,BS46,BS53,BS60,BS67,BS74,BS81,BS88,BS95,BS102,BS109,BS116,BS123,BS130,BS137,BS144)</f>
        <v/>
      </c>
      <c r="BT4" s="7">
        <f>SUM(BT11,BT18,BT25,BT32,BT39,BT46,BT53,BT60,BT67,BT74,BT81,BT88,BT95,BT102,BT109,BT116,BT123,BT130,BT137,BT144)</f>
        <v/>
      </c>
      <c r="BU4" s="7">
        <f>SUM(BU11,BU18,BU25,BU32,BU39,BU46,BU53,BU60,BU67,BU74,BU81,BU88,BU95,BU102,BU109,BU116,BU123,BU130,BU137,BU144)</f>
        <v/>
      </c>
      <c r="BV4" s="7">
        <f>SUM(BV11,BV18,BV25,BV32,BV39,BV46,BV53,BV60,BV67,BV74,BV81,BV88,BV95,BV102,BV109,BV116,BV123,BV130,BV137,BV144)</f>
        <v/>
      </c>
    </row>
    <row r="5">
      <c r="A5" s="1" t="inlineStr">
        <is>
          <t>reactivated</t>
        </is>
      </c>
      <c r="B5" s="1" t="inlineStr">
        <is>
          <t>TOTAL</t>
        </is>
      </c>
      <c r="C5" s="7">
        <f>SUM(C12,C19,C26,C33,C40,C47,C54,C61,C68,C75,C82,C89,C96,C103,C110,C117,C124,C131,C138,C145)</f>
        <v/>
      </c>
      <c r="D5" s="7">
        <f>SUM(D12,D19,D26,D33,D40,D47,D54,D61,D68,D75,D82,D89,D96,D103,D110,D117,D124,D131,D138,D145)</f>
        <v/>
      </c>
      <c r="E5" s="7">
        <f>SUM(E12,E19,E26,E33,E40,E47,E54,E61,E68,E75,E82,E89,E96,E103,E110,E117,E124,E131,E138,E145)</f>
        <v/>
      </c>
      <c r="F5" s="7">
        <f>SUM(F12,F19,F26,F33,F40,F47,F54,F61,F68,F75,F82,F89,F96,F103,F110,F117,F124,F131,F138,F145)</f>
        <v/>
      </c>
      <c r="G5" s="7">
        <f>SUM(G12,G19,G26,G33,G40,G47,G54,G61,G68,G75,G82,G89,G96,G103,G110,G117,G124,G131,G138,G145)</f>
        <v/>
      </c>
      <c r="H5" s="7">
        <f>SUM(H12,H19,H26,H33,H40,H47,H54,H61,H68,H75,H82,H89,H96,H103,H110,H117,H124,H131,H138,H145)</f>
        <v/>
      </c>
      <c r="I5" s="7">
        <f>SUM(I12,I19,I26,I33,I40,I47,I54,I61,I68,I75,I82,I89,I96,I103,I110,I117,I124,I131,I138,I145)</f>
        <v/>
      </c>
      <c r="J5" s="7">
        <f>SUM(J12,J19,J26,J33,J40,J47,J54,J61,J68,J75,J82,J89,J96,J103,J110,J117,J124,J131,J138,J145)</f>
        <v/>
      </c>
      <c r="K5" s="7">
        <f>SUM(K12,K19,K26,K33,K40,K47,K54,K61,K68,K75,K82,K89,K96,K103,K110,K117,K124,K131,K138,K145)</f>
        <v/>
      </c>
      <c r="L5" s="7">
        <f>SUM(L12,L19,L26,L33,L40,L47,L54,L61,L68,L75,L82,L89,L96,L103,L110,L117,L124,L131,L138,L145)</f>
        <v/>
      </c>
      <c r="M5" s="7">
        <f>SUM(M12,M19,M26,M33,M40,M47,M54,M61,M68,M75,M82,M89,M96,M103,M110,M117,M124,M131,M138,M145)</f>
        <v/>
      </c>
      <c r="N5" s="7">
        <f>SUM(N12,N19,N26,N33,N40,N47,N54,N61,N68,N75,N82,N89,N96,N103,N110,N117,N124,N131,N138,N145)</f>
        <v/>
      </c>
      <c r="O5" s="7">
        <f>SUM(O12,O19,O26,O33,O40,O47,O54,O61,O68,O75,O82,O89,O96,O103,O110,O117,O124,O131,O138,O145)</f>
        <v/>
      </c>
      <c r="P5" s="7">
        <f>SUM(P12,P19,P26,P33,P40,P47,P54,P61,P68,P75,P82,P89,P96,P103,P110,P117,P124,P131,P138,P145)</f>
        <v/>
      </c>
      <c r="Q5" s="7">
        <f>SUM(Q12,Q19,Q26,Q33,Q40,Q47,Q54,Q61,Q68,Q75,Q82,Q89,Q96,Q103,Q110,Q117,Q124,Q131,Q138,Q145)</f>
        <v/>
      </c>
      <c r="R5" s="7">
        <f>SUM(R12,R19,R26,R33,R40,R47,R54,R61,R68,R75,R82,R89,R96,R103,R110,R117,R124,R131,R138,R145)</f>
        <v/>
      </c>
      <c r="S5" s="7">
        <f>SUM(S12,S19,S26,S33,S40,S47,S54,S61,S68,S75,S82,S89,S96,S103,S110,S117,S124,S131,S138,S145)</f>
        <v/>
      </c>
      <c r="T5" s="7">
        <f>SUM(T12,T19,T26,T33,T40,T47,T54,T61,T68,T75,T82,T89,T96,T103,T110,T117,T124,T131,T138,T145)</f>
        <v/>
      </c>
      <c r="U5" s="7">
        <f>SUM(U12,U19,U26,U33,U40,U47,U54,U61,U68,U75,U82,U89,U96,U103,U110,U117,U124,U131,U138,U145)</f>
        <v/>
      </c>
      <c r="V5" s="7">
        <f>SUM(V12,V19,V26,V33,V40,V47,V54,V61,V68,V75,V82,V89,V96,V103,V110,V117,V124,V131,V138,V145)</f>
        <v/>
      </c>
      <c r="W5" s="7">
        <f>SUM(W12,W19,W26,W33,W40,W47,W54,W61,W68,W75,W82,W89,W96,W103,W110,W117,W124,W131,W138,W145)</f>
        <v/>
      </c>
      <c r="X5" s="7">
        <f>SUM(X12,X19,X26,X33,X40,X47,X54,X61,X68,X75,X82,X89,X96,X103,X110,X117,X124,X131,X138,X145)</f>
        <v/>
      </c>
      <c r="Y5" s="7">
        <f>SUM(Y12,Y19,Y26,Y33,Y40,Y47,Y54,Y61,Y68,Y75,Y82,Y89,Y96,Y103,Y110,Y117,Y124,Y131,Y138,Y145)</f>
        <v/>
      </c>
      <c r="Z5" s="7">
        <f>SUM(Z12,Z19,Z26,Z33,Z40,Z47,Z54,Z61,Z68,Z75,Z82,Z89,Z96,Z103,Z110,Z117,Z124,Z131,Z138,Z145)</f>
        <v/>
      </c>
      <c r="AA5" s="7">
        <f>SUM(AA12,AA19,AA26,AA33,AA40,AA47,AA54,AA61,AA68,AA75,AA82,AA89,AA96,AA103,AA110,AA117,AA124,AA131,AA138,AA145)</f>
        <v/>
      </c>
      <c r="AB5" s="7">
        <f>SUM(AB12,AB19,AB26,AB33,AB40,AB47,AB54,AB61,AB68,AB75,AB82,AB89,AB96,AB103,AB110,AB117,AB124,AB131,AB138,AB145)</f>
        <v/>
      </c>
      <c r="AC5" s="7">
        <f>SUM(AC12,AC19,AC26,AC33,AC40,AC47,AC54,AC61,AC68,AC75,AC82,AC89,AC96,AC103,AC110,AC117,AC124,AC131,AC138,AC145)</f>
        <v/>
      </c>
      <c r="AD5" s="7">
        <f>SUM(AD12,AD19,AD26,AD33,AD40,AD47,AD54,AD61,AD68,AD75,AD82,AD89,AD96,AD103,AD110,AD117,AD124,AD131,AD138,AD145)</f>
        <v/>
      </c>
      <c r="AE5" s="7">
        <f>SUM(AE12,AE19,AE26,AE33,AE40,AE47,AE54,AE61,AE68,AE75,AE82,AE89,AE96,AE103,AE110,AE117,AE124,AE131,AE138,AE145)</f>
        <v/>
      </c>
      <c r="AF5" s="7">
        <f>SUM(AF12,AF19,AF26,AF33,AF40,AF47,AF54,AF61,AF68,AF75,AF82,AF89,AF96,AF103,AF110,AF117,AF124,AF131,AF138,AF145)</f>
        <v/>
      </c>
      <c r="AG5" s="7">
        <f>SUM(AG12,AG19,AG26,AG33,AG40,AG47,AG54,AG61,AG68,AG75,AG82,AG89,AG96,AG103,AG110,AG117,AG124,AG131,AG138,AG145)</f>
        <v/>
      </c>
      <c r="AH5" s="7">
        <f>SUM(AH12,AH19,AH26,AH33,AH40,AH47,AH54,AH61,AH68,AH75,AH82,AH89,AH96,AH103,AH110,AH117,AH124,AH131,AH138,AH145)</f>
        <v/>
      </c>
      <c r="AI5" s="7">
        <f>SUM(AI12,AI19,AI26,AI33,AI40,AI47,AI54,AI61,AI68,AI75,AI82,AI89,AI96,AI103,AI110,AI117,AI124,AI131,AI138,AI145)</f>
        <v/>
      </c>
      <c r="AJ5" s="7">
        <f>SUM(AJ12,AJ19,AJ26,AJ33,AJ40,AJ47,AJ54,AJ61,AJ68,AJ75,AJ82,AJ89,AJ96,AJ103,AJ110,AJ117,AJ124,AJ131,AJ138,AJ145)</f>
        <v/>
      </c>
      <c r="AK5" s="7">
        <f>SUM(AK12,AK19,AK26,AK33,AK40,AK47,AK54,AK61,AK68,AK75,AK82,AK89,AK96,AK103,AK110,AK117,AK124,AK131,AK138,AK145)</f>
        <v/>
      </c>
      <c r="AL5" s="7">
        <f>SUM(AL12,AL19,AL26,AL33,AL40,AL47,AL54,AL61,AL68,AL75,AL82,AL89,AL96,AL103,AL110,AL117,AL124,AL131,AL138,AL145)</f>
        <v/>
      </c>
      <c r="AM5" s="7">
        <f>SUM(AM12,AM19,AM26,AM33,AM40,AM47,AM54,AM61,AM68,AM75,AM82,AM89,AM96,AM103,AM110,AM117,AM124,AM131,AM138,AM145)</f>
        <v/>
      </c>
      <c r="AN5" s="7">
        <f>SUM(AN12,AN19,AN26,AN33,AN40,AN47,AN54,AN61,AN68,AN75,AN82,AN89,AN96,AN103,AN110,AN117,AN124,AN131,AN138,AN145)</f>
        <v/>
      </c>
      <c r="AO5" s="7">
        <f>SUM(AO12,AO19,AO26,AO33,AO40,AO47,AO54,AO61,AO68,AO75,AO82,AO89,AO96,AO103,AO110,AO117,AO124,AO131,AO138,AO145)</f>
        <v/>
      </c>
      <c r="AP5" s="7">
        <f>SUM(AP12,AP19,AP26,AP33,AP40,AP47,AP54,AP61,AP68,AP75,AP82,AP89,AP96,AP103,AP110,AP117,AP124,AP131,AP138,AP145)</f>
        <v/>
      </c>
      <c r="AQ5" s="7">
        <f>SUM(AQ12,AQ19,AQ26,AQ33,AQ40,AQ47,AQ54,AQ61,AQ68,AQ75,AQ82,AQ89,AQ96,AQ103,AQ110,AQ117,AQ124,AQ131,AQ138,AQ145)</f>
        <v/>
      </c>
      <c r="AR5" s="7">
        <f>SUM(AR12,AR19,AR26,AR33,AR40,AR47,AR54,AR61,AR68,AR75,AR82,AR89,AR96,AR103,AR110,AR117,AR124,AR131,AR138,AR145)</f>
        <v/>
      </c>
      <c r="AS5" s="7">
        <f>SUM(AS12,AS19,AS26,AS33,AS40,AS47,AS54,AS61,AS68,AS75,AS82,AS89,AS96,AS103,AS110,AS117,AS124,AS131,AS138,AS145)</f>
        <v/>
      </c>
      <c r="AT5" s="7">
        <f>SUM(AT12,AT19,AT26,AT33,AT40,AT47,AT54,AT61,AT68,AT75,AT82,AT89,AT96,AT103,AT110,AT117,AT124,AT131,AT138,AT145)</f>
        <v/>
      </c>
      <c r="AU5" s="7">
        <f>SUM(AU12,AU19,AU26,AU33,AU40,AU47,AU54,AU61,AU68,AU75,AU82,AU89,AU96,AU103,AU110,AU117,AU124,AU131,AU138,AU145)</f>
        <v/>
      </c>
      <c r="AV5" s="7">
        <f>SUM(AV12,AV19,AV26,AV33,AV40,AV47,AV54,AV61,AV68,AV75,AV82,AV89,AV96,AV103,AV110,AV117,AV124,AV131,AV138,AV145)</f>
        <v/>
      </c>
      <c r="AW5" s="7">
        <f>SUM(AW12,AW19,AW26,AW33,AW40,AW47,AW54,AW61,AW68,AW75,AW82,AW89,AW96,AW103,AW110,AW117,AW124,AW131,AW138,AW145)</f>
        <v/>
      </c>
      <c r="AX5" s="7">
        <f>SUM(AX12,AX19,AX26,AX33,AX40,AX47,AX54,AX61,AX68,AX75,AX82,AX89,AX96,AX103,AX110,AX117,AX124,AX131,AX138,AX145)</f>
        <v/>
      </c>
      <c r="AY5" s="7">
        <f>SUM(AY12,AY19,AY26,AY33,AY40,AY47,AY54,AY61,AY68,AY75,AY82,AY89,AY96,AY103,AY110,AY117,AY124,AY131,AY138,AY145)</f>
        <v/>
      </c>
      <c r="AZ5" s="7">
        <f>SUM(AZ12,AZ19,AZ26,AZ33,AZ40,AZ47,AZ54,AZ61,AZ68,AZ75,AZ82,AZ89,AZ96,AZ103,AZ110,AZ117,AZ124,AZ131,AZ138,AZ145)</f>
        <v/>
      </c>
      <c r="BA5" s="7">
        <f>SUM(BA12,BA19,BA26,BA33,BA40,BA47,BA54,BA61,BA68,BA75,BA82,BA89,BA96,BA103,BA110,BA117,BA124,BA131,BA138,BA145)</f>
        <v/>
      </c>
      <c r="BB5" s="7">
        <f>SUM(BB12,BB19,BB26,BB33,BB40,BB47,BB54,BB61,BB68,BB75,BB82,BB89,BB96,BB103,BB110,BB117,BB124,BB131,BB138,BB145)</f>
        <v/>
      </c>
      <c r="BC5" s="7">
        <f>SUM(BC12,BC19,BC26,BC33,BC40,BC47,BC54,BC61,BC68,BC75,BC82,BC89,BC96,BC103,BC110,BC117,BC124,BC131,BC138,BC145)</f>
        <v/>
      </c>
      <c r="BD5" s="7">
        <f>SUM(BD12,BD19,BD26,BD33,BD40,BD47,BD54,BD61,BD68,BD75,BD82,BD89,BD96,BD103,BD110,BD117,BD124,BD131,BD138,BD145)</f>
        <v/>
      </c>
      <c r="BE5" s="7">
        <f>SUM(BE12,BE19,BE26,BE33,BE40,BE47,BE54,BE61,BE68,BE75,BE82,BE89,BE96,BE103,BE110,BE117,BE124,BE131,BE138,BE145)</f>
        <v/>
      </c>
      <c r="BF5" s="7">
        <f>SUM(BF12,BF19,BF26,BF33,BF40,BF47,BF54,BF61,BF68,BF75,BF82,BF89,BF96,BF103,BF110,BF117,BF124,BF131,BF138,BF145)</f>
        <v/>
      </c>
      <c r="BG5" s="7">
        <f>SUM(BG12,BG19,BG26,BG33,BG40,BG47,BG54,BG61,BG68,BG75,BG82,BG89,BG96,BG103,BG110,BG117,BG124,BG131,BG138,BG145)</f>
        <v/>
      </c>
      <c r="BH5" s="7">
        <f>SUM(BH12,BH19,BH26,BH33,BH40,BH47,BH54,BH61,BH68,BH75,BH82,BH89,BH96,BH103,BH110,BH117,BH124,BH131,BH138,BH145)</f>
        <v/>
      </c>
      <c r="BI5" s="7">
        <f>SUM(BI12,BI19,BI26,BI33,BI40,BI47,BI54,BI61,BI68,BI75,BI82,BI89,BI96,BI103,BI110,BI117,BI124,BI131,BI138,BI145)</f>
        <v/>
      </c>
      <c r="BJ5" s="7">
        <f>SUM(BJ12,BJ19,BJ26,BJ33,BJ40,BJ47,BJ54,BJ61,BJ68,BJ75,BJ82,BJ89,BJ96,BJ103,BJ110,BJ117,BJ124,BJ131,BJ138,BJ145)</f>
        <v/>
      </c>
      <c r="BK5" s="7">
        <f>SUM(BK12,BK19,BK26,BK33,BK40,BK47,BK54,BK61,BK68,BK75,BK82,BK89,BK96,BK103,BK110,BK117,BK124,BK131,BK138,BK145)</f>
        <v/>
      </c>
      <c r="BL5" s="7">
        <f>SUM(BL12,BL19,BL26,BL33,BL40,BL47,BL54,BL61,BL68,BL75,BL82,BL89,BL96,BL103,BL110,BL117,BL124,BL131,BL138,BL145)</f>
        <v/>
      </c>
      <c r="BM5" s="7">
        <f>SUM(BM12,BM19,BM26,BM33,BM40,BM47,BM54,BM61,BM68,BM75,BM82,BM89,BM96,BM103,BM110,BM117,BM124,BM131,BM138,BM145)</f>
        <v/>
      </c>
      <c r="BN5" s="7">
        <f>SUM(BN12,BN19,BN26,BN33,BN40,BN47,BN54,BN61,BN68,BN75,BN82,BN89,BN96,BN103,BN110,BN117,BN124,BN131,BN138,BN145)</f>
        <v/>
      </c>
      <c r="BO5" s="7">
        <f>SUM(BO12,BO19,BO26,BO33,BO40,BO47,BO54,BO61,BO68,BO75,BO82,BO89,BO96,BO103,BO110,BO117,BO124,BO131,BO138,BO145)</f>
        <v/>
      </c>
      <c r="BP5" s="7">
        <f>SUM(BP12,BP19,BP26,BP33,BP40,BP47,BP54,BP61,BP68,BP75,BP82,BP89,BP96,BP103,BP110,BP117,BP124,BP131,BP138,BP145)</f>
        <v/>
      </c>
      <c r="BQ5" s="7">
        <f>SUM(BQ12,BQ19,BQ26,BQ33,BQ40,BQ47,BQ54,BQ61,BQ68,BQ75,BQ82,BQ89,BQ96,BQ103,BQ110,BQ117,BQ124,BQ131,BQ138,BQ145)</f>
        <v/>
      </c>
      <c r="BR5" s="7">
        <f>SUM(BR12,BR19,BR26,BR33,BR40,BR47,BR54,BR61,BR68,BR75,BR82,BR89,BR96,BR103,BR110,BR117,BR124,BR131,BR138,BR145)</f>
        <v/>
      </c>
      <c r="BS5" s="7">
        <f>SUM(BS12,BS19,BS26,BS33,BS40,BS47,BS54,BS61,BS68,BS75,BS82,BS89,BS96,BS103,BS110,BS117,BS124,BS131,BS138,BS145)</f>
        <v/>
      </c>
      <c r="BT5" s="7">
        <f>SUM(BT12,BT19,BT26,BT33,BT40,BT47,BT54,BT61,BT68,BT75,BT82,BT89,BT96,BT103,BT110,BT117,BT124,BT131,BT138,BT145)</f>
        <v/>
      </c>
      <c r="BU5" s="7">
        <f>SUM(BU12,BU19,BU26,BU33,BU40,BU47,BU54,BU61,BU68,BU75,BU82,BU89,BU96,BU103,BU110,BU117,BU124,BU131,BU138,BU145)</f>
        <v/>
      </c>
      <c r="BV5" s="7">
        <f>SUM(BV12,BV19,BV26,BV33,BV40,BV47,BV54,BV61,BV68,BV75,BV82,BV89,BV96,BV103,BV110,BV117,BV124,BV131,BV138,BV145)</f>
        <v/>
      </c>
    </row>
    <row r="6">
      <c r="A6" s="1" t="inlineStr">
        <is>
          <t>churned</t>
        </is>
      </c>
      <c r="B6" s="1" t="inlineStr">
        <is>
          <t>TOTAL</t>
        </is>
      </c>
      <c r="C6" s="7">
        <f>SUM(C13,C20,C27,C34,C41,C48,C55,C62,C69,C76,C83,C90,C97,C104,C111,C118,C125,C132,C139,C146)</f>
        <v/>
      </c>
      <c r="D6" s="7">
        <f>SUM(D13,D20,D27,D34,D41,D48,D55,D62,D69,D76,D83,D90,D97,D104,D111,D118,D125,D132,D139,D146)</f>
        <v/>
      </c>
      <c r="E6" s="7">
        <f>SUM(E13,E20,E27,E34,E41,E48,E55,E62,E69,E76,E83,E90,E97,E104,E111,E118,E125,E132,E139,E146)</f>
        <v/>
      </c>
      <c r="F6" s="7">
        <f>SUM(F13,F20,F27,F34,F41,F48,F55,F62,F69,F76,F83,F90,F97,F104,F111,F118,F125,F132,F139,F146)</f>
        <v/>
      </c>
      <c r="G6" s="7">
        <f>SUM(G13,G20,G27,G34,G41,G48,G55,G62,G69,G76,G83,G90,G97,G104,G111,G118,G125,G132,G139,G146)</f>
        <v/>
      </c>
      <c r="H6" s="7">
        <f>SUM(H13,H20,H27,H34,H41,H48,H55,H62,H69,H76,H83,H90,H97,H104,H111,H118,H125,H132,H139,H146)</f>
        <v/>
      </c>
      <c r="I6" s="7">
        <f>SUM(I13,I20,I27,I34,I41,I48,I55,I62,I69,I76,I83,I90,I97,I104,I111,I118,I125,I132,I139,I146)</f>
        <v/>
      </c>
      <c r="J6" s="7">
        <f>SUM(J13,J20,J27,J34,J41,J48,J55,J62,J69,J76,J83,J90,J97,J104,J111,J118,J125,J132,J139,J146)</f>
        <v/>
      </c>
      <c r="K6" s="7">
        <f>SUM(K13,K20,K27,K34,K41,K48,K55,K62,K69,K76,K83,K90,K97,K104,K111,K118,K125,K132,K139,K146)</f>
        <v/>
      </c>
      <c r="L6" s="7">
        <f>SUM(L13,L20,L27,L34,L41,L48,L55,L62,L69,L76,L83,L90,L97,L104,L111,L118,L125,L132,L139,L146)</f>
        <v/>
      </c>
      <c r="M6" s="7">
        <f>SUM(M13,M20,M27,M34,M41,M48,M55,M62,M69,M76,M83,M90,M97,M104,M111,M118,M125,M132,M139,M146)</f>
        <v/>
      </c>
      <c r="N6" s="7">
        <f>SUM(N13,N20,N27,N34,N41,N48,N55,N62,N69,N76,N83,N90,N97,N104,N111,N118,N125,N132,N139,N146)</f>
        <v/>
      </c>
      <c r="O6" s="7">
        <f>SUM(O13,O20,O27,O34,O41,O48,O55,O62,O69,O76,O83,O90,O97,O104,O111,O118,O125,O132,O139,O146)</f>
        <v/>
      </c>
      <c r="P6" s="7">
        <f>SUM(P13,P20,P27,P34,P41,P48,P55,P62,P69,P76,P83,P90,P97,P104,P111,P118,P125,P132,P139,P146)</f>
        <v/>
      </c>
      <c r="Q6" s="7">
        <f>SUM(Q13,Q20,Q27,Q34,Q41,Q48,Q55,Q62,Q69,Q76,Q83,Q90,Q97,Q104,Q111,Q118,Q125,Q132,Q139,Q146)</f>
        <v/>
      </c>
      <c r="R6" s="7">
        <f>SUM(R13,R20,R27,R34,R41,R48,R55,R62,R69,R76,R83,R90,R97,R104,R111,R118,R125,R132,R139,R146)</f>
        <v/>
      </c>
      <c r="S6" s="7">
        <f>SUM(S13,S20,S27,S34,S41,S48,S55,S62,S69,S76,S83,S90,S97,S104,S111,S118,S125,S132,S139,S146)</f>
        <v/>
      </c>
      <c r="T6" s="7">
        <f>SUM(T13,T20,T27,T34,T41,T48,T55,T62,T69,T76,T83,T90,T97,T104,T111,T118,T125,T132,T139,T146)</f>
        <v/>
      </c>
      <c r="U6" s="7">
        <f>SUM(U13,U20,U27,U34,U41,U48,U55,U62,U69,U76,U83,U90,U97,U104,U111,U118,U125,U132,U139,U146)</f>
        <v/>
      </c>
      <c r="V6" s="7">
        <f>SUM(V13,V20,V27,V34,V41,V48,V55,V62,V69,V76,V83,V90,V97,V104,V111,V118,V125,V132,V139,V146)</f>
        <v/>
      </c>
      <c r="W6" s="7">
        <f>SUM(W13,W20,W27,W34,W41,W48,W55,W62,W69,W76,W83,W90,W97,W104,W111,W118,W125,W132,W139,W146)</f>
        <v/>
      </c>
      <c r="X6" s="7">
        <f>SUM(X13,X20,X27,X34,X41,X48,X55,X62,X69,X76,X83,X90,X97,X104,X111,X118,X125,X132,X139,X146)</f>
        <v/>
      </c>
      <c r="Y6" s="7">
        <f>SUM(Y13,Y20,Y27,Y34,Y41,Y48,Y55,Y62,Y69,Y76,Y83,Y90,Y97,Y104,Y111,Y118,Y125,Y132,Y139,Y146)</f>
        <v/>
      </c>
      <c r="Z6" s="7">
        <f>SUM(Z13,Z20,Z27,Z34,Z41,Z48,Z55,Z62,Z69,Z76,Z83,Z90,Z97,Z104,Z111,Z118,Z125,Z132,Z139,Z146)</f>
        <v/>
      </c>
      <c r="AA6" s="7">
        <f>SUM(AA13,AA20,AA27,AA34,AA41,AA48,AA55,AA62,AA69,AA76,AA83,AA90,AA97,AA104,AA111,AA118,AA125,AA132,AA139,AA146)</f>
        <v/>
      </c>
      <c r="AB6" s="7">
        <f>SUM(AB13,AB20,AB27,AB34,AB41,AB48,AB55,AB62,AB69,AB76,AB83,AB90,AB97,AB104,AB111,AB118,AB125,AB132,AB139,AB146)</f>
        <v/>
      </c>
      <c r="AC6" s="7">
        <f>SUM(AC13,AC20,AC27,AC34,AC41,AC48,AC55,AC62,AC69,AC76,AC83,AC90,AC97,AC104,AC111,AC118,AC125,AC132,AC139,AC146)</f>
        <v/>
      </c>
      <c r="AD6" s="7">
        <f>SUM(AD13,AD20,AD27,AD34,AD41,AD48,AD55,AD62,AD69,AD76,AD83,AD90,AD97,AD104,AD111,AD118,AD125,AD132,AD139,AD146)</f>
        <v/>
      </c>
      <c r="AE6" s="7">
        <f>SUM(AE13,AE20,AE27,AE34,AE41,AE48,AE55,AE62,AE69,AE76,AE83,AE90,AE97,AE104,AE111,AE118,AE125,AE132,AE139,AE146)</f>
        <v/>
      </c>
      <c r="AF6" s="7">
        <f>SUM(AF13,AF20,AF27,AF34,AF41,AF48,AF55,AF62,AF69,AF76,AF83,AF90,AF97,AF104,AF111,AF118,AF125,AF132,AF139,AF146)</f>
        <v/>
      </c>
      <c r="AG6" s="7">
        <f>SUM(AG13,AG20,AG27,AG34,AG41,AG48,AG55,AG62,AG69,AG76,AG83,AG90,AG97,AG104,AG111,AG118,AG125,AG132,AG139,AG146)</f>
        <v/>
      </c>
      <c r="AH6" s="7">
        <f>SUM(AH13,AH20,AH27,AH34,AH41,AH48,AH55,AH62,AH69,AH76,AH83,AH90,AH97,AH104,AH111,AH118,AH125,AH132,AH139,AH146)</f>
        <v/>
      </c>
      <c r="AI6" s="7">
        <f>SUM(AI13,AI20,AI27,AI34,AI41,AI48,AI55,AI62,AI69,AI76,AI83,AI90,AI97,AI104,AI111,AI118,AI125,AI132,AI139,AI146)</f>
        <v/>
      </c>
      <c r="AJ6" s="7">
        <f>SUM(AJ13,AJ20,AJ27,AJ34,AJ41,AJ48,AJ55,AJ62,AJ69,AJ76,AJ83,AJ90,AJ97,AJ104,AJ111,AJ118,AJ125,AJ132,AJ139,AJ146)</f>
        <v/>
      </c>
      <c r="AK6" s="7">
        <f>SUM(AK13,AK20,AK27,AK34,AK41,AK48,AK55,AK62,AK69,AK76,AK83,AK90,AK97,AK104,AK111,AK118,AK125,AK132,AK139,AK146)</f>
        <v/>
      </c>
      <c r="AL6" s="7">
        <f>SUM(AL13,AL20,AL27,AL34,AL41,AL48,AL55,AL62,AL69,AL76,AL83,AL90,AL97,AL104,AL111,AL118,AL125,AL132,AL139,AL146)</f>
        <v/>
      </c>
      <c r="AM6" s="7">
        <f>SUM(AM13,AM20,AM27,AM34,AM41,AM48,AM55,AM62,AM69,AM76,AM83,AM90,AM97,AM104,AM111,AM118,AM125,AM132,AM139,AM146)</f>
        <v/>
      </c>
      <c r="AN6" s="7">
        <f>SUM(AN13,AN20,AN27,AN34,AN41,AN48,AN55,AN62,AN69,AN76,AN83,AN90,AN97,AN104,AN111,AN118,AN125,AN132,AN139,AN146)</f>
        <v/>
      </c>
      <c r="AO6" s="7">
        <f>SUM(AO13,AO20,AO27,AO34,AO41,AO48,AO55,AO62,AO69,AO76,AO83,AO90,AO97,AO104,AO111,AO118,AO125,AO132,AO139,AO146)</f>
        <v/>
      </c>
      <c r="AP6" s="7">
        <f>SUM(AP13,AP20,AP27,AP34,AP41,AP48,AP55,AP62,AP69,AP76,AP83,AP90,AP97,AP104,AP111,AP118,AP125,AP132,AP139,AP146)</f>
        <v/>
      </c>
      <c r="AQ6" s="7">
        <f>SUM(AQ13,AQ20,AQ27,AQ34,AQ41,AQ48,AQ55,AQ62,AQ69,AQ76,AQ83,AQ90,AQ97,AQ104,AQ111,AQ118,AQ125,AQ132,AQ139,AQ146)</f>
        <v/>
      </c>
      <c r="AR6" s="7">
        <f>SUM(AR13,AR20,AR27,AR34,AR41,AR48,AR55,AR62,AR69,AR76,AR83,AR90,AR97,AR104,AR111,AR118,AR125,AR132,AR139,AR146)</f>
        <v/>
      </c>
      <c r="AS6" s="7">
        <f>SUM(AS13,AS20,AS27,AS34,AS41,AS48,AS55,AS62,AS69,AS76,AS83,AS90,AS97,AS104,AS111,AS118,AS125,AS132,AS139,AS146)</f>
        <v/>
      </c>
      <c r="AT6" s="7">
        <f>SUM(AT13,AT20,AT27,AT34,AT41,AT48,AT55,AT62,AT69,AT76,AT83,AT90,AT97,AT104,AT111,AT118,AT125,AT132,AT139,AT146)</f>
        <v/>
      </c>
      <c r="AU6" s="7">
        <f>SUM(AU13,AU20,AU27,AU34,AU41,AU48,AU55,AU62,AU69,AU76,AU83,AU90,AU97,AU104,AU111,AU118,AU125,AU132,AU139,AU146)</f>
        <v/>
      </c>
      <c r="AV6" s="7">
        <f>SUM(AV13,AV20,AV27,AV34,AV41,AV48,AV55,AV62,AV69,AV76,AV83,AV90,AV97,AV104,AV111,AV118,AV125,AV132,AV139,AV146)</f>
        <v/>
      </c>
      <c r="AW6" s="7">
        <f>SUM(AW13,AW20,AW27,AW34,AW41,AW48,AW55,AW62,AW69,AW76,AW83,AW90,AW97,AW104,AW111,AW118,AW125,AW132,AW139,AW146)</f>
        <v/>
      </c>
      <c r="AX6" s="7">
        <f>SUM(AX13,AX20,AX27,AX34,AX41,AX48,AX55,AX62,AX69,AX76,AX83,AX90,AX97,AX104,AX111,AX118,AX125,AX132,AX139,AX146)</f>
        <v/>
      </c>
      <c r="AY6" s="7">
        <f>SUM(AY13,AY20,AY27,AY34,AY41,AY48,AY55,AY62,AY69,AY76,AY83,AY90,AY97,AY104,AY111,AY118,AY125,AY132,AY139,AY146)</f>
        <v/>
      </c>
      <c r="AZ6" s="7">
        <f>SUM(AZ13,AZ20,AZ27,AZ34,AZ41,AZ48,AZ55,AZ62,AZ69,AZ76,AZ83,AZ90,AZ97,AZ104,AZ111,AZ118,AZ125,AZ132,AZ139,AZ146)</f>
        <v/>
      </c>
      <c r="BA6" s="7">
        <f>SUM(BA13,BA20,BA27,BA34,BA41,BA48,BA55,BA62,BA69,BA76,BA83,BA90,BA97,BA104,BA111,BA118,BA125,BA132,BA139,BA146)</f>
        <v/>
      </c>
      <c r="BB6" s="7">
        <f>SUM(BB13,BB20,BB27,BB34,BB41,BB48,BB55,BB62,BB69,BB76,BB83,BB90,BB97,BB104,BB111,BB118,BB125,BB132,BB139,BB146)</f>
        <v/>
      </c>
      <c r="BC6" s="7">
        <f>SUM(BC13,BC20,BC27,BC34,BC41,BC48,BC55,BC62,BC69,BC76,BC83,BC90,BC97,BC104,BC111,BC118,BC125,BC132,BC139,BC146)</f>
        <v/>
      </c>
      <c r="BD6" s="7">
        <f>SUM(BD13,BD20,BD27,BD34,BD41,BD48,BD55,BD62,BD69,BD76,BD83,BD90,BD97,BD104,BD111,BD118,BD125,BD132,BD139,BD146)</f>
        <v/>
      </c>
      <c r="BE6" s="7">
        <f>SUM(BE13,BE20,BE27,BE34,BE41,BE48,BE55,BE62,BE69,BE76,BE83,BE90,BE97,BE104,BE111,BE118,BE125,BE132,BE139,BE146)</f>
        <v/>
      </c>
      <c r="BF6" s="7">
        <f>SUM(BF13,BF20,BF27,BF34,BF41,BF48,BF55,BF62,BF69,BF76,BF83,BF90,BF97,BF104,BF111,BF118,BF125,BF132,BF139,BF146)</f>
        <v/>
      </c>
      <c r="BG6" s="7">
        <f>SUM(BG13,BG20,BG27,BG34,BG41,BG48,BG55,BG62,BG69,BG76,BG83,BG90,BG97,BG104,BG111,BG118,BG125,BG132,BG139,BG146)</f>
        <v/>
      </c>
      <c r="BH6" s="7">
        <f>SUM(BH13,BH20,BH27,BH34,BH41,BH48,BH55,BH62,BH69,BH76,BH83,BH90,BH97,BH104,BH111,BH118,BH125,BH132,BH139,BH146)</f>
        <v/>
      </c>
      <c r="BI6" s="7">
        <f>SUM(BI13,BI20,BI27,BI34,BI41,BI48,BI55,BI62,BI69,BI76,BI83,BI90,BI97,BI104,BI111,BI118,BI125,BI132,BI139,BI146)</f>
        <v/>
      </c>
      <c r="BJ6" s="7">
        <f>SUM(BJ13,BJ20,BJ27,BJ34,BJ41,BJ48,BJ55,BJ62,BJ69,BJ76,BJ83,BJ90,BJ97,BJ104,BJ111,BJ118,BJ125,BJ132,BJ139,BJ146)</f>
        <v/>
      </c>
      <c r="BK6" s="7">
        <f>SUM(BK13,BK20,BK27,BK34,BK41,BK48,BK55,BK62,BK69,BK76,BK83,BK90,BK97,BK104,BK111,BK118,BK125,BK132,BK139,BK146)</f>
        <v/>
      </c>
      <c r="BL6" s="7">
        <f>SUM(BL13,BL20,BL27,BL34,BL41,BL48,BL55,BL62,BL69,BL76,BL83,BL90,BL97,BL104,BL111,BL118,BL125,BL132,BL139,BL146)</f>
        <v/>
      </c>
      <c r="BM6" s="7">
        <f>SUM(BM13,BM20,BM27,BM34,BM41,BM48,BM55,BM62,BM69,BM76,BM83,BM90,BM97,BM104,BM111,BM118,BM125,BM132,BM139,BM146)</f>
        <v/>
      </c>
      <c r="BN6" s="7">
        <f>SUM(BN13,BN20,BN27,BN34,BN41,BN48,BN55,BN62,BN69,BN76,BN83,BN90,BN97,BN104,BN111,BN118,BN125,BN132,BN139,BN146)</f>
        <v/>
      </c>
      <c r="BO6" s="7">
        <f>SUM(BO13,BO20,BO27,BO34,BO41,BO48,BO55,BO62,BO69,BO76,BO83,BO90,BO97,BO104,BO111,BO118,BO125,BO132,BO139,BO146)</f>
        <v/>
      </c>
      <c r="BP6" s="7">
        <f>SUM(BP13,BP20,BP27,BP34,BP41,BP48,BP55,BP62,BP69,BP76,BP83,BP90,BP97,BP104,BP111,BP118,BP125,BP132,BP139,BP146)</f>
        <v/>
      </c>
      <c r="BQ6" s="7">
        <f>SUM(BQ13,BQ20,BQ27,BQ34,BQ41,BQ48,BQ55,BQ62,BQ69,BQ76,BQ83,BQ90,BQ97,BQ104,BQ111,BQ118,BQ125,BQ132,BQ139,BQ146)</f>
        <v/>
      </c>
      <c r="BR6" s="7">
        <f>SUM(BR13,BR20,BR27,BR34,BR41,BR48,BR55,BR62,BR69,BR76,BR83,BR90,BR97,BR104,BR111,BR118,BR125,BR132,BR139,BR146)</f>
        <v/>
      </c>
      <c r="BS6" s="7">
        <f>SUM(BS13,BS20,BS27,BS34,BS41,BS48,BS55,BS62,BS69,BS76,BS83,BS90,BS97,BS104,BS111,BS118,BS125,BS132,BS139,BS146)</f>
        <v/>
      </c>
      <c r="BT6" s="7">
        <f>SUM(BT13,BT20,BT27,BT34,BT41,BT48,BT55,BT62,BT69,BT76,BT83,BT90,BT97,BT104,BT111,BT118,BT125,BT132,BT139,BT146)</f>
        <v/>
      </c>
      <c r="BU6" s="7">
        <f>SUM(BU13,BU20,BU27,BU34,BU41,BU48,BU55,BU62,BU69,BU76,BU83,BU90,BU97,BU104,BU111,BU118,BU125,BU132,BU139,BU146)</f>
        <v/>
      </c>
      <c r="BV6" s="7">
        <f>SUM(BV13,BV20,BV27,BV34,BV41,BV48,BV55,BV62,BV69,BV76,BV83,BV90,BV97,BV104,BV111,BV118,BV125,BV132,BV139,BV146)</f>
        <v/>
      </c>
    </row>
    <row r="7">
      <c r="A7" s="1" t="inlineStr">
        <is>
          <t>closing</t>
        </is>
      </c>
      <c r="B7" s="1" t="inlineStr">
        <is>
          <t>TOTAL</t>
        </is>
      </c>
      <c r="C7" s="7">
        <f>SUM(C14,C21,C28,C35,C42,C49,C56,C63,C70,C77,C84,C91,C98,C105,C112,C119,C126,C133,C140,C147)</f>
        <v/>
      </c>
      <c r="D7" s="7">
        <f>SUM(D14,D21,D28,D35,D42,D49,D56,D63,D70,D77,D84,D91,D98,D105,D112,D119,D126,D133,D140,D147)</f>
        <v/>
      </c>
      <c r="E7" s="7">
        <f>SUM(E14,E21,E28,E35,E42,E49,E56,E63,E70,E77,E84,E91,E98,E105,E112,E119,E126,E133,E140,E147)</f>
        <v/>
      </c>
      <c r="F7" s="7">
        <f>SUM(F14,F21,F28,F35,F42,F49,F56,F63,F70,F77,F84,F91,F98,F105,F112,F119,F126,F133,F140,F147)</f>
        <v/>
      </c>
      <c r="G7" s="7">
        <f>SUM(G14,G21,G28,G35,G42,G49,G56,G63,G70,G77,G84,G91,G98,G105,G112,G119,G126,G133,G140,G147)</f>
        <v/>
      </c>
      <c r="H7" s="7">
        <f>SUM(H14,H21,H28,H35,H42,H49,H56,H63,H70,H77,H84,H91,H98,H105,H112,H119,H126,H133,H140,H147)</f>
        <v/>
      </c>
      <c r="I7" s="7">
        <f>SUM(I14,I21,I28,I35,I42,I49,I56,I63,I70,I77,I84,I91,I98,I105,I112,I119,I126,I133,I140,I147)</f>
        <v/>
      </c>
      <c r="J7" s="7">
        <f>SUM(J14,J21,J28,J35,J42,J49,J56,J63,J70,J77,J84,J91,J98,J105,J112,J119,J126,J133,J140,J147)</f>
        <v/>
      </c>
      <c r="K7" s="7">
        <f>SUM(K14,K21,K28,K35,K42,K49,K56,K63,K70,K77,K84,K91,K98,K105,K112,K119,K126,K133,K140,K147)</f>
        <v/>
      </c>
      <c r="L7" s="7">
        <f>SUM(L14,L21,L28,L35,L42,L49,L56,L63,L70,L77,L84,L91,L98,L105,L112,L119,L126,L133,L140,L147)</f>
        <v/>
      </c>
      <c r="M7" s="7">
        <f>SUM(M14,M21,M28,M35,M42,M49,M56,M63,M70,M77,M84,M91,M98,M105,M112,M119,M126,M133,M140,M147)</f>
        <v/>
      </c>
      <c r="N7" s="7">
        <f>SUM(N14,N21,N28,N35,N42,N49,N56,N63,N70,N77,N84,N91,N98,N105,N112,N119,N126,N133,N140,N147)</f>
        <v/>
      </c>
      <c r="O7" s="7">
        <f>SUM(O14,O21,O28,O35,O42,O49,O56,O63,O70,O77,O84,O91,O98,O105,O112,O119,O126,O133,O140,O147)</f>
        <v/>
      </c>
      <c r="P7" s="7">
        <f>SUM(P14,P21,P28,P35,P42,P49,P56,P63,P70,P77,P84,P91,P98,P105,P112,P119,P126,P133,P140,P147)</f>
        <v/>
      </c>
      <c r="Q7" s="7">
        <f>SUM(Q14,Q21,Q28,Q35,Q42,Q49,Q56,Q63,Q70,Q77,Q84,Q91,Q98,Q105,Q112,Q119,Q126,Q133,Q140,Q147)</f>
        <v/>
      </c>
      <c r="R7" s="7">
        <f>SUM(R14,R21,R28,R35,R42,R49,R56,R63,R70,R77,R84,R91,R98,R105,R112,R119,R126,R133,R140,R147)</f>
        <v/>
      </c>
      <c r="S7" s="7">
        <f>SUM(S14,S21,S28,S35,S42,S49,S56,S63,S70,S77,S84,S91,S98,S105,S112,S119,S126,S133,S140,S147)</f>
        <v/>
      </c>
      <c r="T7" s="7">
        <f>SUM(T14,T21,T28,T35,T42,T49,T56,T63,T70,T77,T84,T91,T98,T105,T112,T119,T126,T133,T140,T147)</f>
        <v/>
      </c>
      <c r="U7" s="7">
        <f>SUM(U14,U21,U28,U35,U42,U49,U56,U63,U70,U77,U84,U91,U98,U105,U112,U119,U126,U133,U140,U147)</f>
        <v/>
      </c>
      <c r="V7" s="7">
        <f>SUM(V14,V21,V28,V35,V42,V49,V56,V63,V70,V77,V84,V91,V98,V105,V112,V119,V126,V133,V140,V147)</f>
        <v/>
      </c>
      <c r="W7" s="7">
        <f>SUM(W14,W21,W28,W35,W42,W49,W56,W63,W70,W77,W84,W91,W98,W105,W112,W119,W126,W133,W140,W147)</f>
        <v/>
      </c>
      <c r="X7" s="7">
        <f>SUM(X14,X21,X28,X35,X42,X49,X56,X63,X70,X77,X84,X91,X98,X105,X112,X119,X126,X133,X140,X147)</f>
        <v/>
      </c>
      <c r="Y7" s="7">
        <f>SUM(Y14,Y21,Y28,Y35,Y42,Y49,Y56,Y63,Y70,Y77,Y84,Y91,Y98,Y105,Y112,Y119,Y126,Y133,Y140,Y147)</f>
        <v/>
      </c>
      <c r="Z7" s="7">
        <f>SUM(Z14,Z21,Z28,Z35,Z42,Z49,Z56,Z63,Z70,Z77,Z84,Z91,Z98,Z105,Z112,Z119,Z126,Z133,Z140,Z147)</f>
        <v/>
      </c>
      <c r="AA7" s="7">
        <f>SUM(AA14,AA21,AA28,AA35,AA42,AA49,AA56,AA63,AA70,AA77,AA84,AA91,AA98,AA105,AA112,AA119,AA126,AA133,AA140,AA147)</f>
        <v/>
      </c>
      <c r="AB7" s="7">
        <f>SUM(AB14,AB21,AB28,AB35,AB42,AB49,AB56,AB63,AB70,AB77,AB84,AB91,AB98,AB105,AB112,AB119,AB126,AB133,AB140,AB147)</f>
        <v/>
      </c>
      <c r="AC7" s="7">
        <f>SUM(AC14,AC21,AC28,AC35,AC42,AC49,AC56,AC63,AC70,AC77,AC84,AC91,AC98,AC105,AC112,AC119,AC126,AC133,AC140,AC147)</f>
        <v/>
      </c>
      <c r="AD7" s="7">
        <f>SUM(AD14,AD21,AD28,AD35,AD42,AD49,AD56,AD63,AD70,AD77,AD84,AD91,AD98,AD105,AD112,AD119,AD126,AD133,AD140,AD147)</f>
        <v/>
      </c>
      <c r="AE7" s="7">
        <f>SUM(AE14,AE21,AE28,AE35,AE42,AE49,AE56,AE63,AE70,AE77,AE84,AE91,AE98,AE105,AE112,AE119,AE126,AE133,AE140,AE147)</f>
        <v/>
      </c>
      <c r="AF7" s="7">
        <f>SUM(AF14,AF21,AF28,AF35,AF42,AF49,AF56,AF63,AF70,AF77,AF84,AF91,AF98,AF105,AF112,AF119,AF126,AF133,AF140,AF147)</f>
        <v/>
      </c>
      <c r="AG7" s="7">
        <f>SUM(AG14,AG21,AG28,AG35,AG42,AG49,AG56,AG63,AG70,AG77,AG84,AG91,AG98,AG105,AG112,AG119,AG126,AG133,AG140,AG147)</f>
        <v/>
      </c>
      <c r="AH7" s="7">
        <f>SUM(AH14,AH21,AH28,AH35,AH42,AH49,AH56,AH63,AH70,AH77,AH84,AH91,AH98,AH105,AH112,AH119,AH126,AH133,AH140,AH147)</f>
        <v/>
      </c>
      <c r="AI7" s="7">
        <f>SUM(AI14,AI21,AI28,AI35,AI42,AI49,AI56,AI63,AI70,AI77,AI84,AI91,AI98,AI105,AI112,AI119,AI126,AI133,AI140,AI147)</f>
        <v/>
      </c>
      <c r="AJ7" s="7">
        <f>SUM(AJ14,AJ21,AJ28,AJ35,AJ42,AJ49,AJ56,AJ63,AJ70,AJ77,AJ84,AJ91,AJ98,AJ105,AJ112,AJ119,AJ126,AJ133,AJ140,AJ147)</f>
        <v/>
      </c>
      <c r="AK7" s="7">
        <f>SUM(AK14,AK21,AK28,AK35,AK42,AK49,AK56,AK63,AK70,AK77,AK84,AK91,AK98,AK105,AK112,AK119,AK126,AK133,AK140,AK147)</f>
        <v/>
      </c>
      <c r="AL7" s="7">
        <f>SUM(AL14,AL21,AL28,AL35,AL42,AL49,AL56,AL63,AL70,AL77,AL84,AL91,AL98,AL105,AL112,AL119,AL126,AL133,AL140,AL147)</f>
        <v/>
      </c>
      <c r="AM7" s="7">
        <f>SUM(AM14,AM21,AM28,AM35,AM42,AM49,AM56,AM63,AM70,AM77,AM84,AM91,AM98,AM105,AM112,AM119,AM126,AM133,AM140,AM147)</f>
        <v/>
      </c>
      <c r="AN7" s="7">
        <f>SUM(AN14,AN21,AN28,AN35,AN42,AN49,AN56,AN63,AN70,AN77,AN84,AN91,AN98,AN105,AN112,AN119,AN126,AN133,AN140,AN147)</f>
        <v/>
      </c>
      <c r="AO7" s="7">
        <f>SUM(AO14,AO21,AO28,AO35,AO42,AO49,AO56,AO63,AO70,AO77,AO84,AO91,AO98,AO105,AO112,AO119,AO126,AO133,AO140,AO147)</f>
        <v/>
      </c>
      <c r="AP7" s="7">
        <f>SUM(AP14,AP21,AP28,AP35,AP42,AP49,AP56,AP63,AP70,AP77,AP84,AP91,AP98,AP105,AP112,AP119,AP126,AP133,AP140,AP147)</f>
        <v/>
      </c>
      <c r="AQ7" s="7">
        <f>SUM(AQ14,AQ21,AQ28,AQ35,AQ42,AQ49,AQ56,AQ63,AQ70,AQ77,AQ84,AQ91,AQ98,AQ105,AQ112,AQ119,AQ126,AQ133,AQ140,AQ147)</f>
        <v/>
      </c>
      <c r="AR7" s="7">
        <f>SUM(AR14,AR21,AR28,AR35,AR42,AR49,AR56,AR63,AR70,AR77,AR84,AR91,AR98,AR105,AR112,AR119,AR126,AR133,AR140,AR147)</f>
        <v/>
      </c>
      <c r="AS7" s="7">
        <f>SUM(AS14,AS21,AS28,AS35,AS42,AS49,AS56,AS63,AS70,AS77,AS84,AS91,AS98,AS105,AS112,AS119,AS126,AS133,AS140,AS147)</f>
        <v/>
      </c>
      <c r="AT7" s="7">
        <f>SUM(AT14,AT21,AT28,AT35,AT42,AT49,AT56,AT63,AT70,AT77,AT84,AT91,AT98,AT105,AT112,AT119,AT126,AT133,AT140,AT147)</f>
        <v/>
      </c>
      <c r="AU7" s="7">
        <f>SUM(AU14,AU21,AU28,AU35,AU42,AU49,AU56,AU63,AU70,AU77,AU84,AU91,AU98,AU105,AU112,AU119,AU126,AU133,AU140,AU147)</f>
        <v/>
      </c>
      <c r="AV7" s="7">
        <f>SUM(AV14,AV21,AV28,AV35,AV42,AV49,AV56,AV63,AV70,AV77,AV84,AV91,AV98,AV105,AV112,AV119,AV126,AV133,AV140,AV147)</f>
        <v/>
      </c>
      <c r="AW7" s="7">
        <f>SUM(AW14,AW21,AW28,AW35,AW42,AW49,AW56,AW63,AW70,AW77,AW84,AW91,AW98,AW105,AW112,AW119,AW126,AW133,AW140,AW147)</f>
        <v/>
      </c>
      <c r="AX7" s="7">
        <f>SUM(AX14,AX21,AX28,AX35,AX42,AX49,AX56,AX63,AX70,AX77,AX84,AX91,AX98,AX105,AX112,AX119,AX126,AX133,AX140,AX147)</f>
        <v/>
      </c>
      <c r="AY7" s="7">
        <f>SUM(AY14,AY21,AY28,AY35,AY42,AY49,AY56,AY63,AY70,AY77,AY84,AY91,AY98,AY105,AY112,AY119,AY126,AY133,AY140,AY147)</f>
        <v/>
      </c>
      <c r="AZ7" s="7">
        <f>SUM(AZ14,AZ21,AZ28,AZ35,AZ42,AZ49,AZ56,AZ63,AZ70,AZ77,AZ84,AZ91,AZ98,AZ105,AZ112,AZ119,AZ126,AZ133,AZ140,AZ147)</f>
        <v/>
      </c>
      <c r="BA7" s="7">
        <f>SUM(BA14,BA21,BA28,BA35,BA42,BA49,BA56,BA63,BA70,BA77,BA84,BA91,BA98,BA105,BA112,BA119,BA126,BA133,BA140,BA147)</f>
        <v/>
      </c>
      <c r="BB7" s="7">
        <f>SUM(BB14,BB21,BB28,BB35,BB42,BB49,BB56,BB63,BB70,BB77,BB84,BB91,BB98,BB105,BB112,BB119,BB126,BB133,BB140,BB147)</f>
        <v/>
      </c>
      <c r="BC7" s="7">
        <f>SUM(BC14,BC21,BC28,BC35,BC42,BC49,BC56,BC63,BC70,BC77,BC84,BC91,BC98,BC105,BC112,BC119,BC126,BC133,BC140,BC147)</f>
        <v/>
      </c>
      <c r="BD7" s="7">
        <f>SUM(BD14,BD21,BD28,BD35,BD42,BD49,BD56,BD63,BD70,BD77,BD84,BD91,BD98,BD105,BD112,BD119,BD126,BD133,BD140,BD147)</f>
        <v/>
      </c>
      <c r="BE7" s="7">
        <f>SUM(BE14,BE21,BE28,BE35,BE42,BE49,BE56,BE63,BE70,BE77,BE84,BE91,BE98,BE105,BE112,BE119,BE126,BE133,BE140,BE147)</f>
        <v/>
      </c>
      <c r="BF7" s="7">
        <f>SUM(BF14,BF21,BF28,BF35,BF42,BF49,BF56,BF63,BF70,BF77,BF84,BF91,BF98,BF105,BF112,BF119,BF126,BF133,BF140,BF147)</f>
        <v/>
      </c>
      <c r="BG7" s="7">
        <f>SUM(BG14,BG21,BG28,BG35,BG42,BG49,BG56,BG63,BG70,BG77,BG84,BG91,BG98,BG105,BG112,BG119,BG126,BG133,BG140,BG147)</f>
        <v/>
      </c>
      <c r="BH7" s="7">
        <f>SUM(BH14,BH21,BH28,BH35,BH42,BH49,BH56,BH63,BH70,BH77,BH84,BH91,BH98,BH105,BH112,BH119,BH126,BH133,BH140,BH147)</f>
        <v/>
      </c>
      <c r="BI7" s="7">
        <f>SUM(BI14,BI21,BI28,BI35,BI42,BI49,BI56,BI63,BI70,BI77,BI84,BI91,BI98,BI105,BI112,BI119,BI126,BI133,BI140,BI147)</f>
        <v/>
      </c>
      <c r="BJ7" s="7">
        <f>SUM(BJ14,BJ21,BJ28,BJ35,BJ42,BJ49,BJ56,BJ63,BJ70,BJ77,BJ84,BJ91,BJ98,BJ105,BJ112,BJ119,BJ126,BJ133,BJ140,BJ147)</f>
        <v/>
      </c>
      <c r="BK7" s="7">
        <f>SUM(BK14,BK21,BK28,BK35,BK42,BK49,BK56,BK63,BK70,BK77,BK84,BK91,BK98,BK105,BK112,BK119,BK126,BK133,BK140,BK147)</f>
        <v/>
      </c>
      <c r="BL7" s="7">
        <f>SUM(BL14,BL21,BL28,BL35,BL42,BL49,BL56,BL63,BL70,BL77,BL84,BL91,BL98,BL105,BL112,BL119,BL126,BL133,BL140,BL147)</f>
        <v/>
      </c>
      <c r="BM7" s="7">
        <f>SUM(BM14,BM21,BM28,BM35,BM42,BM49,BM56,BM63,BM70,BM77,BM84,BM91,BM98,BM105,BM112,BM119,BM126,BM133,BM140,BM147)</f>
        <v/>
      </c>
      <c r="BN7" s="7">
        <f>SUM(BN14,BN21,BN28,BN35,BN42,BN49,BN56,BN63,BN70,BN77,BN84,BN91,BN98,BN105,BN112,BN119,BN126,BN133,BN140,BN147)</f>
        <v/>
      </c>
      <c r="BO7" s="7">
        <f>SUM(BO14,BO21,BO28,BO35,BO42,BO49,BO56,BO63,BO70,BO77,BO84,BO91,BO98,BO105,BO112,BO119,BO126,BO133,BO140,BO147)</f>
        <v/>
      </c>
      <c r="BP7" s="7">
        <f>SUM(BP14,BP21,BP28,BP35,BP42,BP49,BP56,BP63,BP70,BP77,BP84,BP91,BP98,BP105,BP112,BP119,BP126,BP133,BP140,BP147)</f>
        <v/>
      </c>
      <c r="BQ7" s="7">
        <f>SUM(BQ14,BQ21,BQ28,BQ35,BQ42,BQ49,BQ56,BQ63,BQ70,BQ77,BQ84,BQ91,BQ98,BQ105,BQ112,BQ119,BQ126,BQ133,BQ140,BQ147)</f>
        <v/>
      </c>
      <c r="BR7" s="7">
        <f>SUM(BR14,BR21,BR28,BR35,BR42,BR49,BR56,BR63,BR70,BR77,BR84,BR91,BR98,BR105,BR112,BR119,BR126,BR133,BR140,BR147)</f>
        <v/>
      </c>
      <c r="BS7" s="7">
        <f>SUM(BS14,BS21,BS28,BS35,BS42,BS49,BS56,BS63,BS70,BS77,BS84,BS91,BS98,BS105,BS112,BS119,BS126,BS133,BS140,BS147)</f>
        <v/>
      </c>
      <c r="BT7" s="7">
        <f>SUM(BT14,BT21,BT28,BT35,BT42,BT49,BT56,BT63,BT70,BT77,BT84,BT91,BT98,BT105,BT112,BT119,BT126,BT133,BT140,BT147)</f>
        <v/>
      </c>
      <c r="BU7" s="7">
        <f>SUM(BU14,BU21,BU28,BU35,BU42,BU49,BU56,BU63,BU70,BU77,BU84,BU91,BU98,BU105,BU112,BU119,BU126,BU133,BU140,BU147)</f>
        <v/>
      </c>
      <c r="BV7" s="7">
        <f>SUM(BV14,BV21,BV28,BV35,BV42,BV49,BV56,BV63,BV70,BV77,BV84,BV91,BV98,BV105,BV112,BV119,BV126,BV133,BV140,BV147)</f>
        <v/>
      </c>
    </row>
    <row r="8">
      <c r="A8" s="1" t="inlineStr">
        <is>
          <t>paying</t>
        </is>
      </c>
      <c r="B8" s="1" t="inlineStr">
        <is>
          <t>TOTAL</t>
        </is>
      </c>
      <c r="C8" s="7">
        <f>SUM(C15,C22,C29,C36,C43,C50,C57,C64,C71,C78,C85,C92,C99,C106,C113,C120,C127,C134,C141,C148)</f>
        <v/>
      </c>
      <c r="D8" s="7">
        <f>SUM(D15,D22,D29,D36,D43,D50,D57,D64,D71,D78,D85,D92,D99,D106,D113,D120,D127,D134,D141,D148)</f>
        <v/>
      </c>
      <c r="E8" s="7">
        <f>SUM(E15,E22,E29,E36,E43,E50,E57,E64,E71,E78,E85,E92,E99,E106,E113,E120,E127,E134,E141,E148)</f>
        <v/>
      </c>
      <c r="F8" s="7">
        <f>SUM(F15,F22,F29,F36,F43,F50,F57,F64,F71,F78,F85,F92,F99,F106,F113,F120,F127,F134,F141,F148)</f>
        <v/>
      </c>
      <c r="G8" s="7">
        <f>SUM(G15,G22,G29,G36,G43,G50,G57,G64,G71,G78,G85,G92,G99,G106,G113,G120,G127,G134,G141,G148)</f>
        <v/>
      </c>
      <c r="H8" s="7">
        <f>SUM(H15,H22,H29,H36,H43,H50,H57,H64,H71,H78,H85,H92,H99,H106,H113,H120,H127,H134,H141,H148)</f>
        <v/>
      </c>
      <c r="I8" s="7">
        <f>SUM(I15,I22,I29,I36,I43,I50,I57,I64,I71,I78,I85,I92,I99,I106,I113,I120,I127,I134,I141,I148)</f>
        <v/>
      </c>
      <c r="J8" s="7">
        <f>SUM(J15,J22,J29,J36,J43,J50,J57,J64,J71,J78,J85,J92,J99,J106,J113,J120,J127,J134,J141,J148)</f>
        <v/>
      </c>
      <c r="K8" s="7">
        <f>SUM(K15,K22,K29,K36,K43,K50,K57,K64,K71,K78,K85,K92,K99,K106,K113,K120,K127,K134,K141,K148)</f>
        <v/>
      </c>
      <c r="L8" s="7">
        <f>SUM(L15,L22,L29,L36,L43,L50,L57,L64,L71,L78,L85,L92,L99,L106,L113,L120,L127,L134,L141,L148)</f>
        <v/>
      </c>
      <c r="M8" s="7">
        <f>SUM(M15,M22,M29,M36,M43,M50,M57,M64,M71,M78,M85,M92,M99,M106,M113,M120,M127,M134,M141,M148)</f>
        <v/>
      </c>
      <c r="N8" s="7">
        <f>SUM(N15,N22,N29,N36,N43,N50,N57,N64,N71,N78,N85,N92,N99,N106,N113,N120,N127,N134,N141,N148)</f>
        <v/>
      </c>
      <c r="O8" s="7">
        <f>SUM(O15,O22,O29,O36,O43,O50,O57,O64,O71,O78,O85,O92,O99,O106,O113,O120,O127,O134,O141,O148)</f>
        <v/>
      </c>
      <c r="P8" s="7">
        <f>SUM(P15,P22,P29,P36,P43,P50,P57,P64,P71,P78,P85,P92,P99,P106,P113,P120,P127,P134,P141,P148)</f>
        <v/>
      </c>
      <c r="Q8" s="7">
        <f>SUM(Q15,Q22,Q29,Q36,Q43,Q50,Q57,Q64,Q71,Q78,Q85,Q92,Q99,Q106,Q113,Q120,Q127,Q134,Q141,Q148)</f>
        <v/>
      </c>
      <c r="R8" s="7">
        <f>SUM(R15,R22,R29,R36,R43,R50,R57,R64,R71,R78,R85,R92,R99,R106,R113,R120,R127,R134,R141,R148)</f>
        <v/>
      </c>
      <c r="S8" s="7">
        <f>SUM(S15,S22,S29,S36,S43,S50,S57,S64,S71,S78,S85,S92,S99,S106,S113,S120,S127,S134,S141,S148)</f>
        <v/>
      </c>
      <c r="T8" s="7">
        <f>SUM(T15,T22,T29,T36,T43,T50,T57,T64,T71,T78,T85,T92,T99,T106,T113,T120,T127,T134,T141,T148)</f>
        <v/>
      </c>
      <c r="U8" s="7">
        <f>SUM(U15,U22,U29,U36,U43,U50,U57,U64,U71,U78,U85,U92,U99,U106,U113,U120,U127,U134,U141,U148)</f>
        <v/>
      </c>
      <c r="V8" s="7">
        <f>SUM(V15,V22,V29,V36,V43,V50,V57,V64,V71,V78,V85,V92,V99,V106,V113,V120,V127,V134,V141,V148)</f>
        <v/>
      </c>
      <c r="W8" s="7">
        <f>SUM(W15,W22,W29,W36,W43,W50,W57,W64,W71,W78,W85,W92,W99,W106,W113,W120,W127,W134,W141,W148)</f>
        <v/>
      </c>
      <c r="X8" s="7">
        <f>SUM(X15,X22,X29,X36,X43,X50,X57,X64,X71,X78,X85,X92,X99,X106,X113,X120,X127,X134,X141,X148)</f>
        <v/>
      </c>
      <c r="Y8" s="7">
        <f>SUM(Y15,Y22,Y29,Y36,Y43,Y50,Y57,Y64,Y71,Y78,Y85,Y92,Y99,Y106,Y113,Y120,Y127,Y134,Y141,Y148)</f>
        <v/>
      </c>
      <c r="Z8" s="7">
        <f>SUM(Z15,Z22,Z29,Z36,Z43,Z50,Z57,Z64,Z71,Z78,Z85,Z92,Z99,Z106,Z113,Z120,Z127,Z134,Z141,Z148)</f>
        <v/>
      </c>
      <c r="AA8" s="7">
        <f>SUM(AA15,AA22,AA29,AA36,AA43,AA50,AA57,AA64,AA71,AA78,AA85,AA92,AA99,AA106,AA113,AA120,AA127,AA134,AA141,AA148)</f>
        <v/>
      </c>
      <c r="AB8" s="7">
        <f>SUM(AB15,AB22,AB29,AB36,AB43,AB50,AB57,AB64,AB71,AB78,AB85,AB92,AB99,AB106,AB113,AB120,AB127,AB134,AB141,AB148)</f>
        <v/>
      </c>
      <c r="AC8" s="7">
        <f>SUM(AC15,AC22,AC29,AC36,AC43,AC50,AC57,AC64,AC71,AC78,AC85,AC92,AC99,AC106,AC113,AC120,AC127,AC134,AC141,AC148)</f>
        <v/>
      </c>
      <c r="AD8" s="7">
        <f>SUM(AD15,AD22,AD29,AD36,AD43,AD50,AD57,AD64,AD71,AD78,AD85,AD92,AD99,AD106,AD113,AD120,AD127,AD134,AD141,AD148)</f>
        <v/>
      </c>
      <c r="AE8" s="7">
        <f>SUM(AE15,AE22,AE29,AE36,AE43,AE50,AE57,AE64,AE71,AE78,AE85,AE92,AE99,AE106,AE113,AE120,AE127,AE134,AE141,AE148)</f>
        <v/>
      </c>
      <c r="AF8" s="7">
        <f>SUM(AF15,AF22,AF29,AF36,AF43,AF50,AF57,AF64,AF71,AF78,AF85,AF92,AF99,AF106,AF113,AF120,AF127,AF134,AF141,AF148)</f>
        <v/>
      </c>
      <c r="AG8" s="7">
        <f>SUM(AG15,AG22,AG29,AG36,AG43,AG50,AG57,AG64,AG71,AG78,AG85,AG92,AG99,AG106,AG113,AG120,AG127,AG134,AG141,AG148)</f>
        <v/>
      </c>
      <c r="AH8" s="7">
        <f>SUM(AH15,AH22,AH29,AH36,AH43,AH50,AH57,AH64,AH71,AH78,AH85,AH92,AH99,AH106,AH113,AH120,AH127,AH134,AH141,AH148)</f>
        <v/>
      </c>
      <c r="AI8" s="7">
        <f>SUM(AI15,AI22,AI29,AI36,AI43,AI50,AI57,AI64,AI71,AI78,AI85,AI92,AI99,AI106,AI113,AI120,AI127,AI134,AI141,AI148)</f>
        <v/>
      </c>
      <c r="AJ8" s="7">
        <f>SUM(AJ15,AJ22,AJ29,AJ36,AJ43,AJ50,AJ57,AJ64,AJ71,AJ78,AJ85,AJ92,AJ99,AJ106,AJ113,AJ120,AJ127,AJ134,AJ141,AJ148)</f>
        <v/>
      </c>
      <c r="AK8" s="7">
        <f>SUM(AK15,AK22,AK29,AK36,AK43,AK50,AK57,AK64,AK71,AK78,AK85,AK92,AK99,AK106,AK113,AK120,AK127,AK134,AK141,AK148)</f>
        <v/>
      </c>
      <c r="AL8" s="7">
        <f>SUM(AL15,AL22,AL29,AL36,AL43,AL50,AL57,AL64,AL71,AL78,AL85,AL92,AL99,AL106,AL113,AL120,AL127,AL134,AL141,AL148)</f>
        <v/>
      </c>
      <c r="AM8" s="7">
        <f>SUM(AM15,AM22,AM29,AM36,AM43,AM50,AM57,AM64,AM71,AM78,AM85,AM92,AM99,AM106,AM113,AM120,AM127,AM134,AM141,AM148)</f>
        <v/>
      </c>
      <c r="AN8" s="7">
        <f>SUM(AN15,AN22,AN29,AN36,AN43,AN50,AN57,AN64,AN71,AN78,AN85,AN92,AN99,AN106,AN113,AN120,AN127,AN134,AN141,AN148)</f>
        <v/>
      </c>
      <c r="AO8" s="7">
        <f>SUM(AO15,AO22,AO29,AO36,AO43,AO50,AO57,AO64,AO71,AO78,AO85,AO92,AO99,AO106,AO113,AO120,AO127,AO134,AO141,AO148)</f>
        <v/>
      </c>
      <c r="AP8" s="7">
        <f>SUM(AP15,AP22,AP29,AP36,AP43,AP50,AP57,AP64,AP71,AP78,AP85,AP92,AP99,AP106,AP113,AP120,AP127,AP134,AP141,AP148)</f>
        <v/>
      </c>
      <c r="AQ8" s="7">
        <f>SUM(AQ15,AQ22,AQ29,AQ36,AQ43,AQ50,AQ57,AQ64,AQ71,AQ78,AQ85,AQ92,AQ99,AQ106,AQ113,AQ120,AQ127,AQ134,AQ141,AQ148)</f>
        <v/>
      </c>
      <c r="AR8" s="7">
        <f>SUM(AR15,AR22,AR29,AR36,AR43,AR50,AR57,AR64,AR71,AR78,AR85,AR92,AR99,AR106,AR113,AR120,AR127,AR134,AR141,AR148)</f>
        <v/>
      </c>
      <c r="AS8" s="7">
        <f>SUM(AS15,AS22,AS29,AS36,AS43,AS50,AS57,AS64,AS71,AS78,AS85,AS92,AS99,AS106,AS113,AS120,AS127,AS134,AS141,AS148)</f>
        <v/>
      </c>
      <c r="AT8" s="7">
        <f>SUM(AT15,AT22,AT29,AT36,AT43,AT50,AT57,AT64,AT71,AT78,AT85,AT92,AT99,AT106,AT113,AT120,AT127,AT134,AT141,AT148)</f>
        <v/>
      </c>
      <c r="AU8" s="7">
        <f>SUM(AU15,AU22,AU29,AU36,AU43,AU50,AU57,AU64,AU71,AU78,AU85,AU92,AU99,AU106,AU113,AU120,AU127,AU134,AU141,AU148)</f>
        <v/>
      </c>
      <c r="AV8" s="7">
        <f>SUM(AV15,AV22,AV29,AV36,AV43,AV50,AV57,AV64,AV71,AV78,AV85,AV92,AV99,AV106,AV113,AV120,AV127,AV134,AV141,AV148)</f>
        <v/>
      </c>
      <c r="AW8" s="7">
        <f>SUM(AW15,AW22,AW29,AW36,AW43,AW50,AW57,AW64,AW71,AW78,AW85,AW92,AW99,AW106,AW113,AW120,AW127,AW134,AW141,AW148)</f>
        <v/>
      </c>
      <c r="AX8" s="7">
        <f>SUM(AX15,AX22,AX29,AX36,AX43,AX50,AX57,AX64,AX71,AX78,AX85,AX92,AX99,AX106,AX113,AX120,AX127,AX134,AX141,AX148)</f>
        <v/>
      </c>
      <c r="AY8" s="7">
        <f>SUM(AY15,AY22,AY29,AY36,AY43,AY50,AY57,AY64,AY71,AY78,AY85,AY92,AY99,AY106,AY113,AY120,AY127,AY134,AY141,AY148)</f>
        <v/>
      </c>
      <c r="AZ8" s="7">
        <f>SUM(AZ15,AZ22,AZ29,AZ36,AZ43,AZ50,AZ57,AZ64,AZ71,AZ78,AZ85,AZ92,AZ99,AZ106,AZ113,AZ120,AZ127,AZ134,AZ141,AZ148)</f>
        <v/>
      </c>
      <c r="BA8" s="7">
        <f>SUM(BA15,BA22,BA29,BA36,BA43,BA50,BA57,BA64,BA71,BA78,BA85,BA92,BA99,BA106,BA113,BA120,BA127,BA134,BA141,BA148)</f>
        <v/>
      </c>
      <c r="BB8" s="7">
        <f>SUM(BB15,BB22,BB29,BB36,BB43,BB50,BB57,BB64,BB71,BB78,BB85,BB92,BB99,BB106,BB113,BB120,BB127,BB134,BB141,BB148)</f>
        <v/>
      </c>
      <c r="BC8" s="7">
        <f>SUM(BC15,BC22,BC29,BC36,BC43,BC50,BC57,BC64,BC71,BC78,BC85,BC92,BC99,BC106,BC113,BC120,BC127,BC134,BC141,BC148)</f>
        <v/>
      </c>
      <c r="BD8" s="7">
        <f>SUM(BD15,BD22,BD29,BD36,BD43,BD50,BD57,BD64,BD71,BD78,BD85,BD92,BD99,BD106,BD113,BD120,BD127,BD134,BD141,BD148)</f>
        <v/>
      </c>
      <c r="BE8" s="7">
        <f>SUM(BE15,BE22,BE29,BE36,BE43,BE50,BE57,BE64,BE71,BE78,BE85,BE92,BE99,BE106,BE113,BE120,BE127,BE134,BE141,BE148)</f>
        <v/>
      </c>
      <c r="BF8" s="7">
        <f>SUM(BF15,BF22,BF29,BF36,BF43,BF50,BF57,BF64,BF71,BF78,BF85,BF92,BF99,BF106,BF113,BF120,BF127,BF134,BF141,BF148)</f>
        <v/>
      </c>
      <c r="BG8" s="7">
        <f>SUM(BG15,BG22,BG29,BG36,BG43,BG50,BG57,BG64,BG71,BG78,BG85,BG92,BG99,BG106,BG113,BG120,BG127,BG134,BG141,BG148)</f>
        <v/>
      </c>
      <c r="BH8" s="7">
        <f>SUM(BH15,BH22,BH29,BH36,BH43,BH50,BH57,BH64,BH71,BH78,BH85,BH92,BH99,BH106,BH113,BH120,BH127,BH134,BH141,BH148)</f>
        <v/>
      </c>
      <c r="BI8" s="7">
        <f>SUM(BI15,BI22,BI29,BI36,BI43,BI50,BI57,BI64,BI71,BI78,BI85,BI92,BI99,BI106,BI113,BI120,BI127,BI134,BI141,BI148)</f>
        <v/>
      </c>
      <c r="BJ8" s="7">
        <f>SUM(BJ15,BJ22,BJ29,BJ36,BJ43,BJ50,BJ57,BJ64,BJ71,BJ78,BJ85,BJ92,BJ99,BJ106,BJ113,BJ120,BJ127,BJ134,BJ141,BJ148)</f>
        <v/>
      </c>
      <c r="BK8" s="7">
        <f>SUM(BK15,BK22,BK29,BK36,BK43,BK50,BK57,BK64,BK71,BK78,BK85,BK92,BK99,BK106,BK113,BK120,BK127,BK134,BK141,BK148)</f>
        <v/>
      </c>
      <c r="BL8" s="7">
        <f>SUM(BL15,BL22,BL29,BL36,BL43,BL50,BL57,BL64,BL71,BL78,BL85,BL92,BL99,BL106,BL113,BL120,BL127,BL134,BL141,BL148)</f>
        <v/>
      </c>
      <c r="BM8" s="7">
        <f>SUM(BM15,BM22,BM29,BM36,BM43,BM50,BM57,BM64,BM71,BM78,BM85,BM92,BM99,BM106,BM113,BM120,BM127,BM134,BM141,BM148)</f>
        <v/>
      </c>
      <c r="BN8" s="7">
        <f>SUM(BN15,BN22,BN29,BN36,BN43,BN50,BN57,BN64,BN71,BN78,BN85,BN92,BN99,BN106,BN113,BN120,BN127,BN134,BN141,BN148)</f>
        <v/>
      </c>
      <c r="BO8" s="7">
        <f>SUM(BO15,BO22,BO29,BO36,BO43,BO50,BO57,BO64,BO71,BO78,BO85,BO92,BO99,BO106,BO113,BO120,BO127,BO134,BO141,BO148)</f>
        <v/>
      </c>
      <c r="BP8" s="7">
        <f>SUM(BP15,BP22,BP29,BP36,BP43,BP50,BP57,BP64,BP71,BP78,BP85,BP92,BP99,BP106,BP113,BP120,BP127,BP134,BP141,BP148)</f>
        <v/>
      </c>
      <c r="BQ8" s="7">
        <f>SUM(BQ15,BQ22,BQ29,BQ36,BQ43,BQ50,BQ57,BQ64,BQ71,BQ78,BQ85,BQ92,BQ99,BQ106,BQ113,BQ120,BQ127,BQ134,BQ141,BQ148)</f>
        <v/>
      </c>
      <c r="BR8" s="7">
        <f>SUM(BR15,BR22,BR29,BR36,BR43,BR50,BR57,BR64,BR71,BR78,BR85,BR92,BR99,BR106,BR113,BR120,BR127,BR134,BR141,BR148)</f>
        <v/>
      </c>
      <c r="BS8" s="7">
        <f>SUM(BS15,BS22,BS29,BS36,BS43,BS50,BS57,BS64,BS71,BS78,BS85,BS92,BS99,BS106,BS113,BS120,BS127,BS134,BS141,BS148)</f>
        <v/>
      </c>
      <c r="BT8" s="7">
        <f>SUM(BT15,BT22,BT29,BT36,BT43,BT50,BT57,BT64,BT71,BT78,BT85,BT92,BT99,BT106,BT113,BT120,BT127,BT134,BT141,BT148)</f>
        <v/>
      </c>
      <c r="BU8" s="7">
        <f>SUM(BU15,BU22,BU29,BU36,BU43,BU50,BU57,BU64,BU71,BU78,BU85,BU92,BU99,BU106,BU113,BU120,BU127,BU134,BU141,BU148)</f>
        <v/>
      </c>
      <c r="BV8" s="7">
        <f>SUM(BV15,BV22,BV29,BV36,BV43,BV50,BV57,BV64,BV71,BV78,BV85,BV92,BV99,BV106,BV113,BV120,BV127,BV134,BV141,BV148)</f>
        <v/>
      </c>
    </row>
    <row r="10">
      <c r="A10" t="inlineStr">
        <is>
          <t>opening</t>
        </is>
      </c>
      <c r="B10" t="inlineStr">
        <is>
          <t>US_CA|NITRO_M</t>
        </is>
      </c>
      <c r="C10" s="3">
        <f>Legacy!$C$5</f>
        <v/>
      </c>
      <c r="D10" s="3">
        <f>C14</f>
        <v/>
      </c>
      <c r="E10" s="3">
        <f>D14</f>
        <v/>
      </c>
      <c r="F10" s="3">
        <f>E14</f>
        <v/>
      </c>
      <c r="G10" s="3">
        <f>F14</f>
        <v/>
      </c>
      <c r="H10" s="3">
        <f>G14</f>
        <v/>
      </c>
      <c r="I10" s="3">
        <f>H14</f>
        <v/>
      </c>
      <c r="J10" s="3">
        <f>I14</f>
        <v/>
      </c>
      <c r="K10" s="3">
        <f>J14</f>
        <v/>
      </c>
      <c r="L10" s="3">
        <f>K14</f>
        <v/>
      </c>
      <c r="M10" s="3">
        <f>L14</f>
        <v/>
      </c>
      <c r="N10" s="3">
        <f>M14</f>
        <v/>
      </c>
      <c r="O10" s="3">
        <f>N14</f>
        <v/>
      </c>
      <c r="P10" s="3">
        <f>O14</f>
        <v/>
      </c>
      <c r="Q10" s="3">
        <f>P14</f>
        <v/>
      </c>
      <c r="R10" s="3">
        <f>Q14</f>
        <v/>
      </c>
      <c r="S10" s="3">
        <f>R14</f>
        <v/>
      </c>
      <c r="T10" s="3">
        <f>S14</f>
        <v/>
      </c>
      <c r="U10" s="3">
        <f>T14</f>
        <v/>
      </c>
      <c r="V10" s="3">
        <f>U14</f>
        <v/>
      </c>
      <c r="W10" s="3">
        <f>V14</f>
        <v/>
      </c>
      <c r="X10" s="3">
        <f>W14</f>
        <v/>
      </c>
      <c r="Y10" s="3">
        <f>X14</f>
        <v/>
      </c>
      <c r="Z10" s="3">
        <f>Y14</f>
        <v/>
      </c>
      <c r="AA10" s="3">
        <f>Z14</f>
        <v/>
      </c>
      <c r="AB10" s="3">
        <f>AA14</f>
        <v/>
      </c>
      <c r="AC10" s="3">
        <f>AB14</f>
        <v/>
      </c>
      <c r="AD10" s="3">
        <f>AC14</f>
        <v/>
      </c>
      <c r="AE10" s="3">
        <f>AD14</f>
        <v/>
      </c>
      <c r="AF10" s="3">
        <f>AE14</f>
        <v/>
      </c>
      <c r="AG10" s="3">
        <f>AF14</f>
        <v/>
      </c>
      <c r="AH10" s="3">
        <f>AG14</f>
        <v/>
      </c>
      <c r="AI10" s="3">
        <f>AH14</f>
        <v/>
      </c>
      <c r="AJ10" s="3">
        <f>AI14</f>
        <v/>
      </c>
      <c r="AK10" s="3">
        <f>AJ14</f>
        <v/>
      </c>
      <c r="AL10" s="3">
        <f>AK14</f>
        <v/>
      </c>
      <c r="AM10" s="3">
        <f>AL14</f>
        <v/>
      </c>
      <c r="AN10" s="3">
        <f>AM14</f>
        <v/>
      </c>
      <c r="AO10" s="3">
        <f>AN14</f>
        <v/>
      </c>
      <c r="AP10" s="3">
        <f>AO14</f>
        <v/>
      </c>
      <c r="AQ10" s="3">
        <f>AP14</f>
        <v/>
      </c>
      <c r="AR10" s="3">
        <f>AQ14</f>
        <v/>
      </c>
      <c r="AS10" s="3">
        <f>AR14</f>
        <v/>
      </c>
      <c r="AT10" s="3">
        <f>AS14</f>
        <v/>
      </c>
      <c r="AU10" s="3">
        <f>AT14</f>
        <v/>
      </c>
      <c r="AV10" s="3">
        <f>AU14</f>
        <v/>
      </c>
      <c r="AW10" s="3">
        <f>AV14</f>
        <v/>
      </c>
      <c r="AX10" s="3">
        <f>AW14</f>
        <v/>
      </c>
      <c r="AY10" s="3">
        <f>AX14</f>
        <v/>
      </c>
      <c r="AZ10" s="3">
        <f>AY14</f>
        <v/>
      </c>
      <c r="BA10" s="3">
        <f>AZ14</f>
        <v/>
      </c>
      <c r="BB10" s="3">
        <f>BA14</f>
        <v/>
      </c>
      <c r="BC10" s="3">
        <f>BB14</f>
        <v/>
      </c>
      <c r="BD10" s="3">
        <f>BC14</f>
        <v/>
      </c>
      <c r="BE10" s="3">
        <f>BD14</f>
        <v/>
      </c>
      <c r="BF10" s="3">
        <f>BE14</f>
        <v/>
      </c>
      <c r="BG10" s="3">
        <f>BF14</f>
        <v/>
      </c>
      <c r="BH10" s="3">
        <f>BG14</f>
        <v/>
      </c>
      <c r="BI10" s="3">
        <f>BH14</f>
        <v/>
      </c>
      <c r="BJ10" s="3">
        <f>BI14</f>
        <v/>
      </c>
      <c r="BK10" s="3">
        <f>BJ14</f>
        <v/>
      </c>
      <c r="BL10" s="3">
        <f>BK14</f>
        <v/>
      </c>
      <c r="BM10" s="3">
        <f>BL14</f>
        <v/>
      </c>
      <c r="BN10" s="3">
        <f>BM14</f>
        <v/>
      </c>
      <c r="BO10" s="3">
        <f>BN14</f>
        <v/>
      </c>
      <c r="BP10" s="3">
        <f>BO14</f>
        <v/>
      </c>
      <c r="BQ10" s="3">
        <f>BP14</f>
        <v/>
      </c>
      <c r="BR10" s="3">
        <f>BQ14</f>
        <v/>
      </c>
      <c r="BS10" s="3">
        <f>BR14</f>
        <v/>
      </c>
      <c r="BT10" s="3">
        <f>BS14</f>
        <v/>
      </c>
      <c r="BU10" s="3">
        <f>BT14</f>
        <v/>
      </c>
      <c r="BV10" s="3">
        <f>BU14</f>
        <v/>
      </c>
    </row>
    <row r="11">
      <c r="A11" t="inlineStr">
        <is>
          <t>new</t>
        </is>
      </c>
      <c r="B11" t="inlineStr">
        <is>
          <t>US_CA|NITRO_M</t>
        </is>
      </c>
      <c r="C11" s="3">
        <f>Adds!C5+IF(Params!$B$9=1,Adds!C4,Adds!C7)</f>
        <v/>
      </c>
      <c r="D11" s="3">
        <f>Adds!D5+IF(Params!$B$9=1,Adds!D4,Adds!D7)</f>
        <v/>
      </c>
      <c r="E11" s="3">
        <f>Adds!E5+IF(Params!$B$9=1,Adds!E4,Adds!E7)</f>
        <v/>
      </c>
      <c r="F11" s="3">
        <f>Adds!F5+IF(Params!$B$9=1,Adds!F4,Adds!F7)</f>
        <v/>
      </c>
      <c r="G11" s="3">
        <f>Adds!G5+IF(Params!$B$9=1,Adds!G4,Adds!G7)</f>
        <v/>
      </c>
      <c r="H11" s="3">
        <f>Adds!H5+IF(Params!$B$9=1,Adds!H4,Adds!H7)</f>
        <v/>
      </c>
      <c r="I11" s="3">
        <f>Adds!I5+IF(Params!$B$9=1,Adds!I4,Adds!I7)</f>
        <v/>
      </c>
      <c r="J11" s="3">
        <f>Adds!J5+IF(Params!$B$9=1,Adds!J4,Adds!J7)</f>
        <v/>
      </c>
      <c r="K11" s="3">
        <f>Adds!K5+IF(Params!$B$9=1,Adds!K4,Adds!K7)</f>
        <v/>
      </c>
      <c r="L11" s="3">
        <f>Adds!L5+IF(Params!$B$9=1,Adds!L4,Adds!L7)</f>
        <v/>
      </c>
      <c r="M11" s="3">
        <f>Adds!M5+IF(Params!$B$9=1,Adds!M4,Adds!M7)</f>
        <v/>
      </c>
      <c r="N11" s="3">
        <f>Adds!N5+IF(Params!$B$9=1,Adds!N4,Adds!N7)</f>
        <v/>
      </c>
      <c r="O11" s="3">
        <f>Adds!O5+IF(Params!$B$9=1,Adds!O4,Adds!O7)</f>
        <v/>
      </c>
      <c r="P11" s="3">
        <f>Adds!P5+IF(Params!$B$9=1,Adds!P4,Adds!P7)</f>
        <v/>
      </c>
      <c r="Q11" s="3">
        <f>Adds!Q5+IF(Params!$B$9=1,Adds!Q4,Adds!Q7)</f>
        <v/>
      </c>
      <c r="R11" s="3">
        <f>Adds!R5+IF(Params!$B$9=1,Adds!R4,Adds!R7)</f>
        <v/>
      </c>
      <c r="S11" s="3">
        <f>Adds!S5+IF(Params!$B$9=1,Adds!S4,Adds!S7)</f>
        <v/>
      </c>
      <c r="T11" s="3">
        <f>Adds!T5+IF(Params!$B$9=1,Adds!T4,Adds!T7)</f>
        <v/>
      </c>
      <c r="U11" s="3">
        <f>Adds!U5+IF(Params!$B$9=1,Adds!U4,Adds!U7)</f>
        <v/>
      </c>
      <c r="V11" s="3">
        <f>Adds!V5+IF(Params!$B$9=1,Adds!V4,Adds!V7)</f>
        <v/>
      </c>
      <c r="W11" s="3">
        <f>Adds!W5+IF(Params!$B$9=1,Adds!W4,Adds!W7)</f>
        <v/>
      </c>
      <c r="X11" s="3">
        <f>Adds!X5+IF(Params!$B$9=1,Adds!X4,Adds!X7)</f>
        <v/>
      </c>
      <c r="Y11" s="3">
        <f>Adds!Y5+IF(Params!$B$9=1,Adds!Y4,Adds!Y7)</f>
        <v/>
      </c>
      <c r="Z11" s="3">
        <f>Adds!Z5+IF(Params!$B$9=1,Adds!Z4,Adds!Z7)</f>
        <v/>
      </c>
      <c r="AA11" s="3">
        <f>Adds!AA5+IF(Params!$B$9=1,Adds!AA4,Adds!AA7)</f>
        <v/>
      </c>
      <c r="AB11" s="3">
        <f>Adds!AB5+IF(Params!$B$9=1,Adds!AB4,Adds!AB7)</f>
        <v/>
      </c>
      <c r="AC11" s="3">
        <f>Adds!AC5+IF(Params!$B$9=1,Adds!AC4,Adds!AC7)</f>
        <v/>
      </c>
      <c r="AD11" s="3">
        <f>Adds!AD5+IF(Params!$B$9=1,Adds!AD4,Adds!AD7)</f>
        <v/>
      </c>
      <c r="AE11" s="3">
        <f>Adds!AE5+IF(Params!$B$9=1,Adds!AE4,Adds!AE7)</f>
        <v/>
      </c>
      <c r="AF11" s="3">
        <f>Adds!AF5+IF(Params!$B$9=1,Adds!AF4,Adds!AF7)</f>
        <v/>
      </c>
      <c r="AG11" s="3">
        <f>Adds!AG5+IF(Params!$B$9=1,Adds!AG4,Adds!AG7)</f>
        <v/>
      </c>
      <c r="AH11" s="3">
        <f>Adds!AH5+IF(Params!$B$9=1,Adds!AH4,Adds!AH7)</f>
        <v/>
      </c>
      <c r="AI11" s="3">
        <f>Adds!AI5+IF(Params!$B$9=1,Adds!AI4,Adds!AI7)</f>
        <v/>
      </c>
      <c r="AJ11" s="3">
        <f>Adds!AJ5+IF(Params!$B$9=1,Adds!AJ4,Adds!AJ7)</f>
        <v/>
      </c>
      <c r="AK11" s="3">
        <f>Adds!AK5+IF(Params!$B$9=1,Adds!AK4,Adds!AK7)</f>
        <v/>
      </c>
      <c r="AL11" s="3">
        <f>Adds!AL5+IF(Params!$B$9=1,Adds!AL4,Adds!AL7)</f>
        <v/>
      </c>
      <c r="AM11" s="3">
        <f>Adds!AM5+IF(Params!$B$9=1,Adds!AM4,Adds!AM7)</f>
        <v/>
      </c>
      <c r="AN11" s="3">
        <f>Adds!AN5+IF(Params!$B$9=1,Adds!AN4,Adds!AN7)</f>
        <v/>
      </c>
      <c r="AO11" s="3">
        <f>Adds!AO5+IF(Params!$B$9=1,Adds!AO4,Adds!AO7)</f>
        <v/>
      </c>
      <c r="AP11" s="3">
        <f>Adds!AP5+IF(Params!$B$9=1,Adds!AP4,Adds!AP7)</f>
        <v/>
      </c>
      <c r="AQ11" s="3">
        <f>Adds!AQ5+IF(Params!$B$9=1,Adds!AQ4,Adds!AQ7)</f>
        <v/>
      </c>
      <c r="AR11" s="3">
        <f>Adds!AR5+IF(Params!$B$9=1,Adds!AR4,Adds!AR7)</f>
        <v/>
      </c>
      <c r="AS11" s="3">
        <f>Adds!AS5+IF(Params!$B$9=1,Adds!AS4,Adds!AS7)</f>
        <v/>
      </c>
      <c r="AT11" s="3">
        <f>Adds!AT5+IF(Params!$B$9=1,Adds!AT4,Adds!AT7)</f>
        <v/>
      </c>
      <c r="AU11" s="3">
        <f>Adds!AU5+IF(Params!$B$9=1,Adds!AU4,Adds!AU7)</f>
        <v/>
      </c>
      <c r="AV11" s="3">
        <f>Adds!AV5+IF(Params!$B$9=1,Adds!AV4,Adds!AV7)</f>
        <v/>
      </c>
      <c r="AW11" s="3">
        <f>Adds!AW5+IF(Params!$B$9=1,Adds!AW4,Adds!AW7)</f>
        <v/>
      </c>
      <c r="AX11" s="3">
        <f>Adds!AX5+IF(Params!$B$9=1,Adds!AX4,Adds!AX7)</f>
        <v/>
      </c>
      <c r="AY11" s="3">
        <f>Adds!AY5+IF(Params!$B$9=1,Adds!AY4,Adds!AY7)</f>
        <v/>
      </c>
      <c r="AZ11" s="3">
        <f>Adds!AZ5+IF(Params!$B$9=1,Adds!AZ4,Adds!AZ7)</f>
        <v/>
      </c>
      <c r="BA11" s="3">
        <f>Adds!BA5+IF(Params!$B$9=1,Adds!BA4,Adds!BA7)</f>
        <v/>
      </c>
      <c r="BB11" s="3">
        <f>Adds!BB5+IF(Params!$B$9=1,Adds!BB4,Adds!BB7)</f>
        <v/>
      </c>
      <c r="BC11" s="3">
        <f>Adds!BC5+IF(Params!$B$9=1,Adds!BC4,Adds!BC7)</f>
        <v/>
      </c>
      <c r="BD11" s="3">
        <f>Adds!BD5+IF(Params!$B$9=1,Adds!BD4,Adds!BD7)</f>
        <v/>
      </c>
      <c r="BE11" s="3">
        <f>Adds!BE5+IF(Params!$B$9=1,Adds!BE4,Adds!BE7)</f>
        <v/>
      </c>
      <c r="BF11" s="3">
        <f>Adds!BF5+IF(Params!$B$9=1,Adds!BF4,Adds!BF7)</f>
        <v/>
      </c>
      <c r="BG11" s="3">
        <f>Adds!BG5+IF(Params!$B$9=1,Adds!BG4,Adds!BG7)</f>
        <v/>
      </c>
      <c r="BH11" s="3">
        <f>Adds!BH5+IF(Params!$B$9=1,Adds!BH4,Adds!BH7)</f>
        <v/>
      </c>
      <c r="BI11" s="3">
        <f>Adds!BI5+IF(Params!$B$9=1,Adds!BI4,Adds!BI7)</f>
        <v/>
      </c>
      <c r="BJ11" s="3">
        <f>Adds!BJ5+IF(Params!$B$9=1,Adds!BJ4,Adds!BJ7)</f>
        <v/>
      </c>
      <c r="BK11" s="3">
        <f>Adds!BK5+IF(Params!$B$9=1,Adds!BK4,Adds!BK7)</f>
        <v/>
      </c>
      <c r="BL11" s="3">
        <f>Adds!BL5+IF(Params!$B$9=1,Adds!BL4,Adds!BL7)</f>
        <v/>
      </c>
      <c r="BM11" s="3">
        <f>Adds!BM5+IF(Params!$B$9=1,Adds!BM4,Adds!BM7)</f>
        <v/>
      </c>
      <c r="BN11" s="3">
        <f>Adds!BN5+IF(Params!$B$9=1,Adds!BN4,Adds!BN7)</f>
        <v/>
      </c>
      <c r="BO11" s="3">
        <f>Adds!BO5+IF(Params!$B$9=1,Adds!BO4,Adds!BO7)</f>
        <v/>
      </c>
      <c r="BP11" s="3">
        <f>Adds!BP5+IF(Params!$B$9=1,Adds!BP4,Adds!BP7)</f>
        <v/>
      </c>
      <c r="BQ11" s="3">
        <f>Adds!BQ5+IF(Params!$B$9=1,Adds!BQ4,Adds!BQ7)</f>
        <v/>
      </c>
      <c r="BR11" s="3">
        <f>Adds!BR5+IF(Params!$B$9=1,Adds!BR4,Adds!BR7)</f>
        <v/>
      </c>
      <c r="BS11" s="3">
        <f>Adds!BS5+IF(Params!$B$9=1,Adds!BS4,Adds!BS7)</f>
        <v/>
      </c>
      <c r="BT11" s="3">
        <f>Adds!BT5+IF(Params!$B$9=1,Adds!BT4,Adds!BT7)</f>
        <v/>
      </c>
      <c r="BU11" s="3">
        <f>Adds!BU5+IF(Params!$B$9=1,Adds!BU4,Adds!BU7)</f>
        <v/>
      </c>
      <c r="BV11" s="3">
        <f>Adds!BV5+IF(Params!$B$9=1,Adds!BV4,Adds!BV7)</f>
        <v/>
      </c>
    </row>
    <row r="12">
      <c r="A12" t="inlineStr">
        <is>
          <t>reactivated</t>
        </is>
      </c>
      <c r="B12" t="inlineStr">
        <is>
          <t>US_CA|NITRO_M</t>
        </is>
      </c>
      <c r="C12" s="3">
        <f>React!C5</f>
        <v/>
      </c>
      <c r="D12" s="3">
        <f>React!D5</f>
        <v/>
      </c>
      <c r="E12" s="3">
        <f>React!E5</f>
        <v/>
      </c>
      <c r="F12" s="3">
        <f>React!F5</f>
        <v/>
      </c>
      <c r="G12" s="3">
        <f>React!G5</f>
        <v/>
      </c>
      <c r="H12" s="3">
        <f>React!H5</f>
        <v/>
      </c>
      <c r="I12" s="3">
        <f>React!I5</f>
        <v/>
      </c>
      <c r="J12" s="3">
        <f>React!J5</f>
        <v/>
      </c>
      <c r="K12" s="3">
        <f>React!K5</f>
        <v/>
      </c>
      <c r="L12" s="3">
        <f>React!L5</f>
        <v/>
      </c>
      <c r="M12" s="3">
        <f>React!M5</f>
        <v/>
      </c>
      <c r="N12" s="3">
        <f>React!N5</f>
        <v/>
      </c>
      <c r="O12" s="3">
        <f>React!O5</f>
        <v/>
      </c>
      <c r="P12" s="3">
        <f>React!P5</f>
        <v/>
      </c>
      <c r="Q12" s="3">
        <f>React!Q5</f>
        <v/>
      </c>
      <c r="R12" s="3">
        <f>React!R5</f>
        <v/>
      </c>
      <c r="S12" s="3">
        <f>React!S5</f>
        <v/>
      </c>
      <c r="T12" s="3">
        <f>React!T5</f>
        <v/>
      </c>
      <c r="U12" s="3">
        <f>React!U5</f>
        <v/>
      </c>
      <c r="V12" s="3">
        <f>React!V5</f>
        <v/>
      </c>
      <c r="W12" s="3">
        <f>React!W5</f>
        <v/>
      </c>
      <c r="X12" s="3">
        <f>React!X5</f>
        <v/>
      </c>
      <c r="Y12" s="3">
        <f>React!Y5</f>
        <v/>
      </c>
      <c r="Z12" s="3">
        <f>React!Z5</f>
        <v/>
      </c>
      <c r="AA12" s="3">
        <f>React!AA5</f>
        <v/>
      </c>
      <c r="AB12" s="3">
        <f>React!AB5</f>
        <v/>
      </c>
      <c r="AC12" s="3">
        <f>React!AC5</f>
        <v/>
      </c>
      <c r="AD12" s="3">
        <f>React!AD5</f>
        <v/>
      </c>
      <c r="AE12" s="3">
        <f>React!AE5</f>
        <v/>
      </c>
      <c r="AF12" s="3">
        <f>React!AF5</f>
        <v/>
      </c>
      <c r="AG12" s="3">
        <f>React!AG5</f>
        <v/>
      </c>
      <c r="AH12" s="3">
        <f>React!AH5</f>
        <v/>
      </c>
      <c r="AI12" s="3">
        <f>React!AI5</f>
        <v/>
      </c>
      <c r="AJ12" s="3">
        <f>React!AJ5</f>
        <v/>
      </c>
      <c r="AK12" s="3">
        <f>React!AK5</f>
        <v/>
      </c>
      <c r="AL12" s="3">
        <f>React!AL5</f>
        <v/>
      </c>
      <c r="AM12" s="3">
        <f>React!AM5</f>
        <v/>
      </c>
      <c r="AN12" s="3">
        <f>React!AN5</f>
        <v/>
      </c>
      <c r="AO12" s="3">
        <f>React!AO5</f>
        <v/>
      </c>
      <c r="AP12" s="3">
        <f>React!AP5</f>
        <v/>
      </c>
      <c r="AQ12" s="3">
        <f>React!AQ5</f>
        <v/>
      </c>
      <c r="AR12" s="3">
        <f>React!AR5</f>
        <v/>
      </c>
      <c r="AS12" s="3">
        <f>React!AS5</f>
        <v/>
      </c>
      <c r="AT12" s="3">
        <f>React!AT5</f>
        <v/>
      </c>
      <c r="AU12" s="3">
        <f>React!AU5</f>
        <v/>
      </c>
      <c r="AV12" s="3">
        <f>React!AV5</f>
        <v/>
      </c>
      <c r="AW12" s="3">
        <f>React!AW5</f>
        <v/>
      </c>
      <c r="AX12" s="3">
        <f>React!AX5</f>
        <v/>
      </c>
      <c r="AY12" s="3">
        <f>React!AY5</f>
        <v/>
      </c>
      <c r="AZ12" s="3">
        <f>React!AZ5</f>
        <v/>
      </c>
      <c r="BA12" s="3">
        <f>React!BA5</f>
        <v/>
      </c>
      <c r="BB12" s="3">
        <f>React!BB5</f>
        <v/>
      </c>
      <c r="BC12" s="3">
        <f>React!BC5</f>
        <v/>
      </c>
      <c r="BD12" s="3">
        <f>React!BD5</f>
        <v/>
      </c>
      <c r="BE12" s="3">
        <f>React!BE5</f>
        <v/>
      </c>
      <c r="BF12" s="3">
        <f>React!BF5</f>
        <v/>
      </c>
      <c r="BG12" s="3">
        <f>React!BG5</f>
        <v/>
      </c>
      <c r="BH12" s="3">
        <f>React!BH5</f>
        <v/>
      </c>
      <c r="BI12" s="3">
        <f>React!BI5</f>
        <v/>
      </c>
      <c r="BJ12" s="3">
        <f>React!BJ5</f>
        <v/>
      </c>
      <c r="BK12" s="3">
        <f>React!BK5</f>
        <v/>
      </c>
      <c r="BL12" s="3">
        <f>React!BL5</f>
        <v/>
      </c>
      <c r="BM12" s="3">
        <f>React!BM5</f>
        <v/>
      </c>
      <c r="BN12" s="3">
        <f>React!BN5</f>
        <v/>
      </c>
      <c r="BO12" s="3">
        <f>React!BO5</f>
        <v/>
      </c>
      <c r="BP12" s="3">
        <f>React!BP5</f>
        <v/>
      </c>
      <c r="BQ12" s="3">
        <f>React!BQ5</f>
        <v/>
      </c>
      <c r="BR12" s="3">
        <f>React!BR5</f>
        <v/>
      </c>
      <c r="BS12" s="3">
        <f>React!BS5</f>
        <v/>
      </c>
      <c r="BT12" s="3">
        <f>React!BT5</f>
        <v/>
      </c>
      <c r="BU12" s="3">
        <f>React!BU5</f>
        <v/>
      </c>
      <c r="BV12" s="3">
        <f>React!BV5</f>
        <v/>
      </c>
    </row>
    <row r="13">
      <c r="A13" t="inlineStr">
        <is>
          <t>churned</t>
        </is>
      </c>
      <c r="B13" t="inlineStr">
        <is>
          <t>US_CA|NITRO_M</t>
        </is>
      </c>
      <c r="C13" s="3">
        <f>Legacy!C7+Paid!C5+React!C8+Params!$B$9*Adds!C8</f>
        <v/>
      </c>
      <c r="D13" s="3">
        <f>Legacy!D7+Paid!D5+React!D8+Params!$B$9*Adds!D8</f>
        <v/>
      </c>
      <c r="E13" s="3">
        <f>Legacy!E7+Paid!E5+React!E8+Params!$B$9*Adds!E8</f>
        <v/>
      </c>
      <c r="F13" s="3">
        <f>Legacy!F7+Paid!F5+React!F8+Params!$B$9*Adds!F8</f>
        <v/>
      </c>
      <c r="G13" s="3">
        <f>Legacy!G7+Paid!G5+React!G8+Params!$B$9*Adds!G8</f>
        <v/>
      </c>
      <c r="H13" s="3">
        <f>Legacy!H7+Paid!H5+React!H8+Params!$B$9*Adds!H8</f>
        <v/>
      </c>
      <c r="I13" s="3">
        <f>Legacy!I7+Paid!I5+React!I8+Params!$B$9*Adds!I8</f>
        <v/>
      </c>
      <c r="J13" s="3">
        <f>Legacy!J7+Paid!J5+React!J8+Params!$B$9*Adds!J8</f>
        <v/>
      </c>
      <c r="K13" s="3">
        <f>Legacy!K7+Paid!K5+React!K8+Params!$B$9*Adds!K8</f>
        <v/>
      </c>
      <c r="L13" s="3">
        <f>Legacy!L7+Paid!L5+React!L8+Params!$B$9*Adds!L8</f>
        <v/>
      </c>
      <c r="M13" s="3">
        <f>Legacy!M7+Paid!M5+React!M8+Params!$B$9*Adds!M8</f>
        <v/>
      </c>
      <c r="N13" s="3">
        <f>Legacy!N7+Paid!N5+React!N8+Params!$B$9*Adds!N8</f>
        <v/>
      </c>
      <c r="O13" s="3">
        <f>Legacy!O7+Paid!O5+React!O8+Params!$B$9*Adds!O8</f>
        <v/>
      </c>
      <c r="P13" s="3">
        <f>Legacy!P7+Paid!P5+React!P8+Params!$B$9*Adds!P8</f>
        <v/>
      </c>
      <c r="Q13" s="3">
        <f>Legacy!Q7+Paid!Q5+React!Q8+Params!$B$9*Adds!Q8</f>
        <v/>
      </c>
      <c r="R13" s="3">
        <f>Legacy!R7+Paid!R5+React!R8+Params!$B$9*Adds!R8</f>
        <v/>
      </c>
      <c r="S13" s="3">
        <f>Legacy!S7+Paid!S5+React!S8+Params!$B$9*Adds!S8</f>
        <v/>
      </c>
      <c r="T13" s="3">
        <f>Legacy!T7+Paid!T5+React!T8+Params!$B$9*Adds!T8</f>
        <v/>
      </c>
      <c r="U13" s="3">
        <f>Legacy!U7+Paid!U5+React!U8+Params!$B$9*Adds!U8</f>
        <v/>
      </c>
      <c r="V13" s="3">
        <f>Legacy!V7+Paid!V5+React!V8+Params!$B$9*Adds!V8</f>
        <v/>
      </c>
      <c r="W13" s="3">
        <f>Legacy!W7+Paid!W5+React!W8+Params!$B$9*Adds!W8</f>
        <v/>
      </c>
      <c r="X13" s="3">
        <f>Legacy!X7+Paid!X5+React!X8+Params!$B$9*Adds!X8</f>
        <v/>
      </c>
      <c r="Y13" s="3">
        <f>Legacy!Y7+Paid!Y5+React!Y8+Params!$B$9*Adds!Y8</f>
        <v/>
      </c>
      <c r="Z13" s="3">
        <f>Legacy!Z7+Paid!Z5+React!Z8+Params!$B$9*Adds!Z8</f>
        <v/>
      </c>
      <c r="AA13" s="3">
        <f>Legacy!AA7+Paid!AA5+React!AA8+Params!$B$9*Adds!AA8</f>
        <v/>
      </c>
      <c r="AB13" s="3">
        <f>Legacy!AB7+Paid!AB5+React!AB8+Params!$B$9*Adds!AB8</f>
        <v/>
      </c>
      <c r="AC13" s="3">
        <f>Legacy!AC7+Paid!AC5+React!AC8+Params!$B$9*Adds!AC8</f>
        <v/>
      </c>
      <c r="AD13" s="3">
        <f>Legacy!AD7+Paid!AD5+React!AD8+Params!$B$9*Adds!AD8</f>
        <v/>
      </c>
      <c r="AE13" s="3">
        <f>Legacy!AE7+Paid!AE5+React!AE8+Params!$B$9*Adds!AE8</f>
        <v/>
      </c>
      <c r="AF13" s="3">
        <f>Legacy!AF7+Paid!AF5+React!AF8+Params!$B$9*Adds!AF8</f>
        <v/>
      </c>
      <c r="AG13" s="3">
        <f>Legacy!AG7+Paid!AG5+React!AG8+Params!$B$9*Adds!AG8</f>
        <v/>
      </c>
      <c r="AH13" s="3">
        <f>Legacy!AH7+Paid!AH5+React!AH8+Params!$B$9*Adds!AH8</f>
        <v/>
      </c>
      <c r="AI13" s="3">
        <f>Legacy!AI7+Paid!AI5+React!AI8+Params!$B$9*Adds!AI8</f>
        <v/>
      </c>
      <c r="AJ13" s="3">
        <f>Legacy!AJ7+Paid!AJ5+React!AJ8+Params!$B$9*Adds!AJ8</f>
        <v/>
      </c>
      <c r="AK13" s="3">
        <f>Legacy!AK7+Paid!AK5+React!AK8+Params!$B$9*Adds!AK8</f>
        <v/>
      </c>
      <c r="AL13" s="3">
        <f>Legacy!AL7+Paid!AL5+React!AL8+Params!$B$9*Adds!AL8</f>
        <v/>
      </c>
      <c r="AM13" s="3">
        <f>Legacy!AM7+Paid!AM5+React!AM8+Params!$B$9*Adds!AM8</f>
        <v/>
      </c>
      <c r="AN13" s="3">
        <f>Legacy!AN7+Paid!AN5+React!AN8+Params!$B$9*Adds!AN8</f>
        <v/>
      </c>
      <c r="AO13" s="3">
        <f>Legacy!AO7+Paid!AO5+React!AO8+Params!$B$9*Adds!AO8</f>
        <v/>
      </c>
      <c r="AP13" s="3">
        <f>Legacy!AP7+Paid!AP5+React!AP8+Params!$B$9*Adds!AP8</f>
        <v/>
      </c>
      <c r="AQ13" s="3">
        <f>Legacy!AQ7+Paid!AQ5+React!AQ8+Params!$B$9*Adds!AQ8</f>
        <v/>
      </c>
      <c r="AR13" s="3">
        <f>Legacy!AR7+Paid!AR5+React!AR8+Params!$B$9*Adds!AR8</f>
        <v/>
      </c>
      <c r="AS13" s="3">
        <f>Legacy!AS7+Paid!AS5+React!AS8+Params!$B$9*Adds!AS8</f>
        <v/>
      </c>
      <c r="AT13" s="3">
        <f>Legacy!AT7+Paid!AT5+React!AT8+Params!$B$9*Adds!AT8</f>
        <v/>
      </c>
      <c r="AU13" s="3">
        <f>Legacy!AU7+Paid!AU5+React!AU8+Params!$B$9*Adds!AU8</f>
        <v/>
      </c>
      <c r="AV13" s="3">
        <f>Legacy!AV7+Paid!AV5+React!AV8+Params!$B$9*Adds!AV8</f>
        <v/>
      </c>
      <c r="AW13" s="3">
        <f>Legacy!AW7+Paid!AW5+React!AW8+Params!$B$9*Adds!AW8</f>
        <v/>
      </c>
      <c r="AX13" s="3">
        <f>Legacy!AX7+Paid!AX5+React!AX8+Params!$B$9*Adds!AX8</f>
        <v/>
      </c>
      <c r="AY13" s="3">
        <f>Legacy!AY7+Paid!AY5+React!AY8+Params!$B$9*Adds!AY8</f>
        <v/>
      </c>
      <c r="AZ13" s="3">
        <f>Legacy!AZ7+Paid!AZ5+React!AZ8+Params!$B$9*Adds!AZ8</f>
        <v/>
      </c>
      <c r="BA13" s="3">
        <f>Legacy!BA7+Paid!BA5+React!BA8+Params!$B$9*Adds!BA8</f>
        <v/>
      </c>
      <c r="BB13" s="3">
        <f>Legacy!BB7+Paid!BB5+React!BB8+Params!$B$9*Adds!BB8</f>
        <v/>
      </c>
      <c r="BC13" s="3">
        <f>Legacy!BC7+Paid!BC5+React!BC8+Params!$B$9*Adds!BC8</f>
        <v/>
      </c>
      <c r="BD13" s="3">
        <f>Legacy!BD7+Paid!BD5+React!BD8+Params!$B$9*Adds!BD8</f>
        <v/>
      </c>
      <c r="BE13" s="3">
        <f>Legacy!BE7+Paid!BE5+React!BE8+Params!$B$9*Adds!BE8</f>
        <v/>
      </c>
      <c r="BF13" s="3">
        <f>Legacy!BF7+Paid!BF5+React!BF8+Params!$B$9*Adds!BF8</f>
        <v/>
      </c>
      <c r="BG13" s="3">
        <f>Legacy!BG7+Paid!BG5+React!BG8+Params!$B$9*Adds!BG8</f>
        <v/>
      </c>
      <c r="BH13" s="3">
        <f>Legacy!BH7+Paid!BH5+React!BH8+Params!$B$9*Adds!BH8</f>
        <v/>
      </c>
      <c r="BI13" s="3">
        <f>Legacy!BI7+Paid!BI5+React!BI8+Params!$B$9*Adds!BI8</f>
        <v/>
      </c>
      <c r="BJ13" s="3">
        <f>Legacy!BJ7+Paid!BJ5+React!BJ8+Params!$B$9*Adds!BJ8</f>
        <v/>
      </c>
      <c r="BK13" s="3">
        <f>Legacy!BK7+Paid!BK5+React!BK8+Params!$B$9*Adds!BK8</f>
        <v/>
      </c>
      <c r="BL13" s="3">
        <f>Legacy!BL7+Paid!BL5+React!BL8+Params!$B$9*Adds!BL8</f>
        <v/>
      </c>
      <c r="BM13" s="3">
        <f>Legacy!BM7+Paid!BM5+React!BM8+Params!$B$9*Adds!BM8</f>
        <v/>
      </c>
      <c r="BN13" s="3">
        <f>Legacy!BN7+Paid!BN5+React!BN8+Params!$B$9*Adds!BN8</f>
        <v/>
      </c>
      <c r="BO13" s="3">
        <f>Legacy!BO7+Paid!BO5+React!BO8+Params!$B$9*Adds!BO8</f>
        <v/>
      </c>
      <c r="BP13" s="3">
        <f>Legacy!BP7+Paid!BP5+React!BP8+Params!$B$9*Adds!BP8</f>
        <v/>
      </c>
      <c r="BQ13" s="3">
        <f>Legacy!BQ7+Paid!BQ5+React!BQ8+Params!$B$9*Adds!BQ8</f>
        <v/>
      </c>
      <c r="BR13" s="3">
        <f>Legacy!BR7+Paid!BR5+React!BR8+Params!$B$9*Adds!BR8</f>
        <v/>
      </c>
      <c r="BS13" s="3">
        <f>Legacy!BS7+Paid!BS5+React!BS8+Params!$B$9*Adds!BS8</f>
        <v/>
      </c>
      <c r="BT13" s="3">
        <f>Legacy!BT7+Paid!BT5+React!BT8+Params!$B$9*Adds!BT8</f>
        <v/>
      </c>
      <c r="BU13" s="3">
        <f>Legacy!BU7+Paid!BU5+React!BU8+Params!$B$9*Adds!BU8</f>
        <v/>
      </c>
      <c r="BV13" s="3">
        <f>Legacy!BV7+Paid!BV5+React!BV8+Params!$B$9*Adds!BV8</f>
        <v/>
      </c>
    </row>
    <row r="14">
      <c r="A14" t="inlineStr">
        <is>
          <t>closing</t>
        </is>
      </c>
      <c r="B14" t="inlineStr">
        <is>
          <t>US_CA|NITRO_M</t>
        </is>
      </c>
      <c r="C14" s="3">
        <f>C15+Params!$B$9*Adds!C11</f>
        <v/>
      </c>
      <c r="D14" s="3">
        <f>D15+Params!$B$9*Adds!D11</f>
        <v/>
      </c>
      <c r="E14" s="3">
        <f>E15+Params!$B$9*Adds!E11</f>
        <v/>
      </c>
      <c r="F14" s="3">
        <f>F15+Params!$B$9*Adds!F11</f>
        <v/>
      </c>
      <c r="G14" s="3">
        <f>G15+Params!$B$9*Adds!G11</f>
        <v/>
      </c>
      <c r="H14" s="3">
        <f>H15+Params!$B$9*Adds!H11</f>
        <v/>
      </c>
      <c r="I14" s="3">
        <f>I15+Params!$B$9*Adds!I11</f>
        <v/>
      </c>
      <c r="J14" s="3">
        <f>J15+Params!$B$9*Adds!J11</f>
        <v/>
      </c>
      <c r="K14" s="3">
        <f>K15+Params!$B$9*Adds!K11</f>
        <v/>
      </c>
      <c r="L14" s="3">
        <f>L15+Params!$B$9*Adds!L11</f>
        <v/>
      </c>
      <c r="M14" s="3">
        <f>M15+Params!$B$9*Adds!M11</f>
        <v/>
      </c>
      <c r="N14" s="3">
        <f>N15+Params!$B$9*Adds!N11</f>
        <v/>
      </c>
      <c r="O14" s="3">
        <f>O15+Params!$B$9*Adds!O11</f>
        <v/>
      </c>
      <c r="P14" s="3">
        <f>P15+Params!$B$9*Adds!P11</f>
        <v/>
      </c>
      <c r="Q14" s="3">
        <f>Q15+Params!$B$9*Adds!Q11</f>
        <v/>
      </c>
      <c r="R14" s="3">
        <f>R15+Params!$B$9*Adds!R11</f>
        <v/>
      </c>
      <c r="S14" s="3">
        <f>S15+Params!$B$9*Adds!S11</f>
        <v/>
      </c>
      <c r="T14" s="3">
        <f>T15+Params!$B$9*Adds!T11</f>
        <v/>
      </c>
      <c r="U14" s="3">
        <f>U15+Params!$B$9*Adds!U11</f>
        <v/>
      </c>
      <c r="V14" s="3">
        <f>V15+Params!$B$9*Adds!V11</f>
        <v/>
      </c>
      <c r="W14" s="3">
        <f>W15+Params!$B$9*Adds!W11</f>
        <v/>
      </c>
      <c r="X14" s="3">
        <f>X15+Params!$B$9*Adds!X11</f>
        <v/>
      </c>
      <c r="Y14" s="3">
        <f>Y15+Params!$B$9*Adds!Y11</f>
        <v/>
      </c>
      <c r="Z14" s="3">
        <f>Z15+Params!$B$9*Adds!Z11</f>
        <v/>
      </c>
      <c r="AA14" s="3">
        <f>AA15+Params!$B$9*Adds!AA11</f>
        <v/>
      </c>
      <c r="AB14" s="3">
        <f>AB15+Params!$B$9*Adds!AB11</f>
        <v/>
      </c>
      <c r="AC14" s="3">
        <f>AC15+Params!$B$9*Adds!AC11</f>
        <v/>
      </c>
      <c r="AD14" s="3">
        <f>AD15+Params!$B$9*Adds!AD11</f>
        <v/>
      </c>
      <c r="AE14" s="3">
        <f>AE15+Params!$B$9*Adds!AE11</f>
        <v/>
      </c>
      <c r="AF14" s="3">
        <f>AF15+Params!$B$9*Adds!AF11</f>
        <v/>
      </c>
      <c r="AG14" s="3">
        <f>AG15+Params!$B$9*Adds!AG11</f>
        <v/>
      </c>
      <c r="AH14" s="3">
        <f>AH15+Params!$B$9*Adds!AH11</f>
        <v/>
      </c>
      <c r="AI14" s="3">
        <f>AI15+Params!$B$9*Adds!AI11</f>
        <v/>
      </c>
      <c r="AJ14" s="3">
        <f>AJ15+Params!$B$9*Adds!AJ11</f>
        <v/>
      </c>
      <c r="AK14" s="3">
        <f>AK15+Params!$B$9*Adds!AK11</f>
        <v/>
      </c>
      <c r="AL14" s="3">
        <f>AL15+Params!$B$9*Adds!AL11</f>
        <v/>
      </c>
      <c r="AM14" s="3">
        <f>AM15+Params!$B$9*Adds!AM11</f>
        <v/>
      </c>
      <c r="AN14" s="3">
        <f>AN15+Params!$B$9*Adds!AN11</f>
        <v/>
      </c>
      <c r="AO14" s="3">
        <f>AO15+Params!$B$9*Adds!AO11</f>
        <v/>
      </c>
      <c r="AP14" s="3">
        <f>AP15+Params!$B$9*Adds!AP11</f>
        <v/>
      </c>
      <c r="AQ14" s="3">
        <f>AQ15+Params!$B$9*Adds!AQ11</f>
        <v/>
      </c>
      <c r="AR14" s="3">
        <f>AR15+Params!$B$9*Adds!AR11</f>
        <v/>
      </c>
      <c r="AS14" s="3">
        <f>AS15+Params!$B$9*Adds!AS11</f>
        <v/>
      </c>
      <c r="AT14" s="3">
        <f>AT15+Params!$B$9*Adds!AT11</f>
        <v/>
      </c>
      <c r="AU14" s="3">
        <f>AU15+Params!$B$9*Adds!AU11</f>
        <v/>
      </c>
      <c r="AV14" s="3">
        <f>AV15+Params!$B$9*Adds!AV11</f>
        <v/>
      </c>
      <c r="AW14" s="3">
        <f>AW15+Params!$B$9*Adds!AW11</f>
        <v/>
      </c>
      <c r="AX14" s="3">
        <f>AX15+Params!$B$9*Adds!AX11</f>
        <v/>
      </c>
      <c r="AY14" s="3">
        <f>AY15+Params!$B$9*Adds!AY11</f>
        <v/>
      </c>
      <c r="AZ14" s="3">
        <f>AZ15+Params!$B$9*Adds!AZ11</f>
        <v/>
      </c>
      <c r="BA14" s="3">
        <f>BA15+Params!$B$9*Adds!BA11</f>
        <v/>
      </c>
      <c r="BB14" s="3">
        <f>BB15+Params!$B$9*Adds!BB11</f>
        <v/>
      </c>
      <c r="BC14" s="3">
        <f>BC15+Params!$B$9*Adds!BC11</f>
        <v/>
      </c>
      <c r="BD14" s="3">
        <f>BD15+Params!$B$9*Adds!BD11</f>
        <v/>
      </c>
      <c r="BE14" s="3">
        <f>BE15+Params!$B$9*Adds!BE11</f>
        <v/>
      </c>
      <c r="BF14" s="3">
        <f>BF15+Params!$B$9*Adds!BF11</f>
        <v/>
      </c>
      <c r="BG14" s="3">
        <f>BG15+Params!$B$9*Adds!BG11</f>
        <v/>
      </c>
      <c r="BH14" s="3">
        <f>BH15+Params!$B$9*Adds!BH11</f>
        <v/>
      </c>
      <c r="BI14" s="3">
        <f>BI15+Params!$B$9*Adds!BI11</f>
        <v/>
      </c>
      <c r="BJ14" s="3">
        <f>BJ15+Params!$B$9*Adds!BJ11</f>
        <v/>
      </c>
      <c r="BK14" s="3">
        <f>BK15+Params!$B$9*Adds!BK11</f>
        <v/>
      </c>
      <c r="BL14" s="3">
        <f>BL15+Params!$B$9*Adds!BL11</f>
        <v/>
      </c>
      <c r="BM14" s="3">
        <f>BM15+Params!$B$9*Adds!BM11</f>
        <v/>
      </c>
      <c r="BN14" s="3">
        <f>BN15+Params!$B$9*Adds!BN11</f>
        <v/>
      </c>
      <c r="BO14" s="3">
        <f>BO15+Params!$B$9*Adds!BO11</f>
        <v/>
      </c>
      <c r="BP14" s="3">
        <f>BP15+Params!$B$9*Adds!BP11</f>
        <v/>
      </c>
      <c r="BQ14" s="3">
        <f>BQ15+Params!$B$9*Adds!BQ11</f>
        <v/>
      </c>
      <c r="BR14" s="3">
        <f>BR15+Params!$B$9*Adds!BR11</f>
        <v/>
      </c>
      <c r="BS14" s="3">
        <f>BS15+Params!$B$9*Adds!BS11</f>
        <v/>
      </c>
      <c r="BT14" s="3">
        <f>BT15+Params!$B$9*Adds!BT11</f>
        <v/>
      </c>
      <c r="BU14" s="3">
        <f>BU15+Params!$B$9*Adds!BU11</f>
        <v/>
      </c>
      <c r="BV14" s="3">
        <f>BV15+Params!$B$9*Adds!BV11</f>
        <v/>
      </c>
    </row>
    <row r="15">
      <c r="A15" t="inlineStr">
        <is>
          <t>paying</t>
        </is>
      </c>
      <c r="B15" t="inlineStr">
        <is>
          <t>US_CA|NITRO_M</t>
        </is>
      </c>
      <c r="C15" s="3">
        <f>Legacy!C6+Paid!C3+React!C6</f>
        <v/>
      </c>
      <c r="D15" s="3">
        <f>Legacy!D6+Paid!D3+React!D6</f>
        <v/>
      </c>
      <c r="E15" s="3">
        <f>Legacy!E6+Paid!E3+React!E6</f>
        <v/>
      </c>
      <c r="F15" s="3">
        <f>Legacy!F6+Paid!F3+React!F6</f>
        <v/>
      </c>
      <c r="G15" s="3">
        <f>Legacy!G6+Paid!G3+React!G6</f>
        <v/>
      </c>
      <c r="H15" s="3">
        <f>Legacy!H6+Paid!H3+React!H6</f>
        <v/>
      </c>
      <c r="I15" s="3">
        <f>Legacy!I6+Paid!I3+React!I6</f>
        <v/>
      </c>
      <c r="J15" s="3">
        <f>Legacy!J6+Paid!J3+React!J6</f>
        <v/>
      </c>
      <c r="K15" s="3">
        <f>Legacy!K6+Paid!K3+React!K6</f>
        <v/>
      </c>
      <c r="L15" s="3">
        <f>Legacy!L6+Paid!L3+React!L6</f>
        <v/>
      </c>
      <c r="M15" s="3">
        <f>Legacy!M6+Paid!M3+React!M6</f>
        <v/>
      </c>
      <c r="N15" s="3">
        <f>Legacy!N6+Paid!N3+React!N6</f>
        <v/>
      </c>
      <c r="O15" s="3">
        <f>Legacy!O6+Paid!O3+React!O6</f>
        <v/>
      </c>
      <c r="P15" s="3">
        <f>Legacy!P6+Paid!P3+React!P6</f>
        <v/>
      </c>
      <c r="Q15" s="3">
        <f>Legacy!Q6+Paid!Q3+React!Q6</f>
        <v/>
      </c>
      <c r="R15" s="3">
        <f>Legacy!R6+Paid!R3+React!R6</f>
        <v/>
      </c>
      <c r="S15" s="3">
        <f>Legacy!S6+Paid!S3+React!S6</f>
        <v/>
      </c>
      <c r="T15" s="3">
        <f>Legacy!T6+Paid!T3+React!T6</f>
        <v/>
      </c>
      <c r="U15" s="3">
        <f>Legacy!U6+Paid!U3+React!U6</f>
        <v/>
      </c>
      <c r="V15" s="3">
        <f>Legacy!V6+Paid!V3+React!V6</f>
        <v/>
      </c>
      <c r="W15" s="3">
        <f>Legacy!W6+Paid!W3+React!W6</f>
        <v/>
      </c>
      <c r="X15" s="3">
        <f>Legacy!X6+Paid!X3+React!X6</f>
        <v/>
      </c>
      <c r="Y15" s="3">
        <f>Legacy!Y6+Paid!Y3+React!Y6</f>
        <v/>
      </c>
      <c r="Z15" s="3">
        <f>Legacy!Z6+Paid!Z3+React!Z6</f>
        <v/>
      </c>
      <c r="AA15" s="3">
        <f>Legacy!AA6+Paid!AA3+React!AA6</f>
        <v/>
      </c>
      <c r="AB15" s="3">
        <f>Legacy!AB6+Paid!AB3+React!AB6</f>
        <v/>
      </c>
      <c r="AC15" s="3">
        <f>Legacy!AC6+Paid!AC3+React!AC6</f>
        <v/>
      </c>
      <c r="AD15" s="3">
        <f>Legacy!AD6+Paid!AD3+React!AD6</f>
        <v/>
      </c>
      <c r="AE15" s="3">
        <f>Legacy!AE6+Paid!AE3+React!AE6</f>
        <v/>
      </c>
      <c r="AF15" s="3">
        <f>Legacy!AF6+Paid!AF3+React!AF6</f>
        <v/>
      </c>
      <c r="AG15" s="3">
        <f>Legacy!AG6+Paid!AG3+React!AG6</f>
        <v/>
      </c>
      <c r="AH15" s="3">
        <f>Legacy!AH6+Paid!AH3+React!AH6</f>
        <v/>
      </c>
      <c r="AI15" s="3">
        <f>Legacy!AI6+Paid!AI3+React!AI6</f>
        <v/>
      </c>
      <c r="AJ15" s="3">
        <f>Legacy!AJ6+Paid!AJ3+React!AJ6</f>
        <v/>
      </c>
      <c r="AK15" s="3">
        <f>Legacy!AK6+Paid!AK3+React!AK6</f>
        <v/>
      </c>
      <c r="AL15" s="3">
        <f>Legacy!AL6+Paid!AL3+React!AL6</f>
        <v/>
      </c>
      <c r="AM15" s="3">
        <f>Legacy!AM6+Paid!AM3+React!AM6</f>
        <v/>
      </c>
      <c r="AN15" s="3">
        <f>Legacy!AN6+Paid!AN3+React!AN6</f>
        <v/>
      </c>
      <c r="AO15" s="3">
        <f>Legacy!AO6+Paid!AO3+React!AO6</f>
        <v/>
      </c>
      <c r="AP15" s="3">
        <f>Legacy!AP6+Paid!AP3+React!AP6</f>
        <v/>
      </c>
      <c r="AQ15" s="3">
        <f>Legacy!AQ6+Paid!AQ3+React!AQ6</f>
        <v/>
      </c>
      <c r="AR15" s="3">
        <f>Legacy!AR6+Paid!AR3+React!AR6</f>
        <v/>
      </c>
      <c r="AS15" s="3">
        <f>Legacy!AS6+Paid!AS3+React!AS6</f>
        <v/>
      </c>
      <c r="AT15" s="3">
        <f>Legacy!AT6+Paid!AT3+React!AT6</f>
        <v/>
      </c>
      <c r="AU15" s="3">
        <f>Legacy!AU6+Paid!AU3+React!AU6</f>
        <v/>
      </c>
      <c r="AV15" s="3">
        <f>Legacy!AV6+Paid!AV3+React!AV6</f>
        <v/>
      </c>
      <c r="AW15" s="3">
        <f>Legacy!AW6+Paid!AW3+React!AW6</f>
        <v/>
      </c>
      <c r="AX15" s="3">
        <f>Legacy!AX6+Paid!AX3+React!AX6</f>
        <v/>
      </c>
      <c r="AY15" s="3">
        <f>Legacy!AY6+Paid!AY3+React!AY6</f>
        <v/>
      </c>
      <c r="AZ15" s="3">
        <f>Legacy!AZ6+Paid!AZ3+React!AZ6</f>
        <v/>
      </c>
      <c r="BA15" s="3">
        <f>Legacy!BA6+Paid!BA3+React!BA6</f>
        <v/>
      </c>
      <c r="BB15" s="3">
        <f>Legacy!BB6+Paid!BB3+React!BB6</f>
        <v/>
      </c>
      <c r="BC15" s="3">
        <f>Legacy!BC6+Paid!BC3+React!BC6</f>
        <v/>
      </c>
      <c r="BD15" s="3">
        <f>Legacy!BD6+Paid!BD3+React!BD6</f>
        <v/>
      </c>
      <c r="BE15" s="3">
        <f>Legacy!BE6+Paid!BE3+React!BE6</f>
        <v/>
      </c>
      <c r="BF15" s="3">
        <f>Legacy!BF6+Paid!BF3+React!BF6</f>
        <v/>
      </c>
      <c r="BG15" s="3">
        <f>Legacy!BG6+Paid!BG3+React!BG6</f>
        <v/>
      </c>
      <c r="BH15" s="3">
        <f>Legacy!BH6+Paid!BH3+React!BH6</f>
        <v/>
      </c>
      <c r="BI15" s="3">
        <f>Legacy!BI6+Paid!BI3+React!BI6</f>
        <v/>
      </c>
      <c r="BJ15" s="3">
        <f>Legacy!BJ6+Paid!BJ3+React!BJ6</f>
        <v/>
      </c>
      <c r="BK15" s="3">
        <f>Legacy!BK6+Paid!BK3+React!BK6</f>
        <v/>
      </c>
      <c r="BL15" s="3">
        <f>Legacy!BL6+Paid!BL3+React!BL6</f>
        <v/>
      </c>
      <c r="BM15" s="3">
        <f>Legacy!BM6+Paid!BM3+React!BM6</f>
        <v/>
      </c>
      <c r="BN15" s="3">
        <f>Legacy!BN6+Paid!BN3+React!BN6</f>
        <v/>
      </c>
      <c r="BO15" s="3">
        <f>Legacy!BO6+Paid!BO3+React!BO6</f>
        <v/>
      </c>
      <c r="BP15" s="3">
        <f>Legacy!BP6+Paid!BP3+React!BP6</f>
        <v/>
      </c>
      <c r="BQ15" s="3">
        <f>Legacy!BQ6+Paid!BQ3+React!BQ6</f>
        <v/>
      </c>
      <c r="BR15" s="3">
        <f>Legacy!BR6+Paid!BR3+React!BR6</f>
        <v/>
      </c>
      <c r="BS15" s="3">
        <f>Legacy!BS6+Paid!BS3+React!BS6</f>
        <v/>
      </c>
      <c r="BT15" s="3">
        <f>Legacy!BT6+Paid!BT3+React!BT6</f>
        <v/>
      </c>
      <c r="BU15" s="3">
        <f>Legacy!BU6+Paid!BU3+React!BU6</f>
        <v/>
      </c>
      <c r="BV15" s="3">
        <f>Legacy!BV6+Paid!BV3+React!BV6</f>
        <v/>
      </c>
    </row>
    <row r="17">
      <c r="A17" t="inlineStr">
        <is>
          <t>opening</t>
        </is>
      </c>
      <c r="B17" t="inlineStr">
        <is>
          <t>US_CA|NITRO_A</t>
        </is>
      </c>
      <c r="C17" s="3">
        <f>Legacy!$C$9</f>
        <v/>
      </c>
      <c r="D17" s="3">
        <f>C21</f>
        <v/>
      </c>
      <c r="E17" s="3">
        <f>D21</f>
        <v/>
      </c>
      <c r="F17" s="3">
        <f>E21</f>
        <v/>
      </c>
      <c r="G17" s="3">
        <f>F21</f>
        <v/>
      </c>
      <c r="H17" s="3">
        <f>G21</f>
        <v/>
      </c>
      <c r="I17" s="3">
        <f>H21</f>
        <v/>
      </c>
      <c r="J17" s="3">
        <f>I21</f>
        <v/>
      </c>
      <c r="K17" s="3">
        <f>J21</f>
        <v/>
      </c>
      <c r="L17" s="3">
        <f>K21</f>
        <v/>
      </c>
      <c r="M17" s="3">
        <f>L21</f>
        <v/>
      </c>
      <c r="N17" s="3">
        <f>M21</f>
        <v/>
      </c>
      <c r="O17" s="3">
        <f>N21</f>
        <v/>
      </c>
      <c r="P17" s="3">
        <f>O21</f>
        <v/>
      </c>
      <c r="Q17" s="3">
        <f>P21</f>
        <v/>
      </c>
      <c r="R17" s="3">
        <f>Q21</f>
        <v/>
      </c>
      <c r="S17" s="3">
        <f>R21</f>
        <v/>
      </c>
      <c r="T17" s="3">
        <f>S21</f>
        <v/>
      </c>
      <c r="U17" s="3">
        <f>T21</f>
        <v/>
      </c>
      <c r="V17" s="3">
        <f>U21</f>
        <v/>
      </c>
      <c r="W17" s="3">
        <f>V21</f>
        <v/>
      </c>
      <c r="X17" s="3">
        <f>W21</f>
        <v/>
      </c>
      <c r="Y17" s="3">
        <f>X21</f>
        <v/>
      </c>
      <c r="Z17" s="3">
        <f>Y21</f>
        <v/>
      </c>
      <c r="AA17" s="3">
        <f>Z21</f>
        <v/>
      </c>
      <c r="AB17" s="3">
        <f>AA21</f>
        <v/>
      </c>
      <c r="AC17" s="3">
        <f>AB21</f>
        <v/>
      </c>
      <c r="AD17" s="3">
        <f>AC21</f>
        <v/>
      </c>
      <c r="AE17" s="3">
        <f>AD21</f>
        <v/>
      </c>
      <c r="AF17" s="3">
        <f>AE21</f>
        <v/>
      </c>
      <c r="AG17" s="3">
        <f>AF21</f>
        <v/>
      </c>
      <c r="AH17" s="3">
        <f>AG21</f>
        <v/>
      </c>
      <c r="AI17" s="3">
        <f>AH21</f>
        <v/>
      </c>
      <c r="AJ17" s="3">
        <f>AI21</f>
        <v/>
      </c>
      <c r="AK17" s="3">
        <f>AJ21</f>
        <v/>
      </c>
      <c r="AL17" s="3">
        <f>AK21</f>
        <v/>
      </c>
      <c r="AM17" s="3">
        <f>AL21</f>
        <v/>
      </c>
      <c r="AN17" s="3">
        <f>AM21</f>
        <v/>
      </c>
      <c r="AO17" s="3">
        <f>AN21</f>
        <v/>
      </c>
      <c r="AP17" s="3">
        <f>AO21</f>
        <v/>
      </c>
      <c r="AQ17" s="3">
        <f>AP21</f>
        <v/>
      </c>
      <c r="AR17" s="3">
        <f>AQ21</f>
        <v/>
      </c>
      <c r="AS17" s="3">
        <f>AR21</f>
        <v/>
      </c>
      <c r="AT17" s="3">
        <f>AS21</f>
        <v/>
      </c>
      <c r="AU17" s="3">
        <f>AT21</f>
        <v/>
      </c>
      <c r="AV17" s="3">
        <f>AU21</f>
        <v/>
      </c>
      <c r="AW17" s="3">
        <f>AV21</f>
        <v/>
      </c>
      <c r="AX17" s="3">
        <f>AW21</f>
        <v/>
      </c>
      <c r="AY17" s="3">
        <f>AX21</f>
        <v/>
      </c>
      <c r="AZ17" s="3">
        <f>AY21</f>
        <v/>
      </c>
      <c r="BA17" s="3">
        <f>AZ21</f>
        <v/>
      </c>
      <c r="BB17" s="3">
        <f>BA21</f>
        <v/>
      </c>
      <c r="BC17" s="3">
        <f>BB21</f>
        <v/>
      </c>
      <c r="BD17" s="3">
        <f>BC21</f>
        <v/>
      </c>
      <c r="BE17" s="3">
        <f>BD21</f>
        <v/>
      </c>
      <c r="BF17" s="3">
        <f>BE21</f>
        <v/>
      </c>
      <c r="BG17" s="3">
        <f>BF21</f>
        <v/>
      </c>
      <c r="BH17" s="3">
        <f>BG21</f>
        <v/>
      </c>
      <c r="BI17" s="3">
        <f>BH21</f>
        <v/>
      </c>
      <c r="BJ17" s="3">
        <f>BI21</f>
        <v/>
      </c>
      <c r="BK17" s="3">
        <f>BJ21</f>
        <v/>
      </c>
      <c r="BL17" s="3">
        <f>BK21</f>
        <v/>
      </c>
      <c r="BM17" s="3">
        <f>BL21</f>
        <v/>
      </c>
      <c r="BN17" s="3">
        <f>BM21</f>
        <v/>
      </c>
      <c r="BO17" s="3">
        <f>BN21</f>
        <v/>
      </c>
      <c r="BP17" s="3">
        <f>BO21</f>
        <v/>
      </c>
      <c r="BQ17" s="3">
        <f>BP21</f>
        <v/>
      </c>
      <c r="BR17" s="3">
        <f>BQ21</f>
        <v/>
      </c>
      <c r="BS17" s="3">
        <f>BR21</f>
        <v/>
      </c>
      <c r="BT17" s="3">
        <f>BS21</f>
        <v/>
      </c>
      <c r="BU17" s="3">
        <f>BT21</f>
        <v/>
      </c>
      <c r="BV17" s="3">
        <f>BU21</f>
        <v/>
      </c>
    </row>
    <row r="18">
      <c r="A18" t="inlineStr">
        <is>
          <t>new</t>
        </is>
      </c>
      <c r="B18" t="inlineStr">
        <is>
          <t>US_CA|NITRO_A</t>
        </is>
      </c>
      <c r="C18" s="3">
        <f>Adds!C16+IF(Params!$B$9=1,Adds!C15,Adds!C18)</f>
        <v/>
      </c>
      <c r="D18" s="3">
        <f>Adds!D16+IF(Params!$B$9=1,Adds!D15,Adds!D18)</f>
        <v/>
      </c>
      <c r="E18" s="3">
        <f>Adds!E16+IF(Params!$B$9=1,Adds!E15,Adds!E18)</f>
        <v/>
      </c>
      <c r="F18" s="3">
        <f>Adds!F16+IF(Params!$B$9=1,Adds!F15,Adds!F18)</f>
        <v/>
      </c>
      <c r="G18" s="3">
        <f>Adds!G16+IF(Params!$B$9=1,Adds!G15,Adds!G18)</f>
        <v/>
      </c>
      <c r="H18" s="3">
        <f>Adds!H16+IF(Params!$B$9=1,Adds!H15,Adds!H18)</f>
        <v/>
      </c>
      <c r="I18" s="3">
        <f>Adds!I16+IF(Params!$B$9=1,Adds!I15,Adds!I18)</f>
        <v/>
      </c>
      <c r="J18" s="3">
        <f>Adds!J16+IF(Params!$B$9=1,Adds!J15,Adds!J18)</f>
        <v/>
      </c>
      <c r="K18" s="3">
        <f>Adds!K16+IF(Params!$B$9=1,Adds!K15,Adds!K18)</f>
        <v/>
      </c>
      <c r="L18" s="3">
        <f>Adds!L16+IF(Params!$B$9=1,Adds!L15,Adds!L18)</f>
        <v/>
      </c>
      <c r="M18" s="3">
        <f>Adds!M16+IF(Params!$B$9=1,Adds!M15,Adds!M18)</f>
        <v/>
      </c>
      <c r="N18" s="3">
        <f>Adds!N16+IF(Params!$B$9=1,Adds!N15,Adds!N18)</f>
        <v/>
      </c>
      <c r="O18" s="3">
        <f>Adds!O16+IF(Params!$B$9=1,Adds!O15,Adds!O18)</f>
        <v/>
      </c>
      <c r="P18" s="3">
        <f>Adds!P16+IF(Params!$B$9=1,Adds!P15,Adds!P18)</f>
        <v/>
      </c>
      <c r="Q18" s="3">
        <f>Adds!Q16+IF(Params!$B$9=1,Adds!Q15,Adds!Q18)</f>
        <v/>
      </c>
      <c r="R18" s="3">
        <f>Adds!R16+IF(Params!$B$9=1,Adds!R15,Adds!R18)</f>
        <v/>
      </c>
      <c r="S18" s="3">
        <f>Adds!S16+IF(Params!$B$9=1,Adds!S15,Adds!S18)</f>
        <v/>
      </c>
      <c r="T18" s="3">
        <f>Adds!T16+IF(Params!$B$9=1,Adds!T15,Adds!T18)</f>
        <v/>
      </c>
      <c r="U18" s="3">
        <f>Adds!U16+IF(Params!$B$9=1,Adds!U15,Adds!U18)</f>
        <v/>
      </c>
      <c r="V18" s="3">
        <f>Adds!V16+IF(Params!$B$9=1,Adds!V15,Adds!V18)</f>
        <v/>
      </c>
      <c r="W18" s="3">
        <f>Adds!W16+IF(Params!$B$9=1,Adds!W15,Adds!W18)</f>
        <v/>
      </c>
      <c r="X18" s="3">
        <f>Adds!X16+IF(Params!$B$9=1,Adds!X15,Adds!X18)</f>
        <v/>
      </c>
      <c r="Y18" s="3">
        <f>Adds!Y16+IF(Params!$B$9=1,Adds!Y15,Adds!Y18)</f>
        <v/>
      </c>
      <c r="Z18" s="3">
        <f>Adds!Z16+IF(Params!$B$9=1,Adds!Z15,Adds!Z18)</f>
        <v/>
      </c>
      <c r="AA18" s="3">
        <f>Adds!AA16+IF(Params!$B$9=1,Adds!AA15,Adds!AA18)</f>
        <v/>
      </c>
      <c r="AB18" s="3">
        <f>Adds!AB16+IF(Params!$B$9=1,Adds!AB15,Adds!AB18)</f>
        <v/>
      </c>
      <c r="AC18" s="3">
        <f>Adds!AC16+IF(Params!$B$9=1,Adds!AC15,Adds!AC18)</f>
        <v/>
      </c>
      <c r="AD18" s="3">
        <f>Adds!AD16+IF(Params!$B$9=1,Adds!AD15,Adds!AD18)</f>
        <v/>
      </c>
      <c r="AE18" s="3">
        <f>Adds!AE16+IF(Params!$B$9=1,Adds!AE15,Adds!AE18)</f>
        <v/>
      </c>
      <c r="AF18" s="3">
        <f>Adds!AF16+IF(Params!$B$9=1,Adds!AF15,Adds!AF18)</f>
        <v/>
      </c>
      <c r="AG18" s="3">
        <f>Adds!AG16+IF(Params!$B$9=1,Adds!AG15,Adds!AG18)</f>
        <v/>
      </c>
      <c r="AH18" s="3">
        <f>Adds!AH16+IF(Params!$B$9=1,Adds!AH15,Adds!AH18)</f>
        <v/>
      </c>
      <c r="AI18" s="3">
        <f>Adds!AI16+IF(Params!$B$9=1,Adds!AI15,Adds!AI18)</f>
        <v/>
      </c>
      <c r="AJ18" s="3">
        <f>Adds!AJ16+IF(Params!$B$9=1,Adds!AJ15,Adds!AJ18)</f>
        <v/>
      </c>
      <c r="AK18" s="3">
        <f>Adds!AK16+IF(Params!$B$9=1,Adds!AK15,Adds!AK18)</f>
        <v/>
      </c>
      <c r="AL18" s="3">
        <f>Adds!AL16+IF(Params!$B$9=1,Adds!AL15,Adds!AL18)</f>
        <v/>
      </c>
      <c r="AM18" s="3">
        <f>Adds!AM16+IF(Params!$B$9=1,Adds!AM15,Adds!AM18)</f>
        <v/>
      </c>
      <c r="AN18" s="3">
        <f>Adds!AN16+IF(Params!$B$9=1,Adds!AN15,Adds!AN18)</f>
        <v/>
      </c>
      <c r="AO18" s="3">
        <f>Adds!AO16+IF(Params!$B$9=1,Adds!AO15,Adds!AO18)</f>
        <v/>
      </c>
      <c r="AP18" s="3">
        <f>Adds!AP16+IF(Params!$B$9=1,Adds!AP15,Adds!AP18)</f>
        <v/>
      </c>
      <c r="AQ18" s="3">
        <f>Adds!AQ16+IF(Params!$B$9=1,Adds!AQ15,Adds!AQ18)</f>
        <v/>
      </c>
      <c r="AR18" s="3">
        <f>Adds!AR16+IF(Params!$B$9=1,Adds!AR15,Adds!AR18)</f>
        <v/>
      </c>
      <c r="AS18" s="3">
        <f>Adds!AS16+IF(Params!$B$9=1,Adds!AS15,Adds!AS18)</f>
        <v/>
      </c>
      <c r="AT18" s="3">
        <f>Adds!AT16+IF(Params!$B$9=1,Adds!AT15,Adds!AT18)</f>
        <v/>
      </c>
      <c r="AU18" s="3">
        <f>Adds!AU16+IF(Params!$B$9=1,Adds!AU15,Adds!AU18)</f>
        <v/>
      </c>
      <c r="AV18" s="3">
        <f>Adds!AV16+IF(Params!$B$9=1,Adds!AV15,Adds!AV18)</f>
        <v/>
      </c>
      <c r="AW18" s="3">
        <f>Adds!AW16+IF(Params!$B$9=1,Adds!AW15,Adds!AW18)</f>
        <v/>
      </c>
      <c r="AX18" s="3">
        <f>Adds!AX16+IF(Params!$B$9=1,Adds!AX15,Adds!AX18)</f>
        <v/>
      </c>
      <c r="AY18" s="3">
        <f>Adds!AY16+IF(Params!$B$9=1,Adds!AY15,Adds!AY18)</f>
        <v/>
      </c>
      <c r="AZ18" s="3">
        <f>Adds!AZ16+IF(Params!$B$9=1,Adds!AZ15,Adds!AZ18)</f>
        <v/>
      </c>
      <c r="BA18" s="3">
        <f>Adds!BA16+IF(Params!$B$9=1,Adds!BA15,Adds!BA18)</f>
        <v/>
      </c>
      <c r="BB18" s="3">
        <f>Adds!BB16+IF(Params!$B$9=1,Adds!BB15,Adds!BB18)</f>
        <v/>
      </c>
      <c r="BC18" s="3">
        <f>Adds!BC16+IF(Params!$B$9=1,Adds!BC15,Adds!BC18)</f>
        <v/>
      </c>
      <c r="BD18" s="3">
        <f>Adds!BD16+IF(Params!$B$9=1,Adds!BD15,Adds!BD18)</f>
        <v/>
      </c>
      <c r="BE18" s="3">
        <f>Adds!BE16+IF(Params!$B$9=1,Adds!BE15,Adds!BE18)</f>
        <v/>
      </c>
      <c r="BF18" s="3">
        <f>Adds!BF16+IF(Params!$B$9=1,Adds!BF15,Adds!BF18)</f>
        <v/>
      </c>
      <c r="BG18" s="3">
        <f>Adds!BG16+IF(Params!$B$9=1,Adds!BG15,Adds!BG18)</f>
        <v/>
      </c>
      <c r="BH18" s="3">
        <f>Adds!BH16+IF(Params!$B$9=1,Adds!BH15,Adds!BH18)</f>
        <v/>
      </c>
      <c r="BI18" s="3">
        <f>Adds!BI16+IF(Params!$B$9=1,Adds!BI15,Adds!BI18)</f>
        <v/>
      </c>
      <c r="BJ18" s="3">
        <f>Adds!BJ16+IF(Params!$B$9=1,Adds!BJ15,Adds!BJ18)</f>
        <v/>
      </c>
      <c r="BK18" s="3">
        <f>Adds!BK16+IF(Params!$B$9=1,Adds!BK15,Adds!BK18)</f>
        <v/>
      </c>
      <c r="BL18" s="3">
        <f>Adds!BL16+IF(Params!$B$9=1,Adds!BL15,Adds!BL18)</f>
        <v/>
      </c>
      <c r="BM18" s="3">
        <f>Adds!BM16+IF(Params!$B$9=1,Adds!BM15,Adds!BM18)</f>
        <v/>
      </c>
      <c r="BN18" s="3">
        <f>Adds!BN16+IF(Params!$B$9=1,Adds!BN15,Adds!BN18)</f>
        <v/>
      </c>
      <c r="BO18" s="3">
        <f>Adds!BO16+IF(Params!$B$9=1,Adds!BO15,Adds!BO18)</f>
        <v/>
      </c>
      <c r="BP18" s="3">
        <f>Adds!BP16+IF(Params!$B$9=1,Adds!BP15,Adds!BP18)</f>
        <v/>
      </c>
      <c r="BQ18" s="3">
        <f>Adds!BQ16+IF(Params!$B$9=1,Adds!BQ15,Adds!BQ18)</f>
        <v/>
      </c>
      <c r="BR18" s="3">
        <f>Adds!BR16+IF(Params!$B$9=1,Adds!BR15,Adds!BR18)</f>
        <v/>
      </c>
      <c r="BS18" s="3">
        <f>Adds!BS16+IF(Params!$B$9=1,Adds!BS15,Adds!BS18)</f>
        <v/>
      </c>
      <c r="BT18" s="3">
        <f>Adds!BT16+IF(Params!$B$9=1,Adds!BT15,Adds!BT18)</f>
        <v/>
      </c>
      <c r="BU18" s="3">
        <f>Adds!BU16+IF(Params!$B$9=1,Adds!BU15,Adds!BU18)</f>
        <v/>
      </c>
      <c r="BV18" s="3">
        <f>Adds!BV16+IF(Params!$B$9=1,Adds!BV15,Adds!BV18)</f>
        <v/>
      </c>
    </row>
    <row r="19">
      <c r="A19" t="inlineStr">
        <is>
          <t>reactivated</t>
        </is>
      </c>
      <c r="B19" t="inlineStr">
        <is>
          <t>US_CA|NITRO_A</t>
        </is>
      </c>
      <c r="C19" s="3">
        <f>React!C12</f>
        <v/>
      </c>
      <c r="D19" s="3">
        <f>React!D12</f>
        <v/>
      </c>
      <c r="E19" s="3">
        <f>React!E12</f>
        <v/>
      </c>
      <c r="F19" s="3">
        <f>React!F12</f>
        <v/>
      </c>
      <c r="G19" s="3">
        <f>React!G12</f>
        <v/>
      </c>
      <c r="H19" s="3">
        <f>React!H12</f>
        <v/>
      </c>
      <c r="I19" s="3">
        <f>React!I12</f>
        <v/>
      </c>
      <c r="J19" s="3">
        <f>React!J12</f>
        <v/>
      </c>
      <c r="K19" s="3">
        <f>React!K12</f>
        <v/>
      </c>
      <c r="L19" s="3">
        <f>React!L12</f>
        <v/>
      </c>
      <c r="M19" s="3">
        <f>React!M12</f>
        <v/>
      </c>
      <c r="N19" s="3">
        <f>React!N12</f>
        <v/>
      </c>
      <c r="O19" s="3">
        <f>React!O12</f>
        <v/>
      </c>
      <c r="P19" s="3">
        <f>React!P12</f>
        <v/>
      </c>
      <c r="Q19" s="3">
        <f>React!Q12</f>
        <v/>
      </c>
      <c r="R19" s="3">
        <f>React!R12</f>
        <v/>
      </c>
      <c r="S19" s="3">
        <f>React!S12</f>
        <v/>
      </c>
      <c r="T19" s="3">
        <f>React!T12</f>
        <v/>
      </c>
      <c r="U19" s="3">
        <f>React!U12</f>
        <v/>
      </c>
      <c r="V19" s="3">
        <f>React!V12</f>
        <v/>
      </c>
      <c r="W19" s="3">
        <f>React!W12</f>
        <v/>
      </c>
      <c r="X19" s="3">
        <f>React!X12</f>
        <v/>
      </c>
      <c r="Y19" s="3">
        <f>React!Y12</f>
        <v/>
      </c>
      <c r="Z19" s="3">
        <f>React!Z12</f>
        <v/>
      </c>
      <c r="AA19" s="3">
        <f>React!AA12</f>
        <v/>
      </c>
      <c r="AB19" s="3">
        <f>React!AB12</f>
        <v/>
      </c>
      <c r="AC19" s="3">
        <f>React!AC12</f>
        <v/>
      </c>
      <c r="AD19" s="3">
        <f>React!AD12</f>
        <v/>
      </c>
      <c r="AE19" s="3">
        <f>React!AE12</f>
        <v/>
      </c>
      <c r="AF19" s="3">
        <f>React!AF12</f>
        <v/>
      </c>
      <c r="AG19" s="3">
        <f>React!AG12</f>
        <v/>
      </c>
      <c r="AH19" s="3">
        <f>React!AH12</f>
        <v/>
      </c>
      <c r="AI19" s="3">
        <f>React!AI12</f>
        <v/>
      </c>
      <c r="AJ19" s="3">
        <f>React!AJ12</f>
        <v/>
      </c>
      <c r="AK19" s="3">
        <f>React!AK12</f>
        <v/>
      </c>
      <c r="AL19" s="3">
        <f>React!AL12</f>
        <v/>
      </c>
      <c r="AM19" s="3">
        <f>React!AM12</f>
        <v/>
      </c>
      <c r="AN19" s="3">
        <f>React!AN12</f>
        <v/>
      </c>
      <c r="AO19" s="3">
        <f>React!AO12</f>
        <v/>
      </c>
      <c r="AP19" s="3">
        <f>React!AP12</f>
        <v/>
      </c>
      <c r="AQ19" s="3">
        <f>React!AQ12</f>
        <v/>
      </c>
      <c r="AR19" s="3">
        <f>React!AR12</f>
        <v/>
      </c>
      <c r="AS19" s="3">
        <f>React!AS12</f>
        <v/>
      </c>
      <c r="AT19" s="3">
        <f>React!AT12</f>
        <v/>
      </c>
      <c r="AU19" s="3">
        <f>React!AU12</f>
        <v/>
      </c>
      <c r="AV19" s="3">
        <f>React!AV12</f>
        <v/>
      </c>
      <c r="AW19" s="3">
        <f>React!AW12</f>
        <v/>
      </c>
      <c r="AX19" s="3">
        <f>React!AX12</f>
        <v/>
      </c>
      <c r="AY19" s="3">
        <f>React!AY12</f>
        <v/>
      </c>
      <c r="AZ19" s="3">
        <f>React!AZ12</f>
        <v/>
      </c>
      <c r="BA19" s="3">
        <f>React!BA12</f>
        <v/>
      </c>
      <c r="BB19" s="3">
        <f>React!BB12</f>
        <v/>
      </c>
      <c r="BC19" s="3">
        <f>React!BC12</f>
        <v/>
      </c>
      <c r="BD19" s="3">
        <f>React!BD12</f>
        <v/>
      </c>
      <c r="BE19" s="3">
        <f>React!BE12</f>
        <v/>
      </c>
      <c r="BF19" s="3">
        <f>React!BF12</f>
        <v/>
      </c>
      <c r="BG19" s="3">
        <f>React!BG12</f>
        <v/>
      </c>
      <c r="BH19" s="3">
        <f>React!BH12</f>
        <v/>
      </c>
      <c r="BI19" s="3">
        <f>React!BI12</f>
        <v/>
      </c>
      <c r="BJ19" s="3">
        <f>React!BJ12</f>
        <v/>
      </c>
      <c r="BK19" s="3">
        <f>React!BK12</f>
        <v/>
      </c>
      <c r="BL19" s="3">
        <f>React!BL12</f>
        <v/>
      </c>
      <c r="BM19" s="3">
        <f>React!BM12</f>
        <v/>
      </c>
      <c r="BN19" s="3">
        <f>React!BN12</f>
        <v/>
      </c>
      <c r="BO19" s="3">
        <f>React!BO12</f>
        <v/>
      </c>
      <c r="BP19" s="3">
        <f>React!BP12</f>
        <v/>
      </c>
      <c r="BQ19" s="3">
        <f>React!BQ12</f>
        <v/>
      </c>
      <c r="BR19" s="3">
        <f>React!BR12</f>
        <v/>
      </c>
      <c r="BS19" s="3">
        <f>React!BS12</f>
        <v/>
      </c>
      <c r="BT19" s="3">
        <f>React!BT12</f>
        <v/>
      </c>
      <c r="BU19" s="3">
        <f>React!BU12</f>
        <v/>
      </c>
      <c r="BV19" s="3">
        <f>React!BV12</f>
        <v/>
      </c>
    </row>
    <row r="20">
      <c r="A20" t="inlineStr">
        <is>
          <t>churned</t>
        </is>
      </c>
      <c r="B20" t="inlineStr">
        <is>
          <t>US_CA|NITRO_A</t>
        </is>
      </c>
      <c r="C20" s="3">
        <f>Legacy!C11+Paid!C9+React!C15+Params!$B$9*Adds!C19</f>
        <v/>
      </c>
      <c r="D20" s="3">
        <f>Legacy!D11+Paid!D9+React!D15+Params!$B$9*Adds!D19</f>
        <v/>
      </c>
      <c r="E20" s="3">
        <f>Legacy!E11+Paid!E9+React!E15+Params!$B$9*Adds!E19</f>
        <v/>
      </c>
      <c r="F20" s="3">
        <f>Legacy!F11+Paid!F9+React!F15+Params!$B$9*Adds!F19</f>
        <v/>
      </c>
      <c r="G20" s="3">
        <f>Legacy!G11+Paid!G9+React!G15+Params!$B$9*Adds!G19</f>
        <v/>
      </c>
      <c r="H20" s="3">
        <f>Legacy!H11+Paid!H9+React!H15+Params!$B$9*Adds!H19</f>
        <v/>
      </c>
      <c r="I20" s="3">
        <f>Legacy!I11+Paid!I9+React!I15+Params!$B$9*Adds!I19</f>
        <v/>
      </c>
      <c r="J20" s="3">
        <f>Legacy!J11+Paid!J9+React!J15+Params!$B$9*Adds!J19</f>
        <v/>
      </c>
      <c r="K20" s="3">
        <f>Legacy!K11+Paid!K9+React!K15+Params!$B$9*Adds!K19</f>
        <v/>
      </c>
      <c r="L20" s="3">
        <f>Legacy!L11+Paid!L9+React!L15+Params!$B$9*Adds!L19</f>
        <v/>
      </c>
      <c r="M20" s="3">
        <f>Legacy!M11+Paid!M9+React!M15+Params!$B$9*Adds!M19</f>
        <v/>
      </c>
      <c r="N20" s="3">
        <f>Legacy!N11+Paid!N9+React!N15+Params!$B$9*Adds!N19</f>
        <v/>
      </c>
      <c r="O20" s="3">
        <f>Legacy!O11+Paid!O9+React!O15+Params!$B$9*Adds!O19</f>
        <v/>
      </c>
      <c r="P20" s="3">
        <f>Legacy!P11+Paid!P9+React!P15+Params!$B$9*Adds!P19</f>
        <v/>
      </c>
      <c r="Q20" s="3">
        <f>Legacy!Q11+Paid!Q9+React!Q15+Params!$B$9*Adds!Q19</f>
        <v/>
      </c>
      <c r="R20" s="3">
        <f>Legacy!R11+Paid!R9+React!R15+Params!$B$9*Adds!R19</f>
        <v/>
      </c>
      <c r="S20" s="3">
        <f>Legacy!S11+Paid!S9+React!S15+Params!$B$9*Adds!S19</f>
        <v/>
      </c>
      <c r="T20" s="3">
        <f>Legacy!T11+Paid!T9+React!T15+Params!$B$9*Adds!T19</f>
        <v/>
      </c>
      <c r="U20" s="3">
        <f>Legacy!U11+Paid!U9+React!U15+Params!$B$9*Adds!U19</f>
        <v/>
      </c>
      <c r="V20" s="3">
        <f>Legacy!V11+Paid!V9+React!V15+Params!$B$9*Adds!V19</f>
        <v/>
      </c>
      <c r="W20" s="3">
        <f>Legacy!W11+Paid!W9+React!W15+Params!$B$9*Adds!W19</f>
        <v/>
      </c>
      <c r="X20" s="3">
        <f>Legacy!X11+Paid!X9+React!X15+Params!$B$9*Adds!X19</f>
        <v/>
      </c>
      <c r="Y20" s="3">
        <f>Legacy!Y11+Paid!Y9+React!Y15+Params!$B$9*Adds!Y19</f>
        <v/>
      </c>
      <c r="Z20" s="3">
        <f>Legacy!Z11+Paid!Z9+React!Z15+Params!$B$9*Adds!Z19</f>
        <v/>
      </c>
      <c r="AA20" s="3">
        <f>Legacy!AA11+Paid!AA9+React!AA15+Params!$B$9*Adds!AA19</f>
        <v/>
      </c>
      <c r="AB20" s="3">
        <f>Legacy!AB11+Paid!AB9+React!AB15+Params!$B$9*Adds!AB19</f>
        <v/>
      </c>
      <c r="AC20" s="3">
        <f>Legacy!AC11+Paid!AC9+React!AC15+Params!$B$9*Adds!AC19</f>
        <v/>
      </c>
      <c r="AD20" s="3">
        <f>Legacy!AD11+Paid!AD9+React!AD15+Params!$B$9*Adds!AD19</f>
        <v/>
      </c>
      <c r="AE20" s="3">
        <f>Legacy!AE11+Paid!AE9+React!AE15+Params!$B$9*Adds!AE19</f>
        <v/>
      </c>
      <c r="AF20" s="3">
        <f>Legacy!AF11+Paid!AF9+React!AF15+Params!$B$9*Adds!AF19</f>
        <v/>
      </c>
      <c r="AG20" s="3">
        <f>Legacy!AG11+Paid!AG9+React!AG15+Params!$B$9*Adds!AG19</f>
        <v/>
      </c>
      <c r="AH20" s="3">
        <f>Legacy!AH11+Paid!AH9+React!AH15+Params!$B$9*Adds!AH19</f>
        <v/>
      </c>
      <c r="AI20" s="3">
        <f>Legacy!AI11+Paid!AI9+React!AI15+Params!$B$9*Adds!AI19</f>
        <v/>
      </c>
      <c r="AJ20" s="3">
        <f>Legacy!AJ11+Paid!AJ9+React!AJ15+Params!$B$9*Adds!AJ19</f>
        <v/>
      </c>
      <c r="AK20" s="3">
        <f>Legacy!AK11+Paid!AK9+React!AK15+Params!$B$9*Adds!AK19</f>
        <v/>
      </c>
      <c r="AL20" s="3">
        <f>Legacy!AL11+Paid!AL9+React!AL15+Params!$B$9*Adds!AL19</f>
        <v/>
      </c>
      <c r="AM20" s="3">
        <f>Legacy!AM11+Paid!AM9+React!AM15+Params!$B$9*Adds!AM19</f>
        <v/>
      </c>
      <c r="AN20" s="3">
        <f>Legacy!AN11+Paid!AN9+React!AN15+Params!$B$9*Adds!AN19</f>
        <v/>
      </c>
      <c r="AO20" s="3">
        <f>Legacy!AO11+Paid!AO9+React!AO15+Params!$B$9*Adds!AO19</f>
        <v/>
      </c>
      <c r="AP20" s="3">
        <f>Legacy!AP11+Paid!AP9+React!AP15+Params!$B$9*Adds!AP19</f>
        <v/>
      </c>
      <c r="AQ20" s="3">
        <f>Legacy!AQ11+Paid!AQ9+React!AQ15+Params!$B$9*Adds!AQ19</f>
        <v/>
      </c>
      <c r="AR20" s="3">
        <f>Legacy!AR11+Paid!AR9+React!AR15+Params!$B$9*Adds!AR19</f>
        <v/>
      </c>
      <c r="AS20" s="3">
        <f>Legacy!AS11+Paid!AS9+React!AS15+Params!$B$9*Adds!AS19</f>
        <v/>
      </c>
      <c r="AT20" s="3">
        <f>Legacy!AT11+Paid!AT9+React!AT15+Params!$B$9*Adds!AT19</f>
        <v/>
      </c>
      <c r="AU20" s="3">
        <f>Legacy!AU11+Paid!AU9+React!AU15+Params!$B$9*Adds!AU19</f>
        <v/>
      </c>
      <c r="AV20" s="3">
        <f>Legacy!AV11+Paid!AV9+React!AV15+Params!$B$9*Adds!AV19</f>
        <v/>
      </c>
      <c r="AW20" s="3">
        <f>Legacy!AW11+Paid!AW9+React!AW15+Params!$B$9*Adds!AW19</f>
        <v/>
      </c>
      <c r="AX20" s="3">
        <f>Legacy!AX11+Paid!AX9+React!AX15+Params!$B$9*Adds!AX19</f>
        <v/>
      </c>
      <c r="AY20" s="3">
        <f>Legacy!AY11+Paid!AY9+React!AY15+Params!$B$9*Adds!AY19</f>
        <v/>
      </c>
      <c r="AZ20" s="3">
        <f>Legacy!AZ11+Paid!AZ9+React!AZ15+Params!$B$9*Adds!AZ19</f>
        <v/>
      </c>
      <c r="BA20" s="3">
        <f>Legacy!BA11+Paid!BA9+React!BA15+Params!$B$9*Adds!BA19</f>
        <v/>
      </c>
      <c r="BB20" s="3">
        <f>Legacy!BB11+Paid!BB9+React!BB15+Params!$B$9*Adds!BB19</f>
        <v/>
      </c>
      <c r="BC20" s="3">
        <f>Legacy!BC11+Paid!BC9+React!BC15+Params!$B$9*Adds!BC19</f>
        <v/>
      </c>
      <c r="BD20" s="3">
        <f>Legacy!BD11+Paid!BD9+React!BD15+Params!$B$9*Adds!BD19</f>
        <v/>
      </c>
      <c r="BE20" s="3">
        <f>Legacy!BE11+Paid!BE9+React!BE15+Params!$B$9*Adds!BE19</f>
        <v/>
      </c>
      <c r="BF20" s="3">
        <f>Legacy!BF11+Paid!BF9+React!BF15+Params!$B$9*Adds!BF19</f>
        <v/>
      </c>
      <c r="BG20" s="3">
        <f>Legacy!BG11+Paid!BG9+React!BG15+Params!$B$9*Adds!BG19</f>
        <v/>
      </c>
      <c r="BH20" s="3">
        <f>Legacy!BH11+Paid!BH9+React!BH15+Params!$B$9*Adds!BH19</f>
        <v/>
      </c>
      <c r="BI20" s="3">
        <f>Legacy!BI11+Paid!BI9+React!BI15+Params!$B$9*Adds!BI19</f>
        <v/>
      </c>
      <c r="BJ20" s="3">
        <f>Legacy!BJ11+Paid!BJ9+React!BJ15+Params!$B$9*Adds!BJ19</f>
        <v/>
      </c>
      <c r="BK20" s="3">
        <f>Legacy!BK11+Paid!BK9+React!BK15+Params!$B$9*Adds!BK19</f>
        <v/>
      </c>
      <c r="BL20" s="3">
        <f>Legacy!BL11+Paid!BL9+React!BL15+Params!$B$9*Adds!BL19</f>
        <v/>
      </c>
      <c r="BM20" s="3">
        <f>Legacy!BM11+Paid!BM9+React!BM15+Params!$B$9*Adds!BM19</f>
        <v/>
      </c>
      <c r="BN20" s="3">
        <f>Legacy!BN11+Paid!BN9+React!BN15+Params!$B$9*Adds!BN19</f>
        <v/>
      </c>
      <c r="BO20" s="3">
        <f>Legacy!BO11+Paid!BO9+React!BO15+Params!$B$9*Adds!BO19</f>
        <v/>
      </c>
      <c r="BP20" s="3">
        <f>Legacy!BP11+Paid!BP9+React!BP15+Params!$B$9*Adds!BP19</f>
        <v/>
      </c>
      <c r="BQ20" s="3">
        <f>Legacy!BQ11+Paid!BQ9+React!BQ15+Params!$B$9*Adds!BQ19</f>
        <v/>
      </c>
      <c r="BR20" s="3">
        <f>Legacy!BR11+Paid!BR9+React!BR15+Params!$B$9*Adds!BR19</f>
        <v/>
      </c>
      <c r="BS20" s="3">
        <f>Legacy!BS11+Paid!BS9+React!BS15+Params!$B$9*Adds!BS19</f>
        <v/>
      </c>
      <c r="BT20" s="3">
        <f>Legacy!BT11+Paid!BT9+React!BT15+Params!$B$9*Adds!BT19</f>
        <v/>
      </c>
      <c r="BU20" s="3">
        <f>Legacy!BU11+Paid!BU9+React!BU15+Params!$B$9*Adds!BU19</f>
        <v/>
      </c>
      <c r="BV20" s="3">
        <f>Legacy!BV11+Paid!BV9+React!BV15+Params!$B$9*Adds!BV19</f>
        <v/>
      </c>
    </row>
    <row r="21">
      <c r="A21" t="inlineStr">
        <is>
          <t>closing</t>
        </is>
      </c>
      <c r="B21" t="inlineStr">
        <is>
          <t>US_CA|NITRO_A</t>
        </is>
      </c>
      <c r="C21" s="3">
        <f>C22+Params!$B$9*Adds!C22</f>
        <v/>
      </c>
      <c r="D21" s="3">
        <f>D22+Params!$B$9*Adds!D22</f>
        <v/>
      </c>
      <c r="E21" s="3">
        <f>E22+Params!$B$9*Adds!E22</f>
        <v/>
      </c>
      <c r="F21" s="3">
        <f>F22+Params!$B$9*Adds!F22</f>
        <v/>
      </c>
      <c r="G21" s="3">
        <f>G22+Params!$B$9*Adds!G22</f>
        <v/>
      </c>
      <c r="H21" s="3">
        <f>H22+Params!$B$9*Adds!H22</f>
        <v/>
      </c>
      <c r="I21" s="3">
        <f>I22+Params!$B$9*Adds!I22</f>
        <v/>
      </c>
      <c r="J21" s="3">
        <f>J22+Params!$B$9*Adds!J22</f>
        <v/>
      </c>
      <c r="K21" s="3">
        <f>K22+Params!$B$9*Adds!K22</f>
        <v/>
      </c>
      <c r="L21" s="3">
        <f>L22+Params!$B$9*Adds!L22</f>
        <v/>
      </c>
      <c r="M21" s="3">
        <f>M22+Params!$B$9*Adds!M22</f>
        <v/>
      </c>
      <c r="N21" s="3">
        <f>N22+Params!$B$9*Adds!N22</f>
        <v/>
      </c>
      <c r="O21" s="3">
        <f>O22+Params!$B$9*Adds!O22</f>
        <v/>
      </c>
      <c r="P21" s="3">
        <f>P22+Params!$B$9*Adds!P22</f>
        <v/>
      </c>
      <c r="Q21" s="3">
        <f>Q22+Params!$B$9*Adds!Q22</f>
        <v/>
      </c>
      <c r="R21" s="3">
        <f>R22+Params!$B$9*Adds!R22</f>
        <v/>
      </c>
      <c r="S21" s="3">
        <f>S22+Params!$B$9*Adds!S22</f>
        <v/>
      </c>
      <c r="T21" s="3">
        <f>T22+Params!$B$9*Adds!T22</f>
        <v/>
      </c>
      <c r="U21" s="3">
        <f>U22+Params!$B$9*Adds!U22</f>
        <v/>
      </c>
      <c r="V21" s="3">
        <f>V22+Params!$B$9*Adds!V22</f>
        <v/>
      </c>
      <c r="W21" s="3">
        <f>W22+Params!$B$9*Adds!W22</f>
        <v/>
      </c>
      <c r="X21" s="3">
        <f>X22+Params!$B$9*Adds!X22</f>
        <v/>
      </c>
      <c r="Y21" s="3">
        <f>Y22+Params!$B$9*Adds!Y22</f>
        <v/>
      </c>
      <c r="Z21" s="3">
        <f>Z22+Params!$B$9*Adds!Z22</f>
        <v/>
      </c>
      <c r="AA21" s="3">
        <f>AA22+Params!$B$9*Adds!AA22</f>
        <v/>
      </c>
      <c r="AB21" s="3">
        <f>AB22+Params!$B$9*Adds!AB22</f>
        <v/>
      </c>
      <c r="AC21" s="3">
        <f>AC22+Params!$B$9*Adds!AC22</f>
        <v/>
      </c>
      <c r="AD21" s="3">
        <f>AD22+Params!$B$9*Adds!AD22</f>
        <v/>
      </c>
      <c r="AE21" s="3">
        <f>AE22+Params!$B$9*Adds!AE22</f>
        <v/>
      </c>
      <c r="AF21" s="3">
        <f>AF22+Params!$B$9*Adds!AF22</f>
        <v/>
      </c>
      <c r="AG21" s="3">
        <f>AG22+Params!$B$9*Adds!AG22</f>
        <v/>
      </c>
      <c r="AH21" s="3">
        <f>AH22+Params!$B$9*Adds!AH22</f>
        <v/>
      </c>
      <c r="AI21" s="3">
        <f>AI22+Params!$B$9*Adds!AI22</f>
        <v/>
      </c>
      <c r="AJ21" s="3">
        <f>AJ22+Params!$B$9*Adds!AJ22</f>
        <v/>
      </c>
      <c r="AK21" s="3">
        <f>AK22+Params!$B$9*Adds!AK22</f>
        <v/>
      </c>
      <c r="AL21" s="3">
        <f>AL22+Params!$B$9*Adds!AL22</f>
        <v/>
      </c>
      <c r="AM21" s="3">
        <f>AM22+Params!$B$9*Adds!AM22</f>
        <v/>
      </c>
      <c r="AN21" s="3">
        <f>AN22+Params!$B$9*Adds!AN22</f>
        <v/>
      </c>
      <c r="AO21" s="3">
        <f>AO22+Params!$B$9*Adds!AO22</f>
        <v/>
      </c>
      <c r="AP21" s="3">
        <f>AP22+Params!$B$9*Adds!AP22</f>
        <v/>
      </c>
      <c r="AQ21" s="3">
        <f>AQ22+Params!$B$9*Adds!AQ22</f>
        <v/>
      </c>
      <c r="AR21" s="3">
        <f>AR22+Params!$B$9*Adds!AR22</f>
        <v/>
      </c>
      <c r="AS21" s="3">
        <f>AS22+Params!$B$9*Adds!AS22</f>
        <v/>
      </c>
      <c r="AT21" s="3">
        <f>AT22+Params!$B$9*Adds!AT22</f>
        <v/>
      </c>
      <c r="AU21" s="3">
        <f>AU22+Params!$B$9*Adds!AU22</f>
        <v/>
      </c>
      <c r="AV21" s="3">
        <f>AV22+Params!$B$9*Adds!AV22</f>
        <v/>
      </c>
      <c r="AW21" s="3">
        <f>AW22+Params!$B$9*Adds!AW22</f>
        <v/>
      </c>
      <c r="AX21" s="3">
        <f>AX22+Params!$B$9*Adds!AX22</f>
        <v/>
      </c>
      <c r="AY21" s="3">
        <f>AY22+Params!$B$9*Adds!AY22</f>
        <v/>
      </c>
      <c r="AZ21" s="3">
        <f>AZ22+Params!$B$9*Adds!AZ22</f>
        <v/>
      </c>
      <c r="BA21" s="3">
        <f>BA22+Params!$B$9*Adds!BA22</f>
        <v/>
      </c>
      <c r="BB21" s="3">
        <f>BB22+Params!$B$9*Adds!BB22</f>
        <v/>
      </c>
      <c r="BC21" s="3">
        <f>BC22+Params!$B$9*Adds!BC22</f>
        <v/>
      </c>
      <c r="BD21" s="3">
        <f>BD22+Params!$B$9*Adds!BD22</f>
        <v/>
      </c>
      <c r="BE21" s="3">
        <f>BE22+Params!$B$9*Adds!BE22</f>
        <v/>
      </c>
      <c r="BF21" s="3">
        <f>BF22+Params!$B$9*Adds!BF22</f>
        <v/>
      </c>
      <c r="BG21" s="3">
        <f>BG22+Params!$B$9*Adds!BG22</f>
        <v/>
      </c>
      <c r="BH21" s="3">
        <f>BH22+Params!$B$9*Adds!BH22</f>
        <v/>
      </c>
      <c r="BI21" s="3">
        <f>BI22+Params!$B$9*Adds!BI22</f>
        <v/>
      </c>
      <c r="BJ21" s="3">
        <f>BJ22+Params!$B$9*Adds!BJ22</f>
        <v/>
      </c>
      <c r="BK21" s="3">
        <f>BK22+Params!$B$9*Adds!BK22</f>
        <v/>
      </c>
      <c r="BL21" s="3">
        <f>BL22+Params!$B$9*Adds!BL22</f>
        <v/>
      </c>
      <c r="BM21" s="3">
        <f>BM22+Params!$B$9*Adds!BM22</f>
        <v/>
      </c>
      <c r="BN21" s="3">
        <f>BN22+Params!$B$9*Adds!BN22</f>
        <v/>
      </c>
      <c r="BO21" s="3">
        <f>BO22+Params!$B$9*Adds!BO22</f>
        <v/>
      </c>
      <c r="BP21" s="3">
        <f>BP22+Params!$B$9*Adds!BP22</f>
        <v/>
      </c>
      <c r="BQ21" s="3">
        <f>BQ22+Params!$B$9*Adds!BQ22</f>
        <v/>
      </c>
      <c r="BR21" s="3">
        <f>BR22+Params!$B$9*Adds!BR22</f>
        <v/>
      </c>
      <c r="BS21" s="3">
        <f>BS22+Params!$B$9*Adds!BS22</f>
        <v/>
      </c>
      <c r="BT21" s="3">
        <f>BT22+Params!$B$9*Adds!BT22</f>
        <v/>
      </c>
      <c r="BU21" s="3">
        <f>BU22+Params!$B$9*Adds!BU22</f>
        <v/>
      </c>
      <c r="BV21" s="3">
        <f>BV22+Params!$B$9*Adds!BV22</f>
        <v/>
      </c>
    </row>
    <row r="22">
      <c r="A22" t="inlineStr">
        <is>
          <t>paying</t>
        </is>
      </c>
      <c r="B22" t="inlineStr">
        <is>
          <t>US_CA|NITRO_A</t>
        </is>
      </c>
      <c r="C22" s="3">
        <f>Legacy!C10+Paid!C7+React!C13</f>
        <v/>
      </c>
      <c r="D22" s="3">
        <f>Legacy!D10+Paid!D7+React!D13</f>
        <v/>
      </c>
      <c r="E22" s="3">
        <f>Legacy!E10+Paid!E7+React!E13</f>
        <v/>
      </c>
      <c r="F22" s="3">
        <f>Legacy!F10+Paid!F7+React!F13</f>
        <v/>
      </c>
      <c r="G22" s="3">
        <f>Legacy!G10+Paid!G7+React!G13</f>
        <v/>
      </c>
      <c r="H22" s="3">
        <f>Legacy!H10+Paid!H7+React!H13</f>
        <v/>
      </c>
      <c r="I22" s="3">
        <f>Legacy!I10+Paid!I7+React!I13</f>
        <v/>
      </c>
      <c r="J22" s="3">
        <f>Legacy!J10+Paid!J7+React!J13</f>
        <v/>
      </c>
      <c r="K22" s="3">
        <f>Legacy!K10+Paid!K7+React!K13</f>
        <v/>
      </c>
      <c r="L22" s="3">
        <f>Legacy!L10+Paid!L7+React!L13</f>
        <v/>
      </c>
      <c r="M22" s="3">
        <f>Legacy!M10+Paid!M7+React!M13</f>
        <v/>
      </c>
      <c r="N22" s="3">
        <f>Legacy!N10+Paid!N7+React!N13</f>
        <v/>
      </c>
      <c r="O22" s="3">
        <f>Legacy!O10+Paid!O7+React!O13</f>
        <v/>
      </c>
      <c r="P22" s="3">
        <f>Legacy!P10+Paid!P7+React!P13</f>
        <v/>
      </c>
      <c r="Q22" s="3">
        <f>Legacy!Q10+Paid!Q7+React!Q13</f>
        <v/>
      </c>
      <c r="R22" s="3">
        <f>Legacy!R10+Paid!R7+React!R13</f>
        <v/>
      </c>
      <c r="S22" s="3">
        <f>Legacy!S10+Paid!S7+React!S13</f>
        <v/>
      </c>
      <c r="T22" s="3">
        <f>Legacy!T10+Paid!T7+React!T13</f>
        <v/>
      </c>
      <c r="U22" s="3">
        <f>Legacy!U10+Paid!U7+React!U13</f>
        <v/>
      </c>
      <c r="V22" s="3">
        <f>Legacy!V10+Paid!V7+React!V13</f>
        <v/>
      </c>
      <c r="W22" s="3">
        <f>Legacy!W10+Paid!W7+React!W13</f>
        <v/>
      </c>
      <c r="X22" s="3">
        <f>Legacy!X10+Paid!X7+React!X13</f>
        <v/>
      </c>
      <c r="Y22" s="3">
        <f>Legacy!Y10+Paid!Y7+React!Y13</f>
        <v/>
      </c>
      <c r="Z22" s="3">
        <f>Legacy!Z10+Paid!Z7+React!Z13</f>
        <v/>
      </c>
      <c r="AA22" s="3">
        <f>Legacy!AA10+Paid!AA7+React!AA13</f>
        <v/>
      </c>
      <c r="AB22" s="3">
        <f>Legacy!AB10+Paid!AB7+React!AB13</f>
        <v/>
      </c>
      <c r="AC22" s="3">
        <f>Legacy!AC10+Paid!AC7+React!AC13</f>
        <v/>
      </c>
      <c r="AD22" s="3">
        <f>Legacy!AD10+Paid!AD7+React!AD13</f>
        <v/>
      </c>
      <c r="AE22" s="3">
        <f>Legacy!AE10+Paid!AE7+React!AE13</f>
        <v/>
      </c>
      <c r="AF22" s="3">
        <f>Legacy!AF10+Paid!AF7+React!AF13</f>
        <v/>
      </c>
      <c r="AG22" s="3">
        <f>Legacy!AG10+Paid!AG7+React!AG13</f>
        <v/>
      </c>
      <c r="AH22" s="3">
        <f>Legacy!AH10+Paid!AH7+React!AH13</f>
        <v/>
      </c>
      <c r="AI22" s="3">
        <f>Legacy!AI10+Paid!AI7+React!AI13</f>
        <v/>
      </c>
      <c r="AJ22" s="3">
        <f>Legacy!AJ10+Paid!AJ7+React!AJ13</f>
        <v/>
      </c>
      <c r="AK22" s="3">
        <f>Legacy!AK10+Paid!AK7+React!AK13</f>
        <v/>
      </c>
      <c r="AL22" s="3">
        <f>Legacy!AL10+Paid!AL7+React!AL13</f>
        <v/>
      </c>
      <c r="AM22" s="3">
        <f>Legacy!AM10+Paid!AM7+React!AM13</f>
        <v/>
      </c>
      <c r="AN22" s="3">
        <f>Legacy!AN10+Paid!AN7+React!AN13</f>
        <v/>
      </c>
      <c r="AO22" s="3">
        <f>Legacy!AO10+Paid!AO7+React!AO13</f>
        <v/>
      </c>
      <c r="AP22" s="3">
        <f>Legacy!AP10+Paid!AP7+React!AP13</f>
        <v/>
      </c>
      <c r="AQ22" s="3">
        <f>Legacy!AQ10+Paid!AQ7+React!AQ13</f>
        <v/>
      </c>
      <c r="AR22" s="3">
        <f>Legacy!AR10+Paid!AR7+React!AR13</f>
        <v/>
      </c>
      <c r="AS22" s="3">
        <f>Legacy!AS10+Paid!AS7+React!AS13</f>
        <v/>
      </c>
      <c r="AT22" s="3">
        <f>Legacy!AT10+Paid!AT7+React!AT13</f>
        <v/>
      </c>
      <c r="AU22" s="3">
        <f>Legacy!AU10+Paid!AU7+React!AU13</f>
        <v/>
      </c>
      <c r="AV22" s="3">
        <f>Legacy!AV10+Paid!AV7+React!AV13</f>
        <v/>
      </c>
      <c r="AW22" s="3">
        <f>Legacy!AW10+Paid!AW7+React!AW13</f>
        <v/>
      </c>
      <c r="AX22" s="3">
        <f>Legacy!AX10+Paid!AX7+React!AX13</f>
        <v/>
      </c>
      <c r="AY22" s="3">
        <f>Legacy!AY10+Paid!AY7+React!AY13</f>
        <v/>
      </c>
      <c r="AZ22" s="3">
        <f>Legacy!AZ10+Paid!AZ7+React!AZ13</f>
        <v/>
      </c>
      <c r="BA22" s="3">
        <f>Legacy!BA10+Paid!BA7+React!BA13</f>
        <v/>
      </c>
      <c r="BB22" s="3">
        <f>Legacy!BB10+Paid!BB7+React!BB13</f>
        <v/>
      </c>
      <c r="BC22" s="3">
        <f>Legacy!BC10+Paid!BC7+React!BC13</f>
        <v/>
      </c>
      <c r="BD22" s="3">
        <f>Legacy!BD10+Paid!BD7+React!BD13</f>
        <v/>
      </c>
      <c r="BE22" s="3">
        <f>Legacy!BE10+Paid!BE7+React!BE13</f>
        <v/>
      </c>
      <c r="BF22" s="3">
        <f>Legacy!BF10+Paid!BF7+React!BF13</f>
        <v/>
      </c>
      <c r="BG22" s="3">
        <f>Legacy!BG10+Paid!BG7+React!BG13</f>
        <v/>
      </c>
      <c r="BH22" s="3">
        <f>Legacy!BH10+Paid!BH7+React!BH13</f>
        <v/>
      </c>
      <c r="BI22" s="3">
        <f>Legacy!BI10+Paid!BI7+React!BI13</f>
        <v/>
      </c>
      <c r="BJ22" s="3">
        <f>Legacy!BJ10+Paid!BJ7+React!BJ13</f>
        <v/>
      </c>
      <c r="BK22" s="3">
        <f>Legacy!BK10+Paid!BK7+React!BK13</f>
        <v/>
      </c>
      <c r="BL22" s="3">
        <f>Legacy!BL10+Paid!BL7+React!BL13</f>
        <v/>
      </c>
      <c r="BM22" s="3">
        <f>Legacy!BM10+Paid!BM7+React!BM13</f>
        <v/>
      </c>
      <c r="BN22" s="3">
        <f>Legacy!BN10+Paid!BN7+React!BN13</f>
        <v/>
      </c>
      <c r="BO22" s="3">
        <f>Legacy!BO10+Paid!BO7+React!BO13</f>
        <v/>
      </c>
      <c r="BP22" s="3">
        <f>Legacy!BP10+Paid!BP7+React!BP13</f>
        <v/>
      </c>
      <c r="BQ22" s="3">
        <f>Legacy!BQ10+Paid!BQ7+React!BQ13</f>
        <v/>
      </c>
      <c r="BR22" s="3">
        <f>Legacy!BR10+Paid!BR7+React!BR13</f>
        <v/>
      </c>
      <c r="BS22" s="3">
        <f>Legacy!BS10+Paid!BS7+React!BS13</f>
        <v/>
      </c>
      <c r="BT22" s="3">
        <f>Legacy!BT10+Paid!BT7+React!BT13</f>
        <v/>
      </c>
      <c r="BU22" s="3">
        <f>Legacy!BU10+Paid!BU7+React!BU13</f>
        <v/>
      </c>
      <c r="BV22" s="3">
        <f>Legacy!BV10+Paid!BV7+React!BV13</f>
        <v/>
      </c>
    </row>
    <row r="24">
      <c r="A24" t="inlineStr">
        <is>
          <t>opening</t>
        </is>
      </c>
      <c r="B24" t="inlineStr">
        <is>
          <t>US_CA|BASIC_M</t>
        </is>
      </c>
      <c r="C24" s="3">
        <f>Legacy!$C$13</f>
        <v/>
      </c>
      <c r="D24" s="3">
        <f>C28</f>
        <v/>
      </c>
      <c r="E24" s="3">
        <f>D28</f>
        <v/>
      </c>
      <c r="F24" s="3">
        <f>E28</f>
        <v/>
      </c>
      <c r="G24" s="3">
        <f>F28</f>
        <v/>
      </c>
      <c r="H24" s="3">
        <f>G28</f>
        <v/>
      </c>
      <c r="I24" s="3">
        <f>H28</f>
        <v/>
      </c>
      <c r="J24" s="3">
        <f>I28</f>
        <v/>
      </c>
      <c r="K24" s="3">
        <f>J28</f>
        <v/>
      </c>
      <c r="L24" s="3">
        <f>K28</f>
        <v/>
      </c>
      <c r="M24" s="3">
        <f>L28</f>
        <v/>
      </c>
      <c r="N24" s="3">
        <f>M28</f>
        <v/>
      </c>
      <c r="O24" s="3">
        <f>N28</f>
        <v/>
      </c>
      <c r="P24" s="3">
        <f>O28</f>
        <v/>
      </c>
      <c r="Q24" s="3">
        <f>P28</f>
        <v/>
      </c>
      <c r="R24" s="3">
        <f>Q28</f>
        <v/>
      </c>
      <c r="S24" s="3">
        <f>R28</f>
        <v/>
      </c>
      <c r="T24" s="3">
        <f>S28</f>
        <v/>
      </c>
      <c r="U24" s="3">
        <f>T28</f>
        <v/>
      </c>
      <c r="V24" s="3">
        <f>U28</f>
        <v/>
      </c>
      <c r="W24" s="3">
        <f>V28</f>
        <v/>
      </c>
      <c r="X24" s="3">
        <f>W28</f>
        <v/>
      </c>
      <c r="Y24" s="3">
        <f>X28</f>
        <v/>
      </c>
      <c r="Z24" s="3">
        <f>Y28</f>
        <v/>
      </c>
      <c r="AA24" s="3">
        <f>Z28</f>
        <v/>
      </c>
      <c r="AB24" s="3">
        <f>AA28</f>
        <v/>
      </c>
      <c r="AC24" s="3">
        <f>AB28</f>
        <v/>
      </c>
      <c r="AD24" s="3">
        <f>AC28</f>
        <v/>
      </c>
      <c r="AE24" s="3">
        <f>AD28</f>
        <v/>
      </c>
      <c r="AF24" s="3">
        <f>AE28</f>
        <v/>
      </c>
      <c r="AG24" s="3">
        <f>AF28</f>
        <v/>
      </c>
      <c r="AH24" s="3">
        <f>AG28</f>
        <v/>
      </c>
      <c r="AI24" s="3">
        <f>AH28</f>
        <v/>
      </c>
      <c r="AJ24" s="3">
        <f>AI28</f>
        <v/>
      </c>
      <c r="AK24" s="3">
        <f>AJ28</f>
        <v/>
      </c>
      <c r="AL24" s="3">
        <f>AK28</f>
        <v/>
      </c>
      <c r="AM24" s="3">
        <f>AL28</f>
        <v/>
      </c>
      <c r="AN24" s="3">
        <f>AM28</f>
        <v/>
      </c>
      <c r="AO24" s="3">
        <f>AN28</f>
        <v/>
      </c>
      <c r="AP24" s="3">
        <f>AO28</f>
        <v/>
      </c>
      <c r="AQ24" s="3">
        <f>AP28</f>
        <v/>
      </c>
      <c r="AR24" s="3">
        <f>AQ28</f>
        <v/>
      </c>
      <c r="AS24" s="3">
        <f>AR28</f>
        <v/>
      </c>
      <c r="AT24" s="3">
        <f>AS28</f>
        <v/>
      </c>
      <c r="AU24" s="3">
        <f>AT28</f>
        <v/>
      </c>
      <c r="AV24" s="3">
        <f>AU28</f>
        <v/>
      </c>
      <c r="AW24" s="3">
        <f>AV28</f>
        <v/>
      </c>
      <c r="AX24" s="3">
        <f>AW28</f>
        <v/>
      </c>
      <c r="AY24" s="3">
        <f>AX28</f>
        <v/>
      </c>
      <c r="AZ24" s="3">
        <f>AY28</f>
        <v/>
      </c>
      <c r="BA24" s="3">
        <f>AZ28</f>
        <v/>
      </c>
      <c r="BB24" s="3">
        <f>BA28</f>
        <v/>
      </c>
      <c r="BC24" s="3">
        <f>BB28</f>
        <v/>
      </c>
      <c r="BD24" s="3">
        <f>BC28</f>
        <v/>
      </c>
      <c r="BE24" s="3">
        <f>BD28</f>
        <v/>
      </c>
      <c r="BF24" s="3">
        <f>BE28</f>
        <v/>
      </c>
      <c r="BG24" s="3">
        <f>BF28</f>
        <v/>
      </c>
      <c r="BH24" s="3">
        <f>BG28</f>
        <v/>
      </c>
      <c r="BI24" s="3">
        <f>BH28</f>
        <v/>
      </c>
      <c r="BJ24" s="3">
        <f>BI28</f>
        <v/>
      </c>
      <c r="BK24" s="3">
        <f>BJ28</f>
        <v/>
      </c>
      <c r="BL24" s="3">
        <f>BK28</f>
        <v/>
      </c>
      <c r="BM24" s="3">
        <f>BL28</f>
        <v/>
      </c>
      <c r="BN24" s="3">
        <f>BM28</f>
        <v/>
      </c>
      <c r="BO24" s="3">
        <f>BN28</f>
        <v/>
      </c>
      <c r="BP24" s="3">
        <f>BO28</f>
        <v/>
      </c>
      <c r="BQ24" s="3">
        <f>BP28</f>
        <v/>
      </c>
      <c r="BR24" s="3">
        <f>BQ28</f>
        <v/>
      </c>
      <c r="BS24" s="3">
        <f>BR28</f>
        <v/>
      </c>
      <c r="BT24" s="3">
        <f>BS28</f>
        <v/>
      </c>
      <c r="BU24" s="3">
        <f>BT28</f>
        <v/>
      </c>
      <c r="BV24" s="3">
        <f>BU28</f>
        <v/>
      </c>
    </row>
    <row r="25">
      <c r="A25" t="inlineStr">
        <is>
          <t>new</t>
        </is>
      </c>
      <c r="B25" t="inlineStr">
        <is>
          <t>US_CA|BASIC_M</t>
        </is>
      </c>
      <c r="C25" s="3">
        <f>Adds!C27+IF(Params!$B$9=1,Adds!C26,Adds!C29)</f>
        <v/>
      </c>
      <c r="D25" s="3">
        <f>Adds!D27+IF(Params!$B$9=1,Adds!D26,Adds!D29)</f>
        <v/>
      </c>
      <c r="E25" s="3">
        <f>Adds!E27+IF(Params!$B$9=1,Adds!E26,Adds!E29)</f>
        <v/>
      </c>
      <c r="F25" s="3">
        <f>Adds!F27+IF(Params!$B$9=1,Adds!F26,Adds!F29)</f>
        <v/>
      </c>
      <c r="G25" s="3">
        <f>Adds!G27+IF(Params!$B$9=1,Adds!G26,Adds!G29)</f>
        <v/>
      </c>
      <c r="H25" s="3">
        <f>Adds!H27+IF(Params!$B$9=1,Adds!H26,Adds!H29)</f>
        <v/>
      </c>
      <c r="I25" s="3">
        <f>Adds!I27+IF(Params!$B$9=1,Adds!I26,Adds!I29)</f>
        <v/>
      </c>
      <c r="J25" s="3">
        <f>Adds!J27+IF(Params!$B$9=1,Adds!J26,Adds!J29)</f>
        <v/>
      </c>
      <c r="K25" s="3">
        <f>Adds!K27+IF(Params!$B$9=1,Adds!K26,Adds!K29)</f>
        <v/>
      </c>
      <c r="L25" s="3">
        <f>Adds!L27+IF(Params!$B$9=1,Adds!L26,Adds!L29)</f>
        <v/>
      </c>
      <c r="M25" s="3">
        <f>Adds!M27+IF(Params!$B$9=1,Adds!M26,Adds!M29)</f>
        <v/>
      </c>
      <c r="N25" s="3">
        <f>Adds!N27+IF(Params!$B$9=1,Adds!N26,Adds!N29)</f>
        <v/>
      </c>
      <c r="O25" s="3">
        <f>Adds!O27+IF(Params!$B$9=1,Adds!O26,Adds!O29)</f>
        <v/>
      </c>
      <c r="P25" s="3">
        <f>Adds!P27+IF(Params!$B$9=1,Adds!P26,Adds!P29)</f>
        <v/>
      </c>
      <c r="Q25" s="3">
        <f>Adds!Q27+IF(Params!$B$9=1,Adds!Q26,Adds!Q29)</f>
        <v/>
      </c>
      <c r="R25" s="3">
        <f>Adds!R27+IF(Params!$B$9=1,Adds!R26,Adds!R29)</f>
        <v/>
      </c>
      <c r="S25" s="3">
        <f>Adds!S27+IF(Params!$B$9=1,Adds!S26,Adds!S29)</f>
        <v/>
      </c>
      <c r="T25" s="3">
        <f>Adds!T27+IF(Params!$B$9=1,Adds!T26,Adds!T29)</f>
        <v/>
      </c>
      <c r="U25" s="3">
        <f>Adds!U27+IF(Params!$B$9=1,Adds!U26,Adds!U29)</f>
        <v/>
      </c>
      <c r="V25" s="3">
        <f>Adds!V27+IF(Params!$B$9=1,Adds!V26,Adds!V29)</f>
        <v/>
      </c>
      <c r="W25" s="3">
        <f>Adds!W27+IF(Params!$B$9=1,Adds!W26,Adds!W29)</f>
        <v/>
      </c>
      <c r="X25" s="3">
        <f>Adds!X27+IF(Params!$B$9=1,Adds!X26,Adds!X29)</f>
        <v/>
      </c>
      <c r="Y25" s="3">
        <f>Adds!Y27+IF(Params!$B$9=1,Adds!Y26,Adds!Y29)</f>
        <v/>
      </c>
      <c r="Z25" s="3">
        <f>Adds!Z27+IF(Params!$B$9=1,Adds!Z26,Adds!Z29)</f>
        <v/>
      </c>
      <c r="AA25" s="3">
        <f>Adds!AA27+IF(Params!$B$9=1,Adds!AA26,Adds!AA29)</f>
        <v/>
      </c>
      <c r="AB25" s="3">
        <f>Adds!AB27+IF(Params!$B$9=1,Adds!AB26,Adds!AB29)</f>
        <v/>
      </c>
      <c r="AC25" s="3">
        <f>Adds!AC27+IF(Params!$B$9=1,Adds!AC26,Adds!AC29)</f>
        <v/>
      </c>
      <c r="AD25" s="3">
        <f>Adds!AD27+IF(Params!$B$9=1,Adds!AD26,Adds!AD29)</f>
        <v/>
      </c>
      <c r="AE25" s="3">
        <f>Adds!AE27+IF(Params!$B$9=1,Adds!AE26,Adds!AE29)</f>
        <v/>
      </c>
      <c r="AF25" s="3">
        <f>Adds!AF27+IF(Params!$B$9=1,Adds!AF26,Adds!AF29)</f>
        <v/>
      </c>
      <c r="AG25" s="3">
        <f>Adds!AG27+IF(Params!$B$9=1,Adds!AG26,Adds!AG29)</f>
        <v/>
      </c>
      <c r="AH25" s="3">
        <f>Adds!AH27+IF(Params!$B$9=1,Adds!AH26,Adds!AH29)</f>
        <v/>
      </c>
      <c r="AI25" s="3">
        <f>Adds!AI27+IF(Params!$B$9=1,Adds!AI26,Adds!AI29)</f>
        <v/>
      </c>
      <c r="AJ25" s="3">
        <f>Adds!AJ27+IF(Params!$B$9=1,Adds!AJ26,Adds!AJ29)</f>
        <v/>
      </c>
      <c r="AK25" s="3">
        <f>Adds!AK27+IF(Params!$B$9=1,Adds!AK26,Adds!AK29)</f>
        <v/>
      </c>
      <c r="AL25" s="3">
        <f>Adds!AL27+IF(Params!$B$9=1,Adds!AL26,Adds!AL29)</f>
        <v/>
      </c>
      <c r="AM25" s="3">
        <f>Adds!AM27+IF(Params!$B$9=1,Adds!AM26,Adds!AM29)</f>
        <v/>
      </c>
      <c r="AN25" s="3">
        <f>Adds!AN27+IF(Params!$B$9=1,Adds!AN26,Adds!AN29)</f>
        <v/>
      </c>
      <c r="AO25" s="3">
        <f>Adds!AO27+IF(Params!$B$9=1,Adds!AO26,Adds!AO29)</f>
        <v/>
      </c>
      <c r="AP25" s="3">
        <f>Adds!AP27+IF(Params!$B$9=1,Adds!AP26,Adds!AP29)</f>
        <v/>
      </c>
      <c r="AQ25" s="3">
        <f>Adds!AQ27+IF(Params!$B$9=1,Adds!AQ26,Adds!AQ29)</f>
        <v/>
      </c>
      <c r="AR25" s="3">
        <f>Adds!AR27+IF(Params!$B$9=1,Adds!AR26,Adds!AR29)</f>
        <v/>
      </c>
      <c r="AS25" s="3">
        <f>Adds!AS27+IF(Params!$B$9=1,Adds!AS26,Adds!AS29)</f>
        <v/>
      </c>
      <c r="AT25" s="3">
        <f>Adds!AT27+IF(Params!$B$9=1,Adds!AT26,Adds!AT29)</f>
        <v/>
      </c>
      <c r="AU25" s="3">
        <f>Adds!AU27+IF(Params!$B$9=1,Adds!AU26,Adds!AU29)</f>
        <v/>
      </c>
      <c r="AV25" s="3">
        <f>Adds!AV27+IF(Params!$B$9=1,Adds!AV26,Adds!AV29)</f>
        <v/>
      </c>
      <c r="AW25" s="3">
        <f>Adds!AW27+IF(Params!$B$9=1,Adds!AW26,Adds!AW29)</f>
        <v/>
      </c>
      <c r="AX25" s="3">
        <f>Adds!AX27+IF(Params!$B$9=1,Adds!AX26,Adds!AX29)</f>
        <v/>
      </c>
      <c r="AY25" s="3">
        <f>Adds!AY27+IF(Params!$B$9=1,Adds!AY26,Adds!AY29)</f>
        <v/>
      </c>
      <c r="AZ25" s="3">
        <f>Adds!AZ27+IF(Params!$B$9=1,Adds!AZ26,Adds!AZ29)</f>
        <v/>
      </c>
      <c r="BA25" s="3">
        <f>Adds!BA27+IF(Params!$B$9=1,Adds!BA26,Adds!BA29)</f>
        <v/>
      </c>
      <c r="BB25" s="3">
        <f>Adds!BB27+IF(Params!$B$9=1,Adds!BB26,Adds!BB29)</f>
        <v/>
      </c>
      <c r="BC25" s="3">
        <f>Adds!BC27+IF(Params!$B$9=1,Adds!BC26,Adds!BC29)</f>
        <v/>
      </c>
      <c r="BD25" s="3">
        <f>Adds!BD27+IF(Params!$B$9=1,Adds!BD26,Adds!BD29)</f>
        <v/>
      </c>
      <c r="BE25" s="3">
        <f>Adds!BE27+IF(Params!$B$9=1,Adds!BE26,Adds!BE29)</f>
        <v/>
      </c>
      <c r="BF25" s="3">
        <f>Adds!BF27+IF(Params!$B$9=1,Adds!BF26,Adds!BF29)</f>
        <v/>
      </c>
      <c r="BG25" s="3">
        <f>Adds!BG27+IF(Params!$B$9=1,Adds!BG26,Adds!BG29)</f>
        <v/>
      </c>
      <c r="BH25" s="3">
        <f>Adds!BH27+IF(Params!$B$9=1,Adds!BH26,Adds!BH29)</f>
        <v/>
      </c>
      <c r="BI25" s="3">
        <f>Adds!BI27+IF(Params!$B$9=1,Adds!BI26,Adds!BI29)</f>
        <v/>
      </c>
      <c r="BJ25" s="3">
        <f>Adds!BJ27+IF(Params!$B$9=1,Adds!BJ26,Adds!BJ29)</f>
        <v/>
      </c>
      <c r="BK25" s="3">
        <f>Adds!BK27+IF(Params!$B$9=1,Adds!BK26,Adds!BK29)</f>
        <v/>
      </c>
      <c r="BL25" s="3">
        <f>Adds!BL27+IF(Params!$B$9=1,Adds!BL26,Adds!BL29)</f>
        <v/>
      </c>
      <c r="BM25" s="3">
        <f>Adds!BM27+IF(Params!$B$9=1,Adds!BM26,Adds!BM29)</f>
        <v/>
      </c>
      <c r="BN25" s="3">
        <f>Adds!BN27+IF(Params!$B$9=1,Adds!BN26,Adds!BN29)</f>
        <v/>
      </c>
      <c r="BO25" s="3">
        <f>Adds!BO27+IF(Params!$B$9=1,Adds!BO26,Adds!BO29)</f>
        <v/>
      </c>
      <c r="BP25" s="3">
        <f>Adds!BP27+IF(Params!$B$9=1,Adds!BP26,Adds!BP29)</f>
        <v/>
      </c>
      <c r="BQ25" s="3">
        <f>Adds!BQ27+IF(Params!$B$9=1,Adds!BQ26,Adds!BQ29)</f>
        <v/>
      </c>
      <c r="BR25" s="3">
        <f>Adds!BR27+IF(Params!$B$9=1,Adds!BR26,Adds!BR29)</f>
        <v/>
      </c>
      <c r="BS25" s="3">
        <f>Adds!BS27+IF(Params!$B$9=1,Adds!BS26,Adds!BS29)</f>
        <v/>
      </c>
      <c r="BT25" s="3">
        <f>Adds!BT27+IF(Params!$B$9=1,Adds!BT26,Adds!BT29)</f>
        <v/>
      </c>
      <c r="BU25" s="3">
        <f>Adds!BU27+IF(Params!$B$9=1,Adds!BU26,Adds!BU29)</f>
        <v/>
      </c>
      <c r="BV25" s="3">
        <f>Adds!BV27+IF(Params!$B$9=1,Adds!BV26,Adds!BV29)</f>
        <v/>
      </c>
    </row>
    <row r="26">
      <c r="A26" t="inlineStr">
        <is>
          <t>reactivated</t>
        </is>
      </c>
      <c r="B26" t="inlineStr">
        <is>
          <t>US_CA|BASIC_M</t>
        </is>
      </c>
      <c r="C26" s="3">
        <f>React!C19</f>
        <v/>
      </c>
      <c r="D26" s="3">
        <f>React!D19</f>
        <v/>
      </c>
      <c r="E26" s="3">
        <f>React!E19</f>
        <v/>
      </c>
      <c r="F26" s="3">
        <f>React!F19</f>
        <v/>
      </c>
      <c r="G26" s="3">
        <f>React!G19</f>
        <v/>
      </c>
      <c r="H26" s="3">
        <f>React!H19</f>
        <v/>
      </c>
      <c r="I26" s="3">
        <f>React!I19</f>
        <v/>
      </c>
      <c r="J26" s="3">
        <f>React!J19</f>
        <v/>
      </c>
      <c r="K26" s="3">
        <f>React!K19</f>
        <v/>
      </c>
      <c r="L26" s="3">
        <f>React!L19</f>
        <v/>
      </c>
      <c r="M26" s="3">
        <f>React!M19</f>
        <v/>
      </c>
      <c r="N26" s="3">
        <f>React!N19</f>
        <v/>
      </c>
      <c r="O26" s="3">
        <f>React!O19</f>
        <v/>
      </c>
      <c r="P26" s="3">
        <f>React!P19</f>
        <v/>
      </c>
      <c r="Q26" s="3">
        <f>React!Q19</f>
        <v/>
      </c>
      <c r="R26" s="3">
        <f>React!R19</f>
        <v/>
      </c>
      <c r="S26" s="3">
        <f>React!S19</f>
        <v/>
      </c>
      <c r="T26" s="3">
        <f>React!T19</f>
        <v/>
      </c>
      <c r="U26" s="3">
        <f>React!U19</f>
        <v/>
      </c>
      <c r="V26" s="3">
        <f>React!V19</f>
        <v/>
      </c>
      <c r="W26" s="3">
        <f>React!W19</f>
        <v/>
      </c>
      <c r="X26" s="3">
        <f>React!X19</f>
        <v/>
      </c>
      <c r="Y26" s="3">
        <f>React!Y19</f>
        <v/>
      </c>
      <c r="Z26" s="3">
        <f>React!Z19</f>
        <v/>
      </c>
      <c r="AA26" s="3">
        <f>React!AA19</f>
        <v/>
      </c>
      <c r="AB26" s="3">
        <f>React!AB19</f>
        <v/>
      </c>
      <c r="AC26" s="3">
        <f>React!AC19</f>
        <v/>
      </c>
      <c r="AD26" s="3">
        <f>React!AD19</f>
        <v/>
      </c>
      <c r="AE26" s="3">
        <f>React!AE19</f>
        <v/>
      </c>
      <c r="AF26" s="3">
        <f>React!AF19</f>
        <v/>
      </c>
      <c r="AG26" s="3">
        <f>React!AG19</f>
        <v/>
      </c>
      <c r="AH26" s="3">
        <f>React!AH19</f>
        <v/>
      </c>
      <c r="AI26" s="3">
        <f>React!AI19</f>
        <v/>
      </c>
      <c r="AJ26" s="3">
        <f>React!AJ19</f>
        <v/>
      </c>
      <c r="AK26" s="3">
        <f>React!AK19</f>
        <v/>
      </c>
      <c r="AL26" s="3">
        <f>React!AL19</f>
        <v/>
      </c>
      <c r="AM26" s="3">
        <f>React!AM19</f>
        <v/>
      </c>
      <c r="AN26" s="3">
        <f>React!AN19</f>
        <v/>
      </c>
      <c r="AO26" s="3">
        <f>React!AO19</f>
        <v/>
      </c>
      <c r="AP26" s="3">
        <f>React!AP19</f>
        <v/>
      </c>
      <c r="AQ26" s="3">
        <f>React!AQ19</f>
        <v/>
      </c>
      <c r="AR26" s="3">
        <f>React!AR19</f>
        <v/>
      </c>
      <c r="AS26" s="3">
        <f>React!AS19</f>
        <v/>
      </c>
      <c r="AT26" s="3">
        <f>React!AT19</f>
        <v/>
      </c>
      <c r="AU26" s="3">
        <f>React!AU19</f>
        <v/>
      </c>
      <c r="AV26" s="3">
        <f>React!AV19</f>
        <v/>
      </c>
      <c r="AW26" s="3">
        <f>React!AW19</f>
        <v/>
      </c>
      <c r="AX26" s="3">
        <f>React!AX19</f>
        <v/>
      </c>
      <c r="AY26" s="3">
        <f>React!AY19</f>
        <v/>
      </c>
      <c r="AZ26" s="3">
        <f>React!AZ19</f>
        <v/>
      </c>
      <c r="BA26" s="3">
        <f>React!BA19</f>
        <v/>
      </c>
      <c r="BB26" s="3">
        <f>React!BB19</f>
        <v/>
      </c>
      <c r="BC26" s="3">
        <f>React!BC19</f>
        <v/>
      </c>
      <c r="BD26" s="3">
        <f>React!BD19</f>
        <v/>
      </c>
      <c r="BE26" s="3">
        <f>React!BE19</f>
        <v/>
      </c>
      <c r="BF26" s="3">
        <f>React!BF19</f>
        <v/>
      </c>
      <c r="BG26" s="3">
        <f>React!BG19</f>
        <v/>
      </c>
      <c r="BH26" s="3">
        <f>React!BH19</f>
        <v/>
      </c>
      <c r="BI26" s="3">
        <f>React!BI19</f>
        <v/>
      </c>
      <c r="BJ26" s="3">
        <f>React!BJ19</f>
        <v/>
      </c>
      <c r="BK26" s="3">
        <f>React!BK19</f>
        <v/>
      </c>
      <c r="BL26" s="3">
        <f>React!BL19</f>
        <v/>
      </c>
      <c r="BM26" s="3">
        <f>React!BM19</f>
        <v/>
      </c>
      <c r="BN26" s="3">
        <f>React!BN19</f>
        <v/>
      </c>
      <c r="BO26" s="3">
        <f>React!BO19</f>
        <v/>
      </c>
      <c r="BP26" s="3">
        <f>React!BP19</f>
        <v/>
      </c>
      <c r="BQ26" s="3">
        <f>React!BQ19</f>
        <v/>
      </c>
      <c r="BR26" s="3">
        <f>React!BR19</f>
        <v/>
      </c>
      <c r="BS26" s="3">
        <f>React!BS19</f>
        <v/>
      </c>
      <c r="BT26" s="3">
        <f>React!BT19</f>
        <v/>
      </c>
      <c r="BU26" s="3">
        <f>React!BU19</f>
        <v/>
      </c>
      <c r="BV26" s="3">
        <f>React!BV19</f>
        <v/>
      </c>
    </row>
    <row r="27">
      <c r="A27" t="inlineStr">
        <is>
          <t>churned</t>
        </is>
      </c>
      <c r="B27" t="inlineStr">
        <is>
          <t>US_CA|BASIC_M</t>
        </is>
      </c>
      <c r="C27" s="3">
        <f>Legacy!C15+Paid!C13+React!C22+Params!$B$9*Adds!C30</f>
        <v/>
      </c>
      <c r="D27" s="3">
        <f>Legacy!D15+Paid!D13+React!D22+Params!$B$9*Adds!D30</f>
        <v/>
      </c>
      <c r="E27" s="3">
        <f>Legacy!E15+Paid!E13+React!E22+Params!$B$9*Adds!E30</f>
        <v/>
      </c>
      <c r="F27" s="3">
        <f>Legacy!F15+Paid!F13+React!F22+Params!$B$9*Adds!F30</f>
        <v/>
      </c>
      <c r="G27" s="3">
        <f>Legacy!G15+Paid!G13+React!G22+Params!$B$9*Adds!G30</f>
        <v/>
      </c>
      <c r="H27" s="3">
        <f>Legacy!H15+Paid!H13+React!H22+Params!$B$9*Adds!H30</f>
        <v/>
      </c>
      <c r="I27" s="3">
        <f>Legacy!I15+Paid!I13+React!I22+Params!$B$9*Adds!I30</f>
        <v/>
      </c>
      <c r="J27" s="3">
        <f>Legacy!J15+Paid!J13+React!J22+Params!$B$9*Adds!J30</f>
        <v/>
      </c>
      <c r="K27" s="3">
        <f>Legacy!K15+Paid!K13+React!K22+Params!$B$9*Adds!K30</f>
        <v/>
      </c>
      <c r="L27" s="3">
        <f>Legacy!L15+Paid!L13+React!L22+Params!$B$9*Adds!L30</f>
        <v/>
      </c>
      <c r="M27" s="3">
        <f>Legacy!M15+Paid!M13+React!M22+Params!$B$9*Adds!M30</f>
        <v/>
      </c>
      <c r="N27" s="3">
        <f>Legacy!N15+Paid!N13+React!N22+Params!$B$9*Adds!N30</f>
        <v/>
      </c>
      <c r="O27" s="3">
        <f>Legacy!O15+Paid!O13+React!O22+Params!$B$9*Adds!O30</f>
        <v/>
      </c>
      <c r="P27" s="3">
        <f>Legacy!P15+Paid!P13+React!P22+Params!$B$9*Adds!P30</f>
        <v/>
      </c>
      <c r="Q27" s="3">
        <f>Legacy!Q15+Paid!Q13+React!Q22+Params!$B$9*Adds!Q30</f>
        <v/>
      </c>
      <c r="R27" s="3">
        <f>Legacy!R15+Paid!R13+React!R22+Params!$B$9*Adds!R30</f>
        <v/>
      </c>
      <c r="S27" s="3">
        <f>Legacy!S15+Paid!S13+React!S22+Params!$B$9*Adds!S30</f>
        <v/>
      </c>
      <c r="T27" s="3">
        <f>Legacy!T15+Paid!T13+React!T22+Params!$B$9*Adds!T30</f>
        <v/>
      </c>
      <c r="U27" s="3">
        <f>Legacy!U15+Paid!U13+React!U22+Params!$B$9*Adds!U30</f>
        <v/>
      </c>
      <c r="V27" s="3">
        <f>Legacy!V15+Paid!V13+React!V22+Params!$B$9*Adds!V30</f>
        <v/>
      </c>
      <c r="W27" s="3">
        <f>Legacy!W15+Paid!W13+React!W22+Params!$B$9*Adds!W30</f>
        <v/>
      </c>
      <c r="X27" s="3">
        <f>Legacy!X15+Paid!X13+React!X22+Params!$B$9*Adds!X30</f>
        <v/>
      </c>
      <c r="Y27" s="3">
        <f>Legacy!Y15+Paid!Y13+React!Y22+Params!$B$9*Adds!Y30</f>
        <v/>
      </c>
      <c r="Z27" s="3">
        <f>Legacy!Z15+Paid!Z13+React!Z22+Params!$B$9*Adds!Z30</f>
        <v/>
      </c>
      <c r="AA27" s="3">
        <f>Legacy!AA15+Paid!AA13+React!AA22+Params!$B$9*Adds!AA30</f>
        <v/>
      </c>
      <c r="AB27" s="3">
        <f>Legacy!AB15+Paid!AB13+React!AB22+Params!$B$9*Adds!AB30</f>
        <v/>
      </c>
      <c r="AC27" s="3">
        <f>Legacy!AC15+Paid!AC13+React!AC22+Params!$B$9*Adds!AC30</f>
        <v/>
      </c>
      <c r="AD27" s="3">
        <f>Legacy!AD15+Paid!AD13+React!AD22+Params!$B$9*Adds!AD30</f>
        <v/>
      </c>
      <c r="AE27" s="3">
        <f>Legacy!AE15+Paid!AE13+React!AE22+Params!$B$9*Adds!AE30</f>
        <v/>
      </c>
      <c r="AF27" s="3">
        <f>Legacy!AF15+Paid!AF13+React!AF22+Params!$B$9*Adds!AF30</f>
        <v/>
      </c>
      <c r="AG27" s="3">
        <f>Legacy!AG15+Paid!AG13+React!AG22+Params!$B$9*Adds!AG30</f>
        <v/>
      </c>
      <c r="AH27" s="3">
        <f>Legacy!AH15+Paid!AH13+React!AH22+Params!$B$9*Adds!AH30</f>
        <v/>
      </c>
      <c r="AI27" s="3">
        <f>Legacy!AI15+Paid!AI13+React!AI22+Params!$B$9*Adds!AI30</f>
        <v/>
      </c>
      <c r="AJ27" s="3">
        <f>Legacy!AJ15+Paid!AJ13+React!AJ22+Params!$B$9*Adds!AJ30</f>
        <v/>
      </c>
      <c r="AK27" s="3">
        <f>Legacy!AK15+Paid!AK13+React!AK22+Params!$B$9*Adds!AK30</f>
        <v/>
      </c>
      <c r="AL27" s="3">
        <f>Legacy!AL15+Paid!AL13+React!AL22+Params!$B$9*Adds!AL30</f>
        <v/>
      </c>
      <c r="AM27" s="3">
        <f>Legacy!AM15+Paid!AM13+React!AM22+Params!$B$9*Adds!AM30</f>
        <v/>
      </c>
      <c r="AN27" s="3">
        <f>Legacy!AN15+Paid!AN13+React!AN22+Params!$B$9*Adds!AN30</f>
        <v/>
      </c>
      <c r="AO27" s="3">
        <f>Legacy!AO15+Paid!AO13+React!AO22+Params!$B$9*Adds!AO30</f>
        <v/>
      </c>
      <c r="AP27" s="3">
        <f>Legacy!AP15+Paid!AP13+React!AP22+Params!$B$9*Adds!AP30</f>
        <v/>
      </c>
      <c r="AQ27" s="3">
        <f>Legacy!AQ15+Paid!AQ13+React!AQ22+Params!$B$9*Adds!AQ30</f>
        <v/>
      </c>
      <c r="AR27" s="3">
        <f>Legacy!AR15+Paid!AR13+React!AR22+Params!$B$9*Adds!AR30</f>
        <v/>
      </c>
      <c r="AS27" s="3">
        <f>Legacy!AS15+Paid!AS13+React!AS22+Params!$B$9*Adds!AS30</f>
        <v/>
      </c>
      <c r="AT27" s="3">
        <f>Legacy!AT15+Paid!AT13+React!AT22+Params!$B$9*Adds!AT30</f>
        <v/>
      </c>
      <c r="AU27" s="3">
        <f>Legacy!AU15+Paid!AU13+React!AU22+Params!$B$9*Adds!AU30</f>
        <v/>
      </c>
      <c r="AV27" s="3">
        <f>Legacy!AV15+Paid!AV13+React!AV22+Params!$B$9*Adds!AV30</f>
        <v/>
      </c>
      <c r="AW27" s="3">
        <f>Legacy!AW15+Paid!AW13+React!AW22+Params!$B$9*Adds!AW30</f>
        <v/>
      </c>
      <c r="AX27" s="3">
        <f>Legacy!AX15+Paid!AX13+React!AX22+Params!$B$9*Adds!AX30</f>
        <v/>
      </c>
      <c r="AY27" s="3">
        <f>Legacy!AY15+Paid!AY13+React!AY22+Params!$B$9*Adds!AY30</f>
        <v/>
      </c>
      <c r="AZ27" s="3">
        <f>Legacy!AZ15+Paid!AZ13+React!AZ22+Params!$B$9*Adds!AZ30</f>
        <v/>
      </c>
      <c r="BA27" s="3">
        <f>Legacy!BA15+Paid!BA13+React!BA22+Params!$B$9*Adds!BA30</f>
        <v/>
      </c>
      <c r="BB27" s="3">
        <f>Legacy!BB15+Paid!BB13+React!BB22+Params!$B$9*Adds!BB30</f>
        <v/>
      </c>
      <c r="BC27" s="3">
        <f>Legacy!BC15+Paid!BC13+React!BC22+Params!$B$9*Adds!BC30</f>
        <v/>
      </c>
      <c r="BD27" s="3">
        <f>Legacy!BD15+Paid!BD13+React!BD22+Params!$B$9*Adds!BD30</f>
        <v/>
      </c>
      <c r="BE27" s="3">
        <f>Legacy!BE15+Paid!BE13+React!BE22+Params!$B$9*Adds!BE30</f>
        <v/>
      </c>
      <c r="BF27" s="3">
        <f>Legacy!BF15+Paid!BF13+React!BF22+Params!$B$9*Adds!BF30</f>
        <v/>
      </c>
      <c r="BG27" s="3">
        <f>Legacy!BG15+Paid!BG13+React!BG22+Params!$B$9*Adds!BG30</f>
        <v/>
      </c>
      <c r="BH27" s="3">
        <f>Legacy!BH15+Paid!BH13+React!BH22+Params!$B$9*Adds!BH30</f>
        <v/>
      </c>
      <c r="BI27" s="3">
        <f>Legacy!BI15+Paid!BI13+React!BI22+Params!$B$9*Adds!BI30</f>
        <v/>
      </c>
      <c r="BJ27" s="3">
        <f>Legacy!BJ15+Paid!BJ13+React!BJ22+Params!$B$9*Adds!BJ30</f>
        <v/>
      </c>
      <c r="BK27" s="3">
        <f>Legacy!BK15+Paid!BK13+React!BK22+Params!$B$9*Adds!BK30</f>
        <v/>
      </c>
      <c r="BL27" s="3">
        <f>Legacy!BL15+Paid!BL13+React!BL22+Params!$B$9*Adds!BL30</f>
        <v/>
      </c>
      <c r="BM27" s="3">
        <f>Legacy!BM15+Paid!BM13+React!BM22+Params!$B$9*Adds!BM30</f>
        <v/>
      </c>
      <c r="BN27" s="3">
        <f>Legacy!BN15+Paid!BN13+React!BN22+Params!$B$9*Adds!BN30</f>
        <v/>
      </c>
      <c r="BO27" s="3">
        <f>Legacy!BO15+Paid!BO13+React!BO22+Params!$B$9*Adds!BO30</f>
        <v/>
      </c>
      <c r="BP27" s="3">
        <f>Legacy!BP15+Paid!BP13+React!BP22+Params!$B$9*Adds!BP30</f>
        <v/>
      </c>
      <c r="BQ27" s="3">
        <f>Legacy!BQ15+Paid!BQ13+React!BQ22+Params!$B$9*Adds!BQ30</f>
        <v/>
      </c>
      <c r="BR27" s="3">
        <f>Legacy!BR15+Paid!BR13+React!BR22+Params!$B$9*Adds!BR30</f>
        <v/>
      </c>
      <c r="BS27" s="3">
        <f>Legacy!BS15+Paid!BS13+React!BS22+Params!$B$9*Adds!BS30</f>
        <v/>
      </c>
      <c r="BT27" s="3">
        <f>Legacy!BT15+Paid!BT13+React!BT22+Params!$B$9*Adds!BT30</f>
        <v/>
      </c>
      <c r="BU27" s="3">
        <f>Legacy!BU15+Paid!BU13+React!BU22+Params!$B$9*Adds!BU30</f>
        <v/>
      </c>
      <c r="BV27" s="3">
        <f>Legacy!BV15+Paid!BV13+React!BV22+Params!$B$9*Adds!BV30</f>
        <v/>
      </c>
    </row>
    <row r="28">
      <c r="A28" t="inlineStr">
        <is>
          <t>closing</t>
        </is>
      </c>
      <c r="B28" t="inlineStr">
        <is>
          <t>US_CA|BASIC_M</t>
        </is>
      </c>
      <c r="C28" s="3">
        <f>C29+Params!$B$9*Adds!C33</f>
        <v/>
      </c>
      <c r="D28" s="3">
        <f>D29+Params!$B$9*Adds!D33</f>
        <v/>
      </c>
      <c r="E28" s="3">
        <f>E29+Params!$B$9*Adds!E33</f>
        <v/>
      </c>
      <c r="F28" s="3">
        <f>F29+Params!$B$9*Adds!F33</f>
        <v/>
      </c>
      <c r="G28" s="3">
        <f>G29+Params!$B$9*Adds!G33</f>
        <v/>
      </c>
      <c r="H28" s="3">
        <f>H29+Params!$B$9*Adds!H33</f>
        <v/>
      </c>
      <c r="I28" s="3">
        <f>I29+Params!$B$9*Adds!I33</f>
        <v/>
      </c>
      <c r="J28" s="3">
        <f>J29+Params!$B$9*Adds!J33</f>
        <v/>
      </c>
      <c r="K28" s="3">
        <f>K29+Params!$B$9*Adds!K33</f>
        <v/>
      </c>
      <c r="L28" s="3">
        <f>L29+Params!$B$9*Adds!L33</f>
        <v/>
      </c>
      <c r="M28" s="3">
        <f>M29+Params!$B$9*Adds!M33</f>
        <v/>
      </c>
      <c r="N28" s="3">
        <f>N29+Params!$B$9*Adds!N33</f>
        <v/>
      </c>
      <c r="O28" s="3">
        <f>O29+Params!$B$9*Adds!O33</f>
        <v/>
      </c>
      <c r="P28" s="3">
        <f>P29+Params!$B$9*Adds!P33</f>
        <v/>
      </c>
      <c r="Q28" s="3">
        <f>Q29+Params!$B$9*Adds!Q33</f>
        <v/>
      </c>
      <c r="R28" s="3">
        <f>R29+Params!$B$9*Adds!R33</f>
        <v/>
      </c>
      <c r="S28" s="3">
        <f>S29+Params!$B$9*Adds!S33</f>
        <v/>
      </c>
      <c r="T28" s="3">
        <f>T29+Params!$B$9*Adds!T33</f>
        <v/>
      </c>
      <c r="U28" s="3">
        <f>U29+Params!$B$9*Adds!U33</f>
        <v/>
      </c>
      <c r="V28" s="3">
        <f>V29+Params!$B$9*Adds!V33</f>
        <v/>
      </c>
      <c r="W28" s="3">
        <f>W29+Params!$B$9*Adds!W33</f>
        <v/>
      </c>
      <c r="X28" s="3">
        <f>X29+Params!$B$9*Adds!X33</f>
        <v/>
      </c>
      <c r="Y28" s="3">
        <f>Y29+Params!$B$9*Adds!Y33</f>
        <v/>
      </c>
      <c r="Z28" s="3">
        <f>Z29+Params!$B$9*Adds!Z33</f>
        <v/>
      </c>
      <c r="AA28" s="3">
        <f>AA29+Params!$B$9*Adds!AA33</f>
        <v/>
      </c>
      <c r="AB28" s="3">
        <f>AB29+Params!$B$9*Adds!AB33</f>
        <v/>
      </c>
      <c r="AC28" s="3">
        <f>AC29+Params!$B$9*Adds!AC33</f>
        <v/>
      </c>
      <c r="AD28" s="3">
        <f>AD29+Params!$B$9*Adds!AD33</f>
        <v/>
      </c>
      <c r="AE28" s="3">
        <f>AE29+Params!$B$9*Adds!AE33</f>
        <v/>
      </c>
      <c r="AF28" s="3">
        <f>AF29+Params!$B$9*Adds!AF33</f>
        <v/>
      </c>
      <c r="AG28" s="3">
        <f>AG29+Params!$B$9*Adds!AG33</f>
        <v/>
      </c>
      <c r="AH28" s="3">
        <f>AH29+Params!$B$9*Adds!AH33</f>
        <v/>
      </c>
      <c r="AI28" s="3">
        <f>AI29+Params!$B$9*Adds!AI33</f>
        <v/>
      </c>
      <c r="AJ28" s="3">
        <f>AJ29+Params!$B$9*Adds!AJ33</f>
        <v/>
      </c>
      <c r="AK28" s="3">
        <f>AK29+Params!$B$9*Adds!AK33</f>
        <v/>
      </c>
      <c r="AL28" s="3">
        <f>AL29+Params!$B$9*Adds!AL33</f>
        <v/>
      </c>
      <c r="AM28" s="3">
        <f>AM29+Params!$B$9*Adds!AM33</f>
        <v/>
      </c>
      <c r="AN28" s="3">
        <f>AN29+Params!$B$9*Adds!AN33</f>
        <v/>
      </c>
      <c r="AO28" s="3">
        <f>AO29+Params!$B$9*Adds!AO33</f>
        <v/>
      </c>
      <c r="AP28" s="3">
        <f>AP29+Params!$B$9*Adds!AP33</f>
        <v/>
      </c>
      <c r="AQ28" s="3">
        <f>AQ29+Params!$B$9*Adds!AQ33</f>
        <v/>
      </c>
      <c r="AR28" s="3">
        <f>AR29+Params!$B$9*Adds!AR33</f>
        <v/>
      </c>
      <c r="AS28" s="3">
        <f>AS29+Params!$B$9*Adds!AS33</f>
        <v/>
      </c>
      <c r="AT28" s="3">
        <f>AT29+Params!$B$9*Adds!AT33</f>
        <v/>
      </c>
      <c r="AU28" s="3">
        <f>AU29+Params!$B$9*Adds!AU33</f>
        <v/>
      </c>
      <c r="AV28" s="3">
        <f>AV29+Params!$B$9*Adds!AV33</f>
        <v/>
      </c>
      <c r="AW28" s="3">
        <f>AW29+Params!$B$9*Adds!AW33</f>
        <v/>
      </c>
      <c r="AX28" s="3">
        <f>AX29+Params!$B$9*Adds!AX33</f>
        <v/>
      </c>
      <c r="AY28" s="3">
        <f>AY29+Params!$B$9*Adds!AY33</f>
        <v/>
      </c>
      <c r="AZ28" s="3">
        <f>AZ29+Params!$B$9*Adds!AZ33</f>
        <v/>
      </c>
      <c r="BA28" s="3">
        <f>BA29+Params!$B$9*Adds!BA33</f>
        <v/>
      </c>
      <c r="BB28" s="3">
        <f>BB29+Params!$B$9*Adds!BB33</f>
        <v/>
      </c>
      <c r="BC28" s="3">
        <f>BC29+Params!$B$9*Adds!BC33</f>
        <v/>
      </c>
      <c r="BD28" s="3">
        <f>BD29+Params!$B$9*Adds!BD33</f>
        <v/>
      </c>
      <c r="BE28" s="3">
        <f>BE29+Params!$B$9*Adds!BE33</f>
        <v/>
      </c>
      <c r="BF28" s="3">
        <f>BF29+Params!$B$9*Adds!BF33</f>
        <v/>
      </c>
      <c r="BG28" s="3">
        <f>BG29+Params!$B$9*Adds!BG33</f>
        <v/>
      </c>
      <c r="BH28" s="3">
        <f>BH29+Params!$B$9*Adds!BH33</f>
        <v/>
      </c>
      <c r="BI28" s="3">
        <f>BI29+Params!$B$9*Adds!BI33</f>
        <v/>
      </c>
      <c r="BJ28" s="3">
        <f>BJ29+Params!$B$9*Adds!BJ33</f>
        <v/>
      </c>
      <c r="BK28" s="3">
        <f>BK29+Params!$B$9*Adds!BK33</f>
        <v/>
      </c>
      <c r="BL28" s="3">
        <f>BL29+Params!$B$9*Adds!BL33</f>
        <v/>
      </c>
      <c r="BM28" s="3">
        <f>BM29+Params!$B$9*Adds!BM33</f>
        <v/>
      </c>
      <c r="BN28" s="3">
        <f>BN29+Params!$B$9*Adds!BN33</f>
        <v/>
      </c>
      <c r="BO28" s="3">
        <f>BO29+Params!$B$9*Adds!BO33</f>
        <v/>
      </c>
      <c r="BP28" s="3">
        <f>BP29+Params!$B$9*Adds!BP33</f>
        <v/>
      </c>
      <c r="BQ28" s="3">
        <f>BQ29+Params!$B$9*Adds!BQ33</f>
        <v/>
      </c>
      <c r="BR28" s="3">
        <f>BR29+Params!$B$9*Adds!BR33</f>
        <v/>
      </c>
      <c r="BS28" s="3">
        <f>BS29+Params!$B$9*Adds!BS33</f>
        <v/>
      </c>
      <c r="BT28" s="3">
        <f>BT29+Params!$B$9*Adds!BT33</f>
        <v/>
      </c>
      <c r="BU28" s="3">
        <f>BU29+Params!$B$9*Adds!BU33</f>
        <v/>
      </c>
      <c r="BV28" s="3">
        <f>BV29+Params!$B$9*Adds!BV33</f>
        <v/>
      </c>
    </row>
    <row r="29">
      <c r="A29" t="inlineStr">
        <is>
          <t>paying</t>
        </is>
      </c>
      <c r="B29" t="inlineStr">
        <is>
          <t>US_CA|BASIC_M</t>
        </is>
      </c>
      <c r="C29" s="3">
        <f>Legacy!C14+Paid!C11+React!C20</f>
        <v/>
      </c>
      <c r="D29" s="3">
        <f>Legacy!D14+Paid!D11+React!D20</f>
        <v/>
      </c>
      <c r="E29" s="3">
        <f>Legacy!E14+Paid!E11+React!E20</f>
        <v/>
      </c>
      <c r="F29" s="3">
        <f>Legacy!F14+Paid!F11+React!F20</f>
        <v/>
      </c>
      <c r="G29" s="3">
        <f>Legacy!G14+Paid!G11+React!G20</f>
        <v/>
      </c>
      <c r="H29" s="3">
        <f>Legacy!H14+Paid!H11+React!H20</f>
        <v/>
      </c>
      <c r="I29" s="3">
        <f>Legacy!I14+Paid!I11+React!I20</f>
        <v/>
      </c>
      <c r="J29" s="3">
        <f>Legacy!J14+Paid!J11+React!J20</f>
        <v/>
      </c>
      <c r="K29" s="3">
        <f>Legacy!K14+Paid!K11+React!K20</f>
        <v/>
      </c>
      <c r="L29" s="3">
        <f>Legacy!L14+Paid!L11+React!L20</f>
        <v/>
      </c>
      <c r="M29" s="3">
        <f>Legacy!M14+Paid!M11+React!M20</f>
        <v/>
      </c>
      <c r="N29" s="3">
        <f>Legacy!N14+Paid!N11+React!N20</f>
        <v/>
      </c>
      <c r="O29" s="3">
        <f>Legacy!O14+Paid!O11+React!O20</f>
        <v/>
      </c>
      <c r="P29" s="3">
        <f>Legacy!P14+Paid!P11+React!P20</f>
        <v/>
      </c>
      <c r="Q29" s="3">
        <f>Legacy!Q14+Paid!Q11+React!Q20</f>
        <v/>
      </c>
      <c r="R29" s="3">
        <f>Legacy!R14+Paid!R11+React!R20</f>
        <v/>
      </c>
      <c r="S29" s="3">
        <f>Legacy!S14+Paid!S11+React!S20</f>
        <v/>
      </c>
      <c r="T29" s="3">
        <f>Legacy!T14+Paid!T11+React!T20</f>
        <v/>
      </c>
      <c r="U29" s="3">
        <f>Legacy!U14+Paid!U11+React!U20</f>
        <v/>
      </c>
      <c r="V29" s="3">
        <f>Legacy!V14+Paid!V11+React!V20</f>
        <v/>
      </c>
      <c r="W29" s="3">
        <f>Legacy!W14+Paid!W11+React!W20</f>
        <v/>
      </c>
      <c r="X29" s="3">
        <f>Legacy!X14+Paid!X11+React!X20</f>
        <v/>
      </c>
      <c r="Y29" s="3">
        <f>Legacy!Y14+Paid!Y11+React!Y20</f>
        <v/>
      </c>
      <c r="Z29" s="3">
        <f>Legacy!Z14+Paid!Z11+React!Z20</f>
        <v/>
      </c>
      <c r="AA29" s="3">
        <f>Legacy!AA14+Paid!AA11+React!AA20</f>
        <v/>
      </c>
      <c r="AB29" s="3">
        <f>Legacy!AB14+Paid!AB11+React!AB20</f>
        <v/>
      </c>
      <c r="AC29" s="3">
        <f>Legacy!AC14+Paid!AC11+React!AC20</f>
        <v/>
      </c>
      <c r="AD29" s="3">
        <f>Legacy!AD14+Paid!AD11+React!AD20</f>
        <v/>
      </c>
      <c r="AE29" s="3">
        <f>Legacy!AE14+Paid!AE11+React!AE20</f>
        <v/>
      </c>
      <c r="AF29" s="3">
        <f>Legacy!AF14+Paid!AF11+React!AF20</f>
        <v/>
      </c>
      <c r="AG29" s="3">
        <f>Legacy!AG14+Paid!AG11+React!AG20</f>
        <v/>
      </c>
      <c r="AH29" s="3">
        <f>Legacy!AH14+Paid!AH11+React!AH20</f>
        <v/>
      </c>
      <c r="AI29" s="3">
        <f>Legacy!AI14+Paid!AI11+React!AI20</f>
        <v/>
      </c>
      <c r="AJ29" s="3">
        <f>Legacy!AJ14+Paid!AJ11+React!AJ20</f>
        <v/>
      </c>
      <c r="AK29" s="3">
        <f>Legacy!AK14+Paid!AK11+React!AK20</f>
        <v/>
      </c>
      <c r="AL29" s="3">
        <f>Legacy!AL14+Paid!AL11+React!AL20</f>
        <v/>
      </c>
      <c r="AM29" s="3">
        <f>Legacy!AM14+Paid!AM11+React!AM20</f>
        <v/>
      </c>
      <c r="AN29" s="3">
        <f>Legacy!AN14+Paid!AN11+React!AN20</f>
        <v/>
      </c>
      <c r="AO29" s="3">
        <f>Legacy!AO14+Paid!AO11+React!AO20</f>
        <v/>
      </c>
      <c r="AP29" s="3">
        <f>Legacy!AP14+Paid!AP11+React!AP20</f>
        <v/>
      </c>
      <c r="AQ29" s="3">
        <f>Legacy!AQ14+Paid!AQ11+React!AQ20</f>
        <v/>
      </c>
      <c r="AR29" s="3">
        <f>Legacy!AR14+Paid!AR11+React!AR20</f>
        <v/>
      </c>
      <c r="AS29" s="3">
        <f>Legacy!AS14+Paid!AS11+React!AS20</f>
        <v/>
      </c>
      <c r="AT29" s="3">
        <f>Legacy!AT14+Paid!AT11+React!AT20</f>
        <v/>
      </c>
      <c r="AU29" s="3">
        <f>Legacy!AU14+Paid!AU11+React!AU20</f>
        <v/>
      </c>
      <c r="AV29" s="3">
        <f>Legacy!AV14+Paid!AV11+React!AV20</f>
        <v/>
      </c>
      <c r="AW29" s="3">
        <f>Legacy!AW14+Paid!AW11+React!AW20</f>
        <v/>
      </c>
      <c r="AX29" s="3">
        <f>Legacy!AX14+Paid!AX11+React!AX20</f>
        <v/>
      </c>
      <c r="AY29" s="3">
        <f>Legacy!AY14+Paid!AY11+React!AY20</f>
        <v/>
      </c>
      <c r="AZ29" s="3">
        <f>Legacy!AZ14+Paid!AZ11+React!AZ20</f>
        <v/>
      </c>
      <c r="BA29" s="3">
        <f>Legacy!BA14+Paid!BA11+React!BA20</f>
        <v/>
      </c>
      <c r="BB29" s="3">
        <f>Legacy!BB14+Paid!BB11+React!BB20</f>
        <v/>
      </c>
      <c r="BC29" s="3">
        <f>Legacy!BC14+Paid!BC11+React!BC20</f>
        <v/>
      </c>
      <c r="BD29" s="3">
        <f>Legacy!BD14+Paid!BD11+React!BD20</f>
        <v/>
      </c>
      <c r="BE29" s="3">
        <f>Legacy!BE14+Paid!BE11+React!BE20</f>
        <v/>
      </c>
      <c r="BF29" s="3">
        <f>Legacy!BF14+Paid!BF11+React!BF20</f>
        <v/>
      </c>
      <c r="BG29" s="3">
        <f>Legacy!BG14+Paid!BG11+React!BG20</f>
        <v/>
      </c>
      <c r="BH29" s="3">
        <f>Legacy!BH14+Paid!BH11+React!BH20</f>
        <v/>
      </c>
      <c r="BI29" s="3">
        <f>Legacy!BI14+Paid!BI11+React!BI20</f>
        <v/>
      </c>
      <c r="BJ29" s="3">
        <f>Legacy!BJ14+Paid!BJ11+React!BJ20</f>
        <v/>
      </c>
      <c r="BK29" s="3">
        <f>Legacy!BK14+Paid!BK11+React!BK20</f>
        <v/>
      </c>
      <c r="BL29" s="3">
        <f>Legacy!BL14+Paid!BL11+React!BL20</f>
        <v/>
      </c>
      <c r="BM29" s="3">
        <f>Legacy!BM14+Paid!BM11+React!BM20</f>
        <v/>
      </c>
      <c r="BN29" s="3">
        <f>Legacy!BN14+Paid!BN11+React!BN20</f>
        <v/>
      </c>
      <c r="BO29" s="3">
        <f>Legacy!BO14+Paid!BO11+React!BO20</f>
        <v/>
      </c>
      <c r="BP29" s="3">
        <f>Legacy!BP14+Paid!BP11+React!BP20</f>
        <v/>
      </c>
      <c r="BQ29" s="3">
        <f>Legacy!BQ14+Paid!BQ11+React!BQ20</f>
        <v/>
      </c>
      <c r="BR29" s="3">
        <f>Legacy!BR14+Paid!BR11+React!BR20</f>
        <v/>
      </c>
      <c r="BS29" s="3">
        <f>Legacy!BS14+Paid!BS11+React!BS20</f>
        <v/>
      </c>
      <c r="BT29" s="3">
        <f>Legacy!BT14+Paid!BT11+React!BT20</f>
        <v/>
      </c>
      <c r="BU29" s="3">
        <f>Legacy!BU14+Paid!BU11+React!BU20</f>
        <v/>
      </c>
      <c r="BV29" s="3">
        <f>Legacy!BV14+Paid!BV11+React!BV20</f>
        <v/>
      </c>
    </row>
    <row r="31">
      <c r="A31" t="inlineStr">
        <is>
          <t>opening</t>
        </is>
      </c>
      <c r="B31" t="inlineStr">
        <is>
          <t>US_CA|BASIC_A</t>
        </is>
      </c>
      <c r="C31" s="3">
        <f>Legacy!$C$17</f>
        <v/>
      </c>
      <c r="D31" s="3">
        <f>C35</f>
        <v/>
      </c>
      <c r="E31" s="3">
        <f>D35</f>
        <v/>
      </c>
      <c r="F31" s="3">
        <f>E35</f>
        <v/>
      </c>
      <c r="G31" s="3">
        <f>F35</f>
        <v/>
      </c>
      <c r="H31" s="3">
        <f>G35</f>
        <v/>
      </c>
      <c r="I31" s="3">
        <f>H35</f>
        <v/>
      </c>
      <c r="J31" s="3">
        <f>I35</f>
        <v/>
      </c>
      <c r="K31" s="3">
        <f>J35</f>
        <v/>
      </c>
      <c r="L31" s="3">
        <f>K35</f>
        <v/>
      </c>
      <c r="M31" s="3">
        <f>L35</f>
        <v/>
      </c>
      <c r="N31" s="3">
        <f>M35</f>
        <v/>
      </c>
      <c r="O31" s="3">
        <f>N35</f>
        <v/>
      </c>
      <c r="P31" s="3">
        <f>O35</f>
        <v/>
      </c>
      <c r="Q31" s="3">
        <f>P35</f>
        <v/>
      </c>
      <c r="R31" s="3">
        <f>Q35</f>
        <v/>
      </c>
      <c r="S31" s="3">
        <f>R35</f>
        <v/>
      </c>
      <c r="T31" s="3">
        <f>S35</f>
        <v/>
      </c>
      <c r="U31" s="3">
        <f>T35</f>
        <v/>
      </c>
      <c r="V31" s="3">
        <f>U35</f>
        <v/>
      </c>
      <c r="W31" s="3">
        <f>V35</f>
        <v/>
      </c>
      <c r="X31" s="3">
        <f>W35</f>
        <v/>
      </c>
      <c r="Y31" s="3">
        <f>X35</f>
        <v/>
      </c>
      <c r="Z31" s="3">
        <f>Y35</f>
        <v/>
      </c>
      <c r="AA31" s="3">
        <f>Z35</f>
        <v/>
      </c>
      <c r="AB31" s="3">
        <f>AA35</f>
        <v/>
      </c>
      <c r="AC31" s="3">
        <f>AB35</f>
        <v/>
      </c>
      <c r="AD31" s="3">
        <f>AC35</f>
        <v/>
      </c>
      <c r="AE31" s="3">
        <f>AD35</f>
        <v/>
      </c>
      <c r="AF31" s="3">
        <f>AE35</f>
        <v/>
      </c>
      <c r="AG31" s="3">
        <f>AF35</f>
        <v/>
      </c>
      <c r="AH31" s="3">
        <f>AG35</f>
        <v/>
      </c>
      <c r="AI31" s="3">
        <f>AH35</f>
        <v/>
      </c>
      <c r="AJ31" s="3">
        <f>AI35</f>
        <v/>
      </c>
      <c r="AK31" s="3">
        <f>AJ35</f>
        <v/>
      </c>
      <c r="AL31" s="3">
        <f>AK35</f>
        <v/>
      </c>
      <c r="AM31" s="3">
        <f>AL35</f>
        <v/>
      </c>
      <c r="AN31" s="3">
        <f>AM35</f>
        <v/>
      </c>
      <c r="AO31" s="3">
        <f>AN35</f>
        <v/>
      </c>
      <c r="AP31" s="3">
        <f>AO35</f>
        <v/>
      </c>
      <c r="AQ31" s="3">
        <f>AP35</f>
        <v/>
      </c>
      <c r="AR31" s="3">
        <f>AQ35</f>
        <v/>
      </c>
      <c r="AS31" s="3">
        <f>AR35</f>
        <v/>
      </c>
      <c r="AT31" s="3">
        <f>AS35</f>
        <v/>
      </c>
      <c r="AU31" s="3">
        <f>AT35</f>
        <v/>
      </c>
      <c r="AV31" s="3">
        <f>AU35</f>
        <v/>
      </c>
      <c r="AW31" s="3">
        <f>AV35</f>
        <v/>
      </c>
      <c r="AX31" s="3">
        <f>AW35</f>
        <v/>
      </c>
      <c r="AY31" s="3">
        <f>AX35</f>
        <v/>
      </c>
      <c r="AZ31" s="3">
        <f>AY35</f>
        <v/>
      </c>
      <c r="BA31" s="3">
        <f>AZ35</f>
        <v/>
      </c>
      <c r="BB31" s="3">
        <f>BA35</f>
        <v/>
      </c>
      <c r="BC31" s="3">
        <f>BB35</f>
        <v/>
      </c>
      <c r="BD31" s="3">
        <f>BC35</f>
        <v/>
      </c>
      <c r="BE31" s="3">
        <f>BD35</f>
        <v/>
      </c>
      <c r="BF31" s="3">
        <f>BE35</f>
        <v/>
      </c>
      <c r="BG31" s="3">
        <f>BF35</f>
        <v/>
      </c>
      <c r="BH31" s="3">
        <f>BG35</f>
        <v/>
      </c>
      <c r="BI31" s="3">
        <f>BH35</f>
        <v/>
      </c>
      <c r="BJ31" s="3">
        <f>BI35</f>
        <v/>
      </c>
      <c r="BK31" s="3">
        <f>BJ35</f>
        <v/>
      </c>
      <c r="BL31" s="3">
        <f>BK35</f>
        <v/>
      </c>
      <c r="BM31" s="3">
        <f>BL35</f>
        <v/>
      </c>
      <c r="BN31" s="3">
        <f>BM35</f>
        <v/>
      </c>
      <c r="BO31" s="3">
        <f>BN35</f>
        <v/>
      </c>
      <c r="BP31" s="3">
        <f>BO35</f>
        <v/>
      </c>
      <c r="BQ31" s="3">
        <f>BP35</f>
        <v/>
      </c>
      <c r="BR31" s="3">
        <f>BQ35</f>
        <v/>
      </c>
      <c r="BS31" s="3">
        <f>BR35</f>
        <v/>
      </c>
      <c r="BT31" s="3">
        <f>BS35</f>
        <v/>
      </c>
      <c r="BU31" s="3">
        <f>BT35</f>
        <v/>
      </c>
      <c r="BV31" s="3">
        <f>BU35</f>
        <v/>
      </c>
    </row>
    <row r="32">
      <c r="A32" t="inlineStr">
        <is>
          <t>new</t>
        </is>
      </c>
      <c r="B32" t="inlineStr">
        <is>
          <t>US_CA|BASIC_A</t>
        </is>
      </c>
      <c r="C32" s="3">
        <f>Adds!C38+IF(Params!$B$9=1,Adds!C37,Adds!C40)</f>
        <v/>
      </c>
      <c r="D32" s="3">
        <f>Adds!D38+IF(Params!$B$9=1,Adds!D37,Adds!D40)</f>
        <v/>
      </c>
      <c r="E32" s="3">
        <f>Adds!E38+IF(Params!$B$9=1,Adds!E37,Adds!E40)</f>
        <v/>
      </c>
      <c r="F32" s="3">
        <f>Adds!F38+IF(Params!$B$9=1,Adds!F37,Adds!F40)</f>
        <v/>
      </c>
      <c r="G32" s="3">
        <f>Adds!G38+IF(Params!$B$9=1,Adds!G37,Adds!G40)</f>
        <v/>
      </c>
      <c r="H32" s="3">
        <f>Adds!H38+IF(Params!$B$9=1,Adds!H37,Adds!H40)</f>
        <v/>
      </c>
      <c r="I32" s="3">
        <f>Adds!I38+IF(Params!$B$9=1,Adds!I37,Adds!I40)</f>
        <v/>
      </c>
      <c r="J32" s="3">
        <f>Adds!J38+IF(Params!$B$9=1,Adds!J37,Adds!J40)</f>
        <v/>
      </c>
      <c r="K32" s="3">
        <f>Adds!K38+IF(Params!$B$9=1,Adds!K37,Adds!K40)</f>
        <v/>
      </c>
      <c r="L32" s="3">
        <f>Adds!L38+IF(Params!$B$9=1,Adds!L37,Adds!L40)</f>
        <v/>
      </c>
      <c r="M32" s="3">
        <f>Adds!M38+IF(Params!$B$9=1,Adds!M37,Adds!M40)</f>
        <v/>
      </c>
      <c r="N32" s="3">
        <f>Adds!N38+IF(Params!$B$9=1,Adds!N37,Adds!N40)</f>
        <v/>
      </c>
      <c r="O32" s="3">
        <f>Adds!O38+IF(Params!$B$9=1,Adds!O37,Adds!O40)</f>
        <v/>
      </c>
      <c r="P32" s="3">
        <f>Adds!P38+IF(Params!$B$9=1,Adds!P37,Adds!P40)</f>
        <v/>
      </c>
      <c r="Q32" s="3">
        <f>Adds!Q38+IF(Params!$B$9=1,Adds!Q37,Adds!Q40)</f>
        <v/>
      </c>
      <c r="R32" s="3">
        <f>Adds!R38+IF(Params!$B$9=1,Adds!R37,Adds!R40)</f>
        <v/>
      </c>
      <c r="S32" s="3">
        <f>Adds!S38+IF(Params!$B$9=1,Adds!S37,Adds!S40)</f>
        <v/>
      </c>
      <c r="T32" s="3">
        <f>Adds!T38+IF(Params!$B$9=1,Adds!T37,Adds!T40)</f>
        <v/>
      </c>
      <c r="U32" s="3">
        <f>Adds!U38+IF(Params!$B$9=1,Adds!U37,Adds!U40)</f>
        <v/>
      </c>
      <c r="V32" s="3">
        <f>Adds!V38+IF(Params!$B$9=1,Adds!V37,Adds!V40)</f>
        <v/>
      </c>
      <c r="W32" s="3">
        <f>Adds!W38+IF(Params!$B$9=1,Adds!W37,Adds!W40)</f>
        <v/>
      </c>
      <c r="X32" s="3">
        <f>Adds!X38+IF(Params!$B$9=1,Adds!X37,Adds!X40)</f>
        <v/>
      </c>
      <c r="Y32" s="3">
        <f>Adds!Y38+IF(Params!$B$9=1,Adds!Y37,Adds!Y40)</f>
        <v/>
      </c>
      <c r="Z32" s="3">
        <f>Adds!Z38+IF(Params!$B$9=1,Adds!Z37,Adds!Z40)</f>
        <v/>
      </c>
      <c r="AA32" s="3">
        <f>Adds!AA38+IF(Params!$B$9=1,Adds!AA37,Adds!AA40)</f>
        <v/>
      </c>
      <c r="AB32" s="3">
        <f>Adds!AB38+IF(Params!$B$9=1,Adds!AB37,Adds!AB40)</f>
        <v/>
      </c>
      <c r="AC32" s="3">
        <f>Adds!AC38+IF(Params!$B$9=1,Adds!AC37,Adds!AC40)</f>
        <v/>
      </c>
      <c r="AD32" s="3">
        <f>Adds!AD38+IF(Params!$B$9=1,Adds!AD37,Adds!AD40)</f>
        <v/>
      </c>
      <c r="AE32" s="3">
        <f>Adds!AE38+IF(Params!$B$9=1,Adds!AE37,Adds!AE40)</f>
        <v/>
      </c>
      <c r="AF32" s="3">
        <f>Adds!AF38+IF(Params!$B$9=1,Adds!AF37,Adds!AF40)</f>
        <v/>
      </c>
      <c r="AG32" s="3">
        <f>Adds!AG38+IF(Params!$B$9=1,Adds!AG37,Adds!AG40)</f>
        <v/>
      </c>
      <c r="AH32" s="3">
        <f>Adds!AH38+IF(Params!$B$9=1,Adds!AH37,Adds!AH40)</f>
        <v/>
      </c>
      <c r="AI32" s="3">
        <f>Adds!AI38+IF(Params!$B$9=1,Adds!AI37,Adds!AI40)</f>
        <v/>
      </c>
      <c r="AJ32" s="3">
        <f>Adds!AJ38+IF(Params!$B$9=1,Adds!AJ37,Adds!AJ40)</f>
        <v/>
      </c>
      <c r="AK32" s="3">
        <f>Adds!AK38+IF(Params!$B$9=1,Adds!AK37,Adds!AK40)</f>
        <v/>
      </c>
      <c r="AL32" s="3">
        <f>Adds!AL38+IF(Params!$B$9=1,Adds!AL37,Adds!AL40)</f>
        <v/>
      </c>
      <c r="AM32" s="3">
        <f>Adds!AM38+IF(Params!$B$9=1,Adds!AM37,Adds!AM40)</f>
        <v/>
      </c>
      <c r="AN32" s="3">
        <f>Adds!AN38+IF(Params!$B$9=1,Adds!AN37,Adds!AN40)</f>
        <v/>
      </c>
      <c r="AO32" s="3">
        <f>Adds!AO38+IF(Params!$B$9=1,Adds!AO37,Adds!AO40)</f>
        <v/>
      </c>
      <c r="AP32" s="3">
        <f>Adds!AP38+IF(Params!$B$9=1,Adds!AP37,Adds!AP40)</f>
        <v/>
      </c>
      <c r="AQ32" s="3">
        <f>Adds!AQ38+IF(Params!$B$9=1,Adds!AQ37,Adds!AQ40)</f>
        <v/>
      </c>
      <c r="AR32" s="3">
        <f>Adds!AR38+IF(Params!$B$9=1,Adds!AR37,Adds!AR40)</f>
        <v/>
      </c>
      <c r="AS32" s="3">
        <f>Adds!AS38+IF(Params!$B$9=1,Adds!AS37,Adds!AS40)</f>
        <v/>
      </c>
      <c r="AT32" s="3">
        <f>Adds!AT38+IF(Params!$B$9=1,Adds!AT37,Adds!AT40)</f>
        <v/>
      </c>
      <c r="AU32" s="3">
        <f>Adds!AU38+IF(Params!$B$9=1,Adds!AU37,Adds!AU40)</f>
        <v/>
      </c>
      <c r="AV32" s="3">
        <f>Adds!AV38+IF(Params!$B$9=1,Adds!AV37,Adds!AV40)</f>
        <v/>
      </c>
      <c r="AW32" s="3">
        <f>Adds!AW38+IF(Params!$B$9=1,Adds!AW37,Adds!AW40)</f>
        <v/>
      </c>
      <c r="AX32" s="3">
        <f>Adds!AX38+IF(Params!$B$9=1,Adds!AX37,Adds!AX40)</f>
        <v/>
      </c>
      <c r="AY32" s="3">
        <f>Adds!AY38+IF(Params!$B$9=1,Adds!AY37,Adds!AY40)</f>
        <v/>
      </c>
      <c r="AZ32" s="3">
        <f>Adds!AZ38+IF(Params!$B$9=1,Adds!AZ37,Adds!AZ40)</f>
        <v/>
      </c>
      <c r="BA32" s="3">
        <f>Adds!BA38+IF(Params!$B$9=1,Adds!BA37,Adds!BA40)</f>
        <v/>
      </c>
      <c r="BB32" s="3">
        <f>Adds!BB38+IF(Params!$B$9=1,Adds!BB37,Adds!BB40)</f>
        <v/>
      </c>
      <c r="BC32" s="3">
        <f>Adds!BC38+IF(Params!$B$9=1,Adds!BC37,Adds!BC40)</f>
        <v/>
      </c>
      <c r="BD32" s="3">
        <f>Adds!BD38+IF(Params!$B$9=1,Adds!BD37,Adds!BD40)</f>
        <v/>
      </c>
      <c r="BE32" s="3">
        <f>Adds!BE38+IF(Params!$B$9=1,Adds!BE37,Adds!BE40)</f>
        <v/>
      </c>
      <c r="BF32" s="3">
        <f>Adds!BF38+IF(Params!$B$9=1,Adds!BF37,Adds!BF40)</f>
        <v/>
      </c>
      <c r="BG32" s="3">
        <f>Adds!BG38+IF(Params!$B$9=1,Adds!BG37,Adds!BG40)</f>
        <v/>
      </c>
      <c r="BH32" s="3">
        <f>Adds!BH38+IF(Params!$B$9=1,Adds!BH37,Adds!BH40)</f>
        <v/>
      </c>
      <c r="BI32" s="3">
        <f>Adds!BI38+IF(Params!$B$9=1,Adds!BI37,Adds!BI40)</f>
        <v/>
      </c>
      <c r="BJ32" s="3">
        <f>Adds!BJ38+IF(Params!$B$9=1,Adds!BJ37,Adds!BJ40)</f>
        <v/>
      </c>
      <c r="BK32" s="3">
        <f>Adds!BK38+IF(Params!$B$9=1,Adds!BK37,Adds!BK40)</f>
        <v/>
      </c>
      <c r="BL32" s="3">
        <f>Adds!BL38+IF(Params!$B$9=1,Adds!BL37,Adds!BL40)</f>
        <v/>
      </c>
      <c r="BM32" s="3">
        <f>Adds!BM38+IF(Params!$B$9=1,Adds!BM37,Adds!BM40)</f>
        <v/>
      </c>
      <c r="BN32" s="3">
        <f>Adds!BN38+IF(Params!$B$9=1,Adds!BN37,Adds!BN40)</f>
        <v/>
      </c>
      <c r="BO32" s="3">
        <f>Adds!BO38+IF(Params!$B$9=1,Adds!BO37,Adds!BO40)</f>
        <v/>
      </c>
      <c r="BP32" s="3">
        <f>Adds!BP38+IF(Params!$B$9=1,Adds!BP37,Adds!BP40)</f>
        <v/>
      </c>
      <c r="BQ32" s="3">
        <f>Adds!BQ38+IF(Params!$B$9=1,Adds!BQ37,Adds!BQ40)</f>
        <v/>
      </c>
      <c r="BR32" s="3">
        <f>Adds!BR38+IF(Params!$B$9=1,Adds!BR37,Adds!BR40)</f>
        <v/>
      </c>
      <c r="BS32" s="3">
        <f>Adds!BS38+IF(Params!$B$9=1,Adds!BS37,Adds!BS40)</f>
        <v/>
      </c>
      <c r="BT32" s="3">
        <f>Adds!BT38+IF(Params!$B$9=1,Adds!BT37,Adds!BT40)</f>
        <v/>
      </c>
      <c r="BU32" s="3">
        <f>Adds!BU38+IF(Params!$B$9=1,Adds!BU37,Adds!BU40)</f>
        <v/>
      </c>
      <c r="BV32" s="3">
        <f>Adds!BV38+IF(Params!$B$9=1,Adds!BV37,Adds!BV40)</f>
        <v/>
      </c>
    </row>
    <row r="33">
      <c r="A33" t="inlineStr">
        <is>
          <t>reactivated</t>
        </is>
      </c>
      <c r="B33" t="inlineStr">
        <is>
          <t>US_CA|BASIC_A</t>
        </is>
      </c>
      <c r="C33" s="3">
        <f>React!C26</f>
        <v/>
      </c>
      <c r="D33" s="3">
        <f>React!D26</f>
        <v/>
      </c>
      <c r="E33" s="3">
        <f>React!E26</f>
        <v/>
      </c>
      <c r="F33" s="3">
        <f>React!F26</f>
        <v/>
      </c>
      <c r="G33" s="3">
        <f>React!G26</f>
        <v/>
      </c>
      <c r="H33" s="3">
        <f>React!H26</f>
        <v/>
      </c>
      <c r="I33" s="3">
        <f>React!I26</f>
        <v/>
      </c>
      <c r="J33" s="3">
        <f>React!J26</f>
        <v/>
      </c>
      <c r="K33" s="3">
        <f>React!K26</f>
        <v/>
      </c>
      <c r="L33" s="3">
        <f>React!L26</f>
        <v/>
      </c>
      <c r="M33" s="3">
        <f>React!M26</f>
        <v/>
      </c>
      <c r="N33" s="3">
        <f>React!N26</f>
        <v/>
      </c>
      <c r="O33" s="3">
        <f>React!O26</f>
        <v/>
      </c>
      <c r="P33" s="3">
        <f>React!P26</f>
        <v/>
      </c>
      <c r="Q33" s="3">
        <f>React!Q26</f>
        <v/>
      </c>
      <c r="R33" s="3">
        <f>React!R26</f>
        <v/>
      </c>
      <c r="S33" s="3">
        <f>React!S26</f>
        <v/>
      </c>
      <c r="T33" s="3">
        <f>React!T26</f>
        <v/>
      </c>
      <c r="U33" s="3">
        <f>React!U26</f>
        <v/>
      </c>
      <c r="V33" s="3">
        <f>React!V26</f>
        <v/>
      </c>
      <c r="W33" s="3">
        <f>React!W26</f>
        <v/>
      </c>
      <c r="X33" s="3">
        <f>React!X26</f>
        <v/>
      </c>
      <c r="Y33" s="3">
        <f>React!Y26</f>
        <v/>
      </c>
      <c r="Z33" s="3">
        <f>React!Z26</f>
        <v/>
      </c>
      <c r="AA33" s="3">
        <f>React!AA26</f>
        <v/>
      </c>
      <c r="AB33" s="3">
        <f>React!AB26</f>
        <v/>
      </c>
      <c r="AC33" s="3">
        <f>React!AC26</f>
        <v/>
      </c>
      <c r="AD33" s="3">
        <f>React!AD26</f>
        <v/>
      </c>
      <c r="AE33" s="3">
        <f>React!AE26</f>
        <v/>
      </c>
      <c r="AF33" s="3">
        <f>React!AF26</f>
        <v/>
      </c>
      <c r="AG33" s="3">
        <f>React!AG26</f>
        <v/>
      </c>
      <c r="AH33" s="3">
        <f>React!AH26</f>
        <v/>
      </c>
      <c r="AI33" s="3">
        <f>React!AI26</f>
        <v/>
      </c>
      <c r="AJ33" s="3">
        <f>React!AJ26</f>
        <v/>
      </c>
      <c r="AK33" s="3">
        <f>React!AK26</f>
        <v/>
      </c>
      <c r="AL33" s="3">
        <f>React!AL26</f>
        <v/>
      </c>
      <c r="AM33" s="3">
        <f>React!AM26</f>
        <v/>
      </c>
      <c r="AN33" s="3">
        <f>React!AN26</f>
        <v/>
      </c>
      <c r="AO33" s="3">
        <f>React!AO26</f>
        <v/>
      </c>
      <c r="AP33" s="3">
        <f>React!AP26</f>
        <v/>
      </c>
      <c r="AQ33" s="3">
        <f>React!AQ26</f>
        <v/>
      </c>
      <c r="AR33" s="3">
        <f>React!AR26</f>
        <v/>
      </c>
      <c r="AS33" s="3">
        <f>React!AS26</f>
        <v/>
      </c>
      <c r="AT33" s="3">
        <f>React!AT26</f>
        <v/>
      </c>
      <c r="AU33" s="3">
        <f>React!AU26</f>
        <v/>
      </c>
      <c r="AV33" s="3">
        <f>React!AV26</f>
        <v/>
      </c>
      <c r="AW33" s="3">
        <f>React!AW26</f>
        <v/>
      </c>
      <c r="AX33" s="3">
        <f>React!AX26</f>
        <v/>
      </c>
      <c r="AY33" s="3">
        <f>React!AY26</f>
        <v/>
      </c>
      <c r="AZ33" s="3">
        <f>React!AZ26</f>
        <v/>
      </c>
      <c r="BA33" s="3">
        <f>React!BA26</f>
        <v/>
      </c>
      <c r="BB33" s="3">
        <f>React!BB26</f>
        <v/>
      </c>
      <c r="BC33" s="3">
        <f>React!BC26</f>
        <v/>
      </c>
      <c r="BD33" s="3">
        <f>React!BD26</f>
        <v/>
      </c>
      <c r="BE33" s="3">
        <f>React!BE26</f>
        <v/>
      </c>
      <c r="BF33" s="3">
        <f>React!BF26</f>
        <v/>
      </c>
      <c r="BG33" s="3">
        <f>React!BG26</f>
        <v/>
      </c>
      <c r="BH33" s="3">
        <f>React!BH26</f>
        <v/>
      </c>
      <c r="BI33" s="3">
        <f>React!BI26</f>
        <v/>
      </c>
      <c r="BJ33" s="3">
        <f>React!BJ26</f>
        <v/>
      </c>
      <c r="BK33" s="3">
        <f>React!BK26</f>
        <v/>
      </c>
      <c r="BL33" s="3">
        <f>React!BL26</f>
        <v/>
      </c>
      <c r="BM33" s="3">
        <f>React!BM26</f>
        <v/>
      </c>
      <c r="BN33" s="3">
        <f>React!BN26</f>
        <v/>
      </c>
      <c r="BO33" s="3">
        <f>React!BO26</f>
        <v/>
      </c>
      <c r="BP33" s="3">
        <f>React!BP26</f>
        <v/>
      </c>
      <c r="BQ33" s="3">
        <f>React!BQ26</f>
        <v/>
      </c>
      <c r="BR33" s="3">
        <f>React!BR26</f>
        <v/>
      </c>
      <c r="BS33" s="3">
        <f>React!BS26</f>
        <v/>
      </c>
      <c r="BT33" s="3">
        <f>React!BT26</f>
        <v/>
      </c>
      <c r="BU33" s="3">
        <f>React!BU26</f>
        <v/>
      </c>
      <c r="BV33" s="3">
        <f>React!BV26</f>
        <v/>
      </c>
    </row>
    <row r="34">
      <c r="A34" t="inlineStr">
        <is>
          <t>churned</t>
        </is>
      </c>
      <c r="B34" t="inlineStr">
        <is>
          <t>US_CA|BASIC_A</t>
        </is>
      </c>
      <c r="C34" s="3">
        <f>Legacy!C19+Paid!C17+React!C29+Params!$B$9*Adds!C41</f>
        <v/>
      </c>
      <c r="D34" s="3">
        <f>Legacy!D19+Paid!D17+React!D29+Params!$B$9*Adds!D41</f>
        <v/>
      </c>
      <c r="E34" s="3">
        <f>Legacy!E19+Paid!E17+React!E29+Params!$B$9*Adds!E41</f>
        <v/>
      </c>
      <c r="F34" s="3">
        <f>Legacy!F19+Paid!F17+React!F29+Params!$B$9*Adds!F41</f>
        <v/>
      </c>
      <c r="G34" s="3">
        <f>Legacy!G19+Paid!G17+React!G29+Params!$B$9*Adds!G41</f>
        <v/>
      </c>
      <c r="H34" s="3">
        <f>Legacy!H19+Paid!H17+React!H29+Params!$B$9*Adds!H41</f>
        <v/>
      </c>
      <c r="I34" s="3">
        <f>Legacy!I19+Paid!I17+React!I29+Params!$B$9*Adds!I41</f>
        <v/>
      </c>
      <c r="J34" s="3">
        <f>Legacy!J19+Paid!J17+React!J29+Params!$B$9*Adds!J41</f>
        <v/>
      </c>
      <c r="K34" s="3">
        <f>Legacy!K19+Paid!K17+React!K29+Params!$B$9*Adds!K41</f>
        <v/>
      </c>
      <c r="L34" s="3">
        <f>Legacy!L19+Paid!L17+React!L29+Params!$B$9*Adds!L41</f>
        <v/>
      </c>
      <c r="M34" s="3">
        <f>Legacy!M19+Paid!M17+React!M29+Params!$B$9*Adds!M41</f>
        <v/>
      </c>
      <c r="N34" s="3">
        <f>Legacy!N19+Paid!N17+React!N29+Params!$B$9*Adds!N41</f>
        <v/>
      </c>
      <c r="O34" s="3">
        <f>Legacy!O19+Paid!O17+React!O29+Params!$B$9*Adds!O41</f>
        <v/>
      </c>
      <c r="P34" s="3">
        <f>Legacy!P19+Paid!P17+React!P29+Params!$B$9*Adds!P41</f>
        <v/>
      </c>
      <c r="Q34" s="3">
        <f>Legacy!Q19+Paid!Q17+React!Q29+Params!$B$9*Adds!Q41</f>
        <v/>
      </c>
      <c r="R34" s="3">
        <f>Legacy!R19+Paid!R17+React!R29+Params!$B$9*Adds!R41</f>
        <v/>
      </c>
      <c r="S34" s="3">
        <f>Legacy!S19+Paid!S17+React!S29+Params!$B$9*Adds!S41</f>
        <v/>
      </c>
      <c r="T34" s="3">
        <f>Legacy!T19+Paid!T17+React!T29+Params!$B$9*Adds!T41</f>
        <v/>
      </c>
      <c r="U34" s="3">
        <f>Legacy!U19+Paid!U17+React!U29+Params!$B$9*Adds!U41</f>
        <v/>
      </c>
      <c r="V34" s="3">
        <f>Legacy!V19+Paid!V17+React!V29+Params!$B$9*Adds!V41</f>
        <v/>
      </c>
      <c r="W34" s="3">
        <f>Legacy!W19+Paid!W17+React!W29+Params!$B$9*Adds!W41</f>
        <v/>
      </c>
      <c r="X34" s="3">
        <f>Legacy!X19+Paid!X17+React!X29+Params!$B$9*Adds!X41</f>
        <v/>
      </c>
      <c r="Y34" s="3">
        <f>Legacy!Y19+Paid!Y17+React!Y29+Params!$B$9*Adds!Y41</f>
        <v/>
      </c>
      <c r="Z34" s="3">
        <f>Legacy!Z19+Paid!Z17+React!Z29+Params!$B$9*Adds!Z41</f>
        <v/>
      </c>
      <c r="AA34" s="3">
        <f>Legacy!AA19+Paid!AA17+React!AA29+Params!$B$9*Adds!AA41</f>
        <v/>
      </c>
      <c r="AB34" s="3">
        <f>Legacy!AB19+Paid!AB17+React!AB29+Params!$B$9*Adds!AB41</f>
        <v/>
      </c>
      <c r="AC34" s="3">
        <f>Legacy!AC19+Paid!AC17+React!AC29+Params!$B$9*Adds!AC41</f>
        <v/>
      </c>
      <c r="AD34" s="3">
        <f>Legacy!AD19+Paid!AD17+React!AD29+Params!$B$9*Adds!AD41</f>
        <v/>
      </c>
      <c r="AE34" s="3">
        <f>Legacy!AE19+Paid!AE17+React!AE29+Params!$B$9*Adds!AE41</f>
        <v/>
      </c>
      <c r="AF34" s="3">
        <f>Legacy!AF19+Paid!AF17+React!AF29+Params!$B$9*Adds!AF41</f>
        <v/>
      </c>
      <c r="AG34" s="3">
        <f>Legacy!AG19+Paid!AG17+React!AG29+Params!$B$9*Adds!AG41</f>
        <v/>
      </c>
      <c r="AH34" s="3">
        <f>Legacy!AH19+Paid!AH17+React!AH29+Params!$B$9*Adds!AH41</f>
        <v/>
      </c>
      <c r="AI34" s="3">
        <f>Legacy!AI19+Paid!AI17+React!AI29+Params!$B$9*Adds!AI41</f>
        <v/>
      </c>
      <c r="AJ34" s="3">
        <f>Legacy!AJ19+Paid!AJ17+React!AJ29+Params!$B$9*Adds!AJ41</f>
        <v/>
      </c>
      <c r="AK34" s="3">
        <f>Legacy!AK19+Paid!AK17+React!AK29+Params!$B$9*Adds!AK41</f>
        <v/>
      </c>
      <c r="AL34" s="3">
        <f>Legacy!AL19+Paid!AL17+React!AL29+Params!$B$9*Adds!AL41</f>
        <v/>
      </c>
      <c r="AM34" s="3">
        <f>Legacy!AM19+Paid!AM17+React!AM29+Params!$B$9*Adds!AM41</f>
        <v/>
      </c>
      <c r="AN34" s="3">
        <f>Legacy!AN19+Paid!AN17+React!AN29+Params!$B$9*Adds!AN41</f>
        <v/>
      </c>
      <c r="AO34" s="3">
        <f>Legacy!AO19+Paid!AO17+React!AO29+Params!$B$9*Adds!AO41</f>
        <v/>
      </c>
      <c r="AP34" s="3">
        <f>Legacy!AP19+Paid!AP17+React!AP29+Params!$B$9*Adds!AP41</f>
        <v/>
      </c>
      <c r="AQ34" s="3">
        <f>Legacy!AQ19+Paid!AQ17+React!AQ29+Params!$B$9*Adds!AQ41</f>
        <v/>
      </c>
      <c r="AR34" s="3">
        <f>Legacy!AR19+Paid!AR17+React!AR29+Params!$B$9*Adds!AR41</f>
        <v/>
      </c>
      <c r="AS34" s="3">
        <f>Legacy!AS19+Paid!AS17+React!AS29+Params!$B$9*Adds!AS41</f>
        <v/>
      </c>
      <c r="AT34" s="3">
        <f>Legacy!AT19+Paid!AT17+React!AT29+Params!$B$9*Adds!AT41</f>
        <v/>
      </c>
      <c r="AU34" s="3">
        <f>Legacy!AU19+Paid!AU17+React!AU29+Params!$B$9*Adds!AU41</f>
        <v/>
      </c>
      <c r="AV34" s="3">
        <f>Legacy!AV19+Paid!AV17+React!AV29+Params!$B$9*Adds!AV41</f>
        <v/>
      </c>
      <c r="AW34" s="3">
        <f>Legacy!AW19+Paid!AW17+React!AW29+Params!$B$9*Adds!AW41</f>
        <v/>
      </c>
      <c r="AX34" s="3">
        <f>Legacy!AX19+Paid!AX17+React!AX29+Params!$B$9*Adds!AX41</f>
        <v/>
      </c>
      <c r="AY34" s="3">
        <f>Legacy!AY19+Paid!AY17+React!AY29+Params!$B$9*Adds!AY41</f>
        <v/>
      </c>
      <c r="AZ34" s="3">
        <f>Legacy!AZ19+Paid!AZ17+React!AZ29+Params!$B$9*Adds!AZ41</f>
        <v/>
      </c>
      <c r="BA34" s="3">
        <f>Legacy!BA19+Paid!BA17+React!BA29+Params!$B$9*Adds!BA41</f>
        <v/>
      </c>
      <c r="BB34" s="3">
        <f>Legacy!BB19+Paid!BB17+React!BB29+Params!$B$9*Adds!BB41</f>
        <v/>
      </c>
      <c r="BC34" s="3">
        <f>Legacy!BC19+Paid!BC17+React!BC29+Params!$B$9*Adds!BC41</f>
        <v/>
      </c>
      <c r="BD34" s="3">
        <f>Legacy!BD19+Paid!BD17+React!BD29+Params!$B$9*Adds!BD41</f>
        <v/>
      </c>
      <c r="BE34" s="3">
        <f>Legacy!BE19+Paid!BE17+React!BE29+Params!$B$9*Adds!BE41</f>
        <v/>
      </c>
      <c r="BF34" s="3">
        <f>Legacy!BF19+Paid!BF17+React!BF29+Params!$B$9*Adds!BF41</f>
        <v/>
      </c>
      <c r="BG34" s="3">
        <f>Legacy!BG19+Paid!BG17+React!BG29+Params!$B$9*Adds!BG41</f>
        <v/>
      </c>
      <c r="BH34" s="3">
        <f>Legacy!BH19+Paid!BH17+React!BH29+Params!$B$9*Adds!BH41</f>
        <v/>
      </c>
      <c r="BI34" s="3">
        <f>Legacy!BI19+Paid!BI17+React!BI29+Params!$B$9*Adds!BI41</f>
        <v/>
      </c>
      <c r="BJ34" s="3">
        <f>Legacy!BJ19+Paid!BJ17+React!BJ29+Params!$B$9*Adds!BJ41</f>
        <v/>
      </c>
      <c r="BK34" s="3">
        <f>Legacy!BK19+Paid!BK17+React!BK29+Params!$B$9*Adds!BK41</f>
        <v/>
      </c>
      <c r="BL34" s="3">
        <f>Legacy!BL19+Paid!BL17+React!BL29+Params!$B$9*Adds!BL41</f>
        <v/>
      </c>
      <c r="BM34" s="3">
        <f>Legacy!BM19+Paid!BM17+React!BM29+Params!$B$9*Adds!BM41</f>
        <v/>
      </c>
      <c r="BN34" s="3">
        <f>Legacy!BN19+Paid!BN17+React!BN29+Params!$B$9*Adds!BN41</f>
        <v/>
      </c>
      <c r="BO34" s="3">
        <f>Legacy!BO19+Paid!BO17+React!BO29+Params!$B$9*Adds!BO41</f>
        <v/>
      </c>
      <c r="BP34" s="3">
        <f>Legacy!BP19+Paid!BP17+React!BP29+Params!$B$9*Adds!BP41</f>
        <v/>
      </c>
      <c r="BQ34" s="3">
        <f>Legacy!BQ19+Paid!BQ17+React!BQ29+Params!$B$9*Adds!BQ41</f>
        <v/>
      </c>
      <c r="BR34" s="3">
        <f>Legacy!BR19+Paid!BR17+React!BR29+Params!$B$9*Adds!BR41</f>
        <v/>
      </c>
      <c r="BS34" s="3">
        <f>Legacy!BS19+Paid!BS17+React!BS29+Params!$B$9*Adds!BS41</f>
        <v/>
      </c>
      <c r="BT34" s="3">
        <f>Legacy!BT19+Paid!BT17+React!BT29+Params!$B$9*Adds!BT41</f>
        <v/>
      </c>
      <c r="BU34" s="3">
        <f>Legacy!BU19+Paid!BU17+React!BU29+Params!$B$9*Adds!BU41</f>
        <v/>
      </c>
      <c r="BV34" s="3">
        <f>Legacy!BV19+Paid!BV17+React!BV29+Params!$B$9*Adds!BV41</f>
        <v/>
      </c>
    </row>
    <row r="35">
      <c r="A35" t="inlineStr">
        <is>
          <t>closing</t>
        </is>
      </c>
      <c r="B35" t="inlineStr">
        <is>
          <t>US_CA|BASIC_A</t>
        </is>
      </c>
      <c r="C35" s="3">
        <f>C36+Params!$B$9*Adds!C44</f>
        <v/>
      </c>
      <c r="D35" s="3">
        <f>D36+Params!$B$9*Adds!D44</f>
        <v/>
      </c>
      <c r="E35" s="3">
        <f>E36+Params!$B$9*Adds!E44</f>
        <v/>
      </c>
      <c r="F35" s="3">
        <f>F36+Params!$B$9*Adds!F44</f>
        <v/>
      </c>
      <c r="G35" s="3">
        <f>G36+Params!$B$9*Adds!G44</f>
        <v/>
      </c>
      <c r="H35" s="3">
        <f>H36+Params!$B$9*Adds!H44</f>
        <v/>
      </c>
      <c r="I35" s="3">
        <f>I36+Params!$B$9*Adds!I44</f>
        <v/>
      </c>
      <c r="J35" s="3">
        <f>J36+Params!$B$9*Adds!J44</f>
        <v/>
      </c>
      <c r="K35" s="3">
        <f>K36+Params!$B$9*Adds!K44</f>
        <v/>
      </c>
      <c r="L35" s="3">
        <f>L36+Params!$B$9*Adds!L44</f>
        <v/>
      </c>
      <c r="M35" s="3">
        <f>M36+Params!$B$9*Adds!M44</f>
        <v/>
      </c>
      <c r="N35" s="3">
        <f>N36+Params!$B$9*Adds!N44</f>
        <v/>
      </c>
      <c r="O35" s="3">
        <f>O36+Params!$B$9*Adds!O44</f>
        <v/>
      </c>
      <c r="P35" s="3">
        <f>P36+Params!$B$9*Adds!P44</f>
        <v/>
      </c>
      <c r="Q35" s="3">
        <f>Q36+Params!$B$9*Adds!Q44</f>
        <v/>
      </c>
      <c r="R35" s="3">
        <f>R36+Params!$B$9*Adds!R44</f>
        <v/>
      </c>
      <c r="S35" s="3">
        <f>S36+Params!$B$9*Adds!S44</f>
        <v/>
      </c>
      <c r="T35" s="3">
        <f>T36+Params!$B$9*Adds!T44</f>
        <v/>
      </c>
      <c r="U35" s="3">
        <f>U36+Params!$B$9*Adds!U44</f>
        <v/>
      </c>
      <c r="V35" s="3">
        <f>V36+Params!$B$9*Adds!V44</f>
        <v/>
      </c>
      <c r="W35" s="3">
        <f>W36+Params!$B$9*Adds!W44</f>
        <v/>
      </c>
      <c r="X35" s="3">
        <f>X36+Params!$B$9*Adds!X44</f>
        <v/>
      </c>
      <c r="Y35" s="3">
        <f>Y36+Params!$B$9*Adds!Y44</f>
        <v/>
      </c>
      <c r="Z35" s="3">
        <f>Z36+Params!$B$9*Adds!Z44</f>
        <v/>
      </c>
      <c r="AA35" s="3">
        <f>AA36+Params!$B$9*Adds!AA44</f>
        <v/>
      </c>
      <c r="AB35" s="3">
        <f>AB36+Params!$B$9*Adds!AB44</f>
        <v/>
      </c>
      <c r="AC35" s="3">
        <f>AC36+Params!$B$9*Adds!AC44</f>
        <v/>
      </c>
      <c r="AD35" s="3">
        <f>AD36+Params!$B$9*Adds!AD44</f>
        <v/>
      </c>
      <c r="AE35" s="3">
        <f>AE36+Params!$B$9*Adds!AE44</f>
        <v/>
      </c>
      <c r="AF35" s="3">
        <f>AF36+Params!$B$9*Adds!AF44</f>
        <v/>
      </c>
      <c r="AG35" s="3">
        <f>AG36+Params!$B$9*Adds!AG44</f>
        <v/>
      </c>
      <c r="AH35" s="3">
        <f>AH36+Params!$B$9*Adds!AH44</f>
        <v/>
      </c>
      <c r="AI35" s="3">
        <f>AI36+Params!$B$9*Adds!AI44</f>
        <v/>
      </c>
      <c r="AJ35" s="3">
        <f>AJ36+Params!$B$9*Adds!AJ44</f>
        <v/>
      </c>
      <c r="AK35" s="3">
        <f>AK36+Params!$B$9*Adds!AK44</f>
        <v/>
      </c>
      <c r="AL35" s="3">
        <f>AL36+Params!$B$9*Adds!AL44</f>
        <v/>
      </c>
      <c r="AM35" s="3">
        <f>AM36+Params!$B$9*Adds!AM44</f>
        <v/>
      </c>
      <c r="AN35" s="3">
        <f>AN36+Params!$B$9*Adds!AN44</f>
        <v/>
      </c>
      <c r="AO35" s="3">
        <f>AO36+Params!$B$9*Adds!AO44</f>
        <v/>
      </c>
      <c r="AP35" s="3">
        <f>AP36+Params!$B$9*Adds!AP44</f>
        <v/>
      </c>
      <c r="AQ35" s="3">
        <f>AQ36+Params!$B$9*Adds!AQ44</f>
        <v/>
      </c>
      <c r="AR35" s="3">
        <f>AR36+Params!$B$9*Adds!AR44</f>
        <v/>
      </c>
      <c r="AS35" s="3">
        <f>AS36+Params!$B$9*Adds!AS44</f>
        <v/>
      </c>
      <c r="AT35" s="3">
        <f>AT36+Params!$B$9*Adds!AT44</f>
        <v/>
      </c>
      <c r="AU35" s="3">
        <f>AU36+Params!$B$9*Adds!AU44</f>
        <v/>
      </c>
      <c r="AV35" s="3">
        <f>AV36+Params!$B$9*Adds!AV44</f>
        <v/>
      </c>
      <c r="AW35" s="3">
        <f>AW36+Params!$B$9*Adds!AW44</f>
        <v/>
      </c>
      <c r="AX35" s="3">
        <f>AX36+Params!$B$9*Adds!AX44</f>
        <v/>
      </c>
      <c r="AY35" s="3">
        <f>AY36+Params!$B$9*Adds!AY44</f>
        <v/>
      </c>
      <c r="AZ35" s="3">
        <f>AZ36+Params!$B$9*Adds!AZ44</f>
        <v/>
      </c>
      <c r="BA35" s="3">
        <f>BA36+Params!$B$9*Adds!BA44</f>
        <v/>
      </c>
      <c r="BB35" s="3">
        <f>BB36+Params!$B$9*Adds!BB44</f>
        <v/>
      </c>
      <c r="BC35" s="3">
        <f>BC36+Params!$B$9*Adds!BC44</f>
        <v/>
      </c>
      <c r="BD35" s="3">
        <f>BD36+Params!$B$9*Adds!BD44</f>
        <v/>
      </c>
      <c r="BE35" s="3">
        <f>BE36+Params!$B$9*Adds!BE44</f>
        <v/>
      </c>
      <c r="BF35" s="3">
        <f>BF36+Params!$B$9*Adds!BF44</f>
        <v/>
      </c>
      <c r="BG35" s="3">
        <f>BG36+Params!$B$9*Adds!BG44</f>
        <v/>
      </c>
      <c r="BH35" s="3">
        <f>BH36+Params!$B$9*Adds!BH44</f>
        <v/>
      </c>
      <c r="BI35" s="3">
        <f>BI36+Params!$B$9*Adds!BI44</f>
        <v/>
      </c>
      <c r="BJ35" s="3">
        <f>BJ36+Params!$B$9*Adds!BJ44</f>
        <v/>
      </c>
      <c r="BK35" s="3">
        <f>BK36+Params!$B$9*Adds!BK44</f>
        <v/>
      </c>
      <c r="BL35" s="3">
        <f>BL36+Params!$B$9*Adds!BL44</f>
        <v/>
      </c>
      <c r="BM35" s="3">
        <f>BM36+Params!$B$9*Adds!BM44</f>
        <v/>
      </c>
      <c r="BN35" s="3">
        <f>BN36+Params!$B$9*Adds!BN44</f>
        <v/>
      </c>
      <c r="BO35" s="3">
        <f>BO36+Params!$B$9*Adds!BO44</f>
        <v/>
      </c>
      <c r="BP35" s="3">
        <f>BP36+Params!$B$9*Adds!BP44</f>
        <v/>
      </c>
      <c r="BQ35" s="3">
        <f>BQ36+Params!$B$9*Adds!BQ44</f>
        <v/>
      </c>
      <c r="BR35" s="3">
        <f>BR36+Params!$B$9*Adds!BR44</f>
        <v/>
      </c>
      <c r="BS35" s="3">
        <f>BS36+Params!$B$9*Adds!BS44</f>
        <v/>
      </c>
      <c r="BT35" s="3">
        <f>BT36+Params!$B$9*Adds!BT44</f>
        <v/>
      </c>
      <c r="BU35" s="3">
        <f>BU36+Params!$B$9*Adds!BU44</f>
        <v/>
      </c>
      <c r="BV35" s="3">
        <f>BV36+Params!$B$9*Adds!BV44</f>
        <v/>
      </c>
    </row>
    <row r="36">
      <c r="A36" t="inlineStr">
        <is>
          <t>paying</t>
        </is>
      </c>
      <c r="B36" t="inlineStr">
        <is>
          <t>US_CA|BASIC_A</t>
        </is>
      </c>
      <c r="C36" s="3">
        <f>Legacy!C18+Paid!C15+React!C27</f>
        <v/>
      </c>
      <c r="D36" s="3">
        <f>Legacy!D18+Paid!D15+React!D27</f>
        <v/>
      </c>
      <c r="E36" s="3">
        <f>Legacy!E18+Paid!E15+React!E27</f>
        <v/>
      </c>
      <c r="F36" s="3">
        <f>Legacy!F18+Paid!F15+React!F27</f>
        <v/>
      </c>
      <c r="G36" s="3">
        <f>Legacy!G18+Paid!G15+React!G27</f>
        <v/>
      </c>
      <c r="H36" s="3">
        <f>Legacy!H18+Paid!H15+React!H27</f>
        <v/>
      </c>
      <c r="I36" s="3">
        <f>Legacy!I18+Paid!I15+React!I27</f>
        <v/>
      </c>
      <c r="J36" s="3">
        <f>Legacy!J18+Paid!J15+React!J27</f>
        <v/>
      </c>
      <c r="K36" s="3">
        <f>Legacy!K18+Paid!K15+React!K27</f>
        <v/>
      </c>
      <c r="L36" s="3">
        <f>Legacy!L18+Paid!L15+React!L27</f>
        <v/>
      </c>
      <c r="M36" s="3">
        <f>Legacy!M18+Paid!M15+React!M27</f>
        <v/>
      </c>
      <c r="N36" s="3">
        <f>Legacy!N18+Paid!N15+React!N27</f>
        <v/>
      </c>
      <c r="O36" s="3">
        <f>Legacy!O18+Paid!O15+React!O27</f>
        <v/>
      </c>
      <c r="P36" s="3">
        <f>Legacy!P18+Paid!P15+React!P27</f>
        <v/>
      </c>
      <c r="Q36" s="3">
        <f>Legacy!Q18+Paid!Q15+React!Q27</f>
        <v/>
      </c>
      <c r="R36" s="3">
        <f>Legacy!R18+Paid!R15+React!R27</f>
        <v/>
      </c>
      <c r="S36" s="3">
        <f>Legacy!S18+Paid!S15+React!S27</f>
        <v/>
      </c>
      <c r="T36" s="3">
        <f>Legacy!T18+Paid!T15+React!T27</f>
        <v/>
      </c>
      <c r="U36" s="3">
        <f>Legacy!U18+Paid!U15+React!U27</f>
        <v/>
      </c>
      <c r="V36" s="3">
        <f>Legacy!V18+Paid!V15+React!V27</f>
        <v/>
      </c>
      <c r="W36" s="3">
        <f>Legacy!W18+Paid!W15+React!W27</f>
        <v/>
      </c>
      <c r="X36" s="3">
        <f>Legacy!X18+Paid!X15+React!X27</f>
        <v/>
      </c>
      <c r="Y36" s="3">
        <f>Legacy!Y18+Paid!Y15+React!Y27</f>
        <v/>
      </c>
      <c r="Z36" s="3">
        <f>Legacy!Z18+Paid!Z15+React!Z27</f>
        <v/>
      </c>
      <c r="AA36" s="3">
        <f>Legacy!AA18+Paid!AA15+React!AA27</f>
        <v/>
      </c>
      <c r="AB36" s="3">
        <f>Legacy!AB18+Paid!AB15+React!AB27</f>
        <v/>
      </c>
      <c r="AC36" s="3">
        <f>Legacy!AC18+Paid!AC15+React!AC27</f>
        <v/>
      </c>
      <c r="AD36" s="3">
        <f>Legacy!AD18+Paid!AD15+React!AD27</f>
        <v/>
      </c>
      <c r="AE36" s="3">
        <f>Legacy!AE18+Paid!AE15+React!AE27</f>
        <v/>
      </c>
      <c r="AF36" s="3">
        <f>Legacy!AF18+Paid!AF15+React!AF27</f>
        <v/>
      </c>
      <c r="AG36" s="3">
        <f>Legacy!AG18+Paid!AG15+React!AG27</f>
        <v/>
      </c>
      <c r="AH36" s="3">
        <f>Legacy!AH18+Paid!AH15+React!AH27</f>
        <v/>
      </c>
      <c r="AI36" s="3">
        <f>Legacy!AI18+Paid!AI15+React!AI27</f>
        <v/>
      </c>
      <c r="AJ36" s="3">
        <f>Legacy!AJ18+Paid!AJ15+React!AJ27</f>
        <v/>
      </c>
      <c r="AK36" s="3">
        <f>Legacy!AK18+Paid!AK15+React!AK27</f>
        <v/>
      </c>
      <c r="AL36" s="3">
        <f>Legacy!AL18+Paid!AL15+React!AL27</f>
        <v/>
      </c>
      <c r="AM36" s="3">
        <f>Legacy!AM18+Paid!AM15+React!AM27</f>
        <v/>
      </c>
      <c r="AN36" s="3">
        <f>Legacy!AN18+Paid!AN15+React!AN27</f>
        <v/>
      </c>
      <c r="AO36" s="3">
        <f>Legacy!AO18+Paid!AO15+React!AO27</f>
        <v/>
      </c>
      <c r="AP36" s="3">
        <f>Legacy!AP18+Paid!AP15+React!AP27</f>
        <v/>
      </c>
      <c r="AQ36" s="3">
        <f>Legacy!AQ18+Paid!AQ15+React!AQ27</f>
        <v/>
      </c>
      <c r="AR36" s="3">
        <f>Legacy!AR18+Paid!AR15+React!AR27</f>
        <v/>
      </c>
      <c r="AS36" s="3">
        <f>Legacy!AS18+Paid!AS15+React!AS27</f>
        <v/>
      </c>
      <c r="AT36" s="3">
        <f>Legacy!AT18+Paid!AT15+React!AT27</f>
        <v/>
      </c>
      <c r="AU36" s="3">
        <f>Legacy!AU18+Paid!AU15+React!AU27</f>
        <v/>
      </c>
      <c r="AV36" s="3">
        <f>Legacy!AV18+Paid!AV15+React!AV27</f>
        <v/>
      </c>
      <c r="AW36" s="3">
        <f>Legacy!AW18+Paid!AW15+React!AW27</f>
        <v/>
      </c>
      <c r="AX36" s="3">
        <f>Legacy!AX18+Paid!AX15+React!AX27</f>
        <v/>
      </c>
      <c r="AY36" s="3">
        <f>Legacy!AY18+Paid!AY15+React!AY27</f>
        <v/>
      </c>
      <c r="AZ36" s="3">
        <f>Legacy!AZ18+Paid!AZ15+React!AZ27</f>
        <v/>
      </c>
      <c r="BA36" s="3">
        <f>Legacy!BA18+Paid!BA15+React!BA27</f>
        <v/>
      </c>
      <c r="BB36" s="3">
        <f>Legacy!BB18+Paid!BB15+React!BB27</f>
        <v/>
      </c>
      <c r="BC36" s="3">
        <f>Legacy!BC18+Paid!BC15+React!BC27</f>
        <v/>
      </c>
      <c r="BD36" s="3">
        <f>Legacy!BD18+Paid!BD15+React!BD27</f>
        <v/>
      </c>
      <c r="BE36" s="3">
        <f>Legacy!BE18+Paid!BE15+React!BE27</f>
        <v/>
      </c>
      <c r="BF36" s="3">
        <f>Legacy!BF18+Paid!BF15+React!BF27</f>
        <v/>
      </c>
      <c r="BG36" s="3">
        <f>Legacy!BG18+Paid!BG15+React!BG27</f>
        <v/>
      </c>
      <c r="BH36" s="3">
        <f>Legacy!BH18+Paid!BH15+React!BH27</f>
        <v/>
      </c>
      <c r="BI36" s="3">
        <f>Legacy!BI18+Paid!BI15+React!BI27</f>
        <v/>
      </c>
      <c r="BJ36" s="3">
        <f>Legacy!BJ18+Paid!BJ15+React!BJ27</f>
        <v/>
      </c>
      <c r="BK36" s="3">
        <f>Legacy!BK18+Paid!BK15+React!BK27</f>
        <v/>
      </c>
      <c r="BL36" s="3">
        <f>Legacy!BL18+Paid!BL15+React!BL27</f>
        <v/>
      </c>
      <c r="BM36" s="3">
        <f>Legacy!BM18+Paid!BM15+React!BM27</f>
        <v/>
      </c>
      <c r="BN36" s="3">
        <f>Legacy!BN18+Paid!BN15+React!BN27</f>
        <v/>
      </c>
      <c r="BO36" s="3">
        <f>Legacy!BO18+Paid!BO15+React!BO27</f>
        <v/>
      </c>
      <c r="BP36" s="3">
        <f>Legacy!BP18+Paid!BP15+React!BP27</f>
        <v/>
      </c>
      <c r="BQ36" s="3">
        <f>Legacy!BQ18+Paid!BQ15+React!BQ27</f>
        <v/>
      </c>
      <c r="BR36" s="3">
        <f>Legacy!BR18+Paid!BR15+React!BR27</f>
        <v/>
      </c>
      <c r="BS36" s="3">
        <f>Legacy!BS18+Paid!BS15+React!BS27</f>
        <v/>
      </c>
      <c r="BT36" s="3">
        <f>Legacy!BT18+Paid!BT15+React!BT27</f>
        <v/>
      </c>
      <c r="BU36" s="3">
        <f>Legacy!BU18+Paid!BU15+React!BU27</f>
        <v/>
      </c>
      <c r="BV36" s="3">
        <f>Legacy!BV18+Paid!BV15+React!BV27</f>
        <v/>
      </c>
    </row>
    <row r="38">
      <c r="A38" t="inlineStr">
        <is>
          <t>opening</t>
        </is>
      </c>
      <c r="B38" t="inlineStr">
        <is>
          <t>EUROPE|NITRO_M</t>
        </is>
      </c>
      <c r="C38" s="3">
        <f>Legacy!$C$21</f>
        <v/>
      </c>
      <c r="D38" s="3">
        <f>C42</f>
        <v/>
      </c>
      <c r="E38" s="3">
        <f>D42</f>
        <v/>
      </c>
      <c r="F38" s="3">
        <f>E42</f>
        <v/>
      </c>
      <c r="G38" s="3">
        <f>F42</f>
        <v/>
      </c>
      <c r="H38" s="3">
        <f>G42</f>
        <v/>
      </c>
      <c r="I38" s="3">
        <f>H42</f>
        <v/>
      </c>
      <c r="J38" s="3">
        <f>I42</f>
        <v/>
      </c>
      <c r="K38" s="3">
        <f>J42</f>
        <v/>
      </c>
      <c r="L38" s="3">
        <f>K42</f>
        <v/>
      </c>
      <c r="M38" s="3">
        <f>L42</f>
        <v/>
      </c>
      <c r="N38" s="3">
        <f>M42</f>
        <v/>
      </c>
      <c r="O38" s="3">
        <f>N42</f>
        <v/>
      </c>
      <c r="P38" s="3">
        <f>O42</f>
        <v/>
      </c>
      <c r="Q38" s="3">
        <f>P42</f>
        <v/>
      </c>
      <c r="R38" s="3">
        <f>Q42</f>
        <v/>
      </c>
      <c r="S38" s="3">
        <f>R42</f>
        <v/>
      </c>
      <c r="T38" s="3">
        <f>S42</f>
        <v/>
      </c>
      <c r="U38" s="3">
        <f>T42</f>
        <v/>
      </c>
      <c r="V38" s="3">
        <f>U42</f>
        <v/>
      </c>
      <c r="W38" s="3">
        <f>V42</f>
        <v/>
      </c>
      <c r="X38" s="3">
        <f>W42</f>
        <v/>
      </c>
      <c r="Y38" s="3">
        <f>X42</f>
        <v/>
      </c>
      <c r="Z38" s="3">
        <f>Y42</f>
        <v/>
      </c>
      <c r="AA38" s="3">
        <f>Z42</f>
        <v/>
      </c>
      <c r="AB38" s="3">
        <f>AA42</f>
        <v/>
      </c>
      <c r="AC38" s="3">
        <f>AB42</f>
        <v/>
      </c>
      <c r="AD38" s="3">
        <f>AC42</f>
        <v/>
      </c>
      <c r="AE38" s="3">
        <f>AD42</f>
        <v/>
      </c>
      <c r="AF38" s="3">
        <f>AE42</f>
        <v/>
      </c>
      <c r="AG38" s="3">
        <f>AF42</f>
        <v/>
      </c>
      <c r="AH38" s="3">
        <f>AG42</f>
        <v/>
      </c>
      <c r="AI38" s="3">
        <f>AH42</f>
        <v/>
      </c>
      <c r="AJ38" s="3">
        <f>AI42</f>
        <v/>
      </c>
      <c r="AK38" s="3">
        <f>AJ42</f>
        <v/>
      </c>
      <c r="AL38" s="3">
        <f>AK42</f>
        <v/>
      </c>
      <c r="AM38" s="3">
        <f>AL42</f>
        <v/>
      </c>
      <c r="AN38" s="3">
        <f>AM42</f>
        <v/>
      </c>
      <c r="AO38" s="3">
        <f>AN42</f>
        <v/>
      </c>
      <c r="AP38" s="3">
        <f>AO42</f>
        <v/>
      </c>
      <c r="AQ38" s="3">
        <f>AP42</f>
        <v/>
      </c>
      <c r="AR38" s="3">
        <f>AQ42</f>
        <v/>
      </c>
      <c r="AS38" s="3">
        <f>AR42</f>
        <v/>
      </c>
      <c r="AT38" s="3">
        <f>AS42</f>
        <v/>
      </c>
      <c r="AU38" s="3">
        <f>AT42</f>
        <v/>
      </c>
      <c r="AV38" s="3">
        <f>AU42</f>
        <v/>
      </c>
      <c r="AW38" s="3">
        <f>AV42</f>
        <v/>
      </c>
      <c r="AX38" s="3">
        <f>AW42</f>
        <v/>
      </c>
      <c r="AY38" s="3">
        <f>AX42</f>
        <v/>
      </c>
      <c r="AZ38" s="3">
        <f>AY42</f>
        <v/>
      </c>
      <c r="BA38" s="3">
        <f>AZ42</f>
        <v/>
      </c>
      <c r="BB38" s="3">
        <f>BA42</f>
        <v/>
      </c>
      <c r="BC38" s="3">
        <f>BB42</f>
        <v/>
      </c>
      <c r="BD38" s="3">
        <f>BC42</f>
        <v/>
      </c>
      <c r="BE38" s="3">
        <f>BD42</f>
        <v/>
      </c>
      <c r="BF38" s="3">
        <f>BE42</f>
        <v/>
      </c>
      <c r="BG38" s="3">
        <f>BF42</f>
        <v/>
      </c>
      <c r="BH38" s="3">
        <f>BG42</f>
        <v/>
      </c>
      <c r="BI38" s="3">
        <f>BH42</f>
        <v/>
      </c>
      <c r="BJ38" s="3">
        <f>BI42</f>
        <v/>
      </c>
      <c r="BK38" s="3">
        <f>BJ42</f>
        <v/>
      </c>
      <c r="BL38" s="3">
        <f>BK42</f>
        <v/>
      </c>
      <c r="BM38" s="3">
        <f>BL42</f>
        <v/>
      </c>
      <c r="BN38" s="3">
        <f>BM42</f>
        <v/>
      </c>
      <c r="BO38" s="3">
        <f>BN42</f>
        <v/>
      </c>
      <c r="BP38" s="3">
        <f>BO42</f>
        <v/>
      </c>
      <c r="BQ38" s="3">
        <f>BP42</f>
        <v/>
      </c>
      <c r="BR38" s="3">
        <f>BQ42</f>
        <v/>
      </c>
      <c r="BS38" s="3">
        <f>BR42</f>
        <v/>
      </c>
      <c r="BT38" s="3">
        <f>BS42</f>
        <v/>
      </c>
      <c r="BU38" s="3">
        <f>BT42</f>
        <v/>
      </c>
      <c r="BV38" s="3">
        <f>BU42</f>
        <v/>
      </c>
    </row>
    <row r="39">
      <c r="A39" t="inlineStr">
        <is>
          <t>new</t>
        </is>
      </c>
      <c r="B39" t="inlineStr">
        <is>
          <t>EUROPE|NITRO_M</t>
        </is>
      </c>
      <c r="C39" s="3">
        <f>Adds!C49+IF(Params!$B$9=1,Adds!C48,Adds!C51)</f>
        <v/>
      </c>
      <c r="D39" s="3">
        <f>Adds!D49+IF(Params!$B$9=1,Adds!D48,Adds!D51)</f>
        <v/>
      </c>
      <c r="E39" s="3">
        <f>Adds!E49+IF(Params!$B$9=1,Adds!E48,Adds!E51)</f>
        <v/>
      </c>
      <c r="F39" s="3">
        <f>Adds!F49+IF(Params!$B$9=1,Adds!F48,Adds!F51)</f>
        <v/>
      </c>
      <c r="G39" s="3">
        <f>Adds!G49+IF(Params!$B$9=1,Adds!G48,Adds!G51)</f>
        <v/>
      </c>
      <c r="H39" s="3">
        <f>Adds!H49+IF(Params!$B$9=1,Adds!H48,Adds!H51)</f>
        <v/>
      </c>
      <c r="I39" s="3">
        <f>Adds!I49+IF(Params!$B$9=1,Adds!I48,Adds!I51)</f>
        <v/>
      </c>
      <c r="J39" s="3">
        <f>Adds!J49+IF(Params!$B$9=1,Adds!J48,Adds!J51)</f>
        <v/>
      </c>
      <c r="K39" s="3">
        <f>Adds!K49+IF(Params!$B$9=1,Adds!K48,Adds!K51)</f>
        <v/>
      </c>
      <c r="L39" s="3">
        <f>Adds!L49+IF(Params!$B$9=1,Adds!L48,Adds!L51)</f>
        <v/>
      </c>
      <c r="M39" s="3">
        <f>Adds!M49+IF(Params!$B$9=1,Adds!M48,Adds!M51)</f>
        <v/>
      </c>
      <c r="N39" s="3">
        <f>Adds!N49+IF(Params!$B$9=1,Adds!N48,Adds!N51)</f>
        <v/>
      </c>
      <c r="O39" s="3">
        <f>Adds!O49+IF(Params!$B$9=1,Adds!O48,Adds!O51)</f>
        <v/>
      </c>
      <c r="P39" s="3">
        <f>Adds!P49+IF(Params!$B$9=1,Adds!P48,Adds!P51)</f>
        <v/>
      </c>
      <c r="Q39" s="3">
        <f>Adds!Q49+IF(Params!$B$9=1,Adds!Q48,Adds!Q51)</f>
        <v/>
      </c>
      <c r="R39" s="3">
        <f>Adds!R49+IF(Params!$B$9=1,Adds!R48,Adds!R51)</f>
        <v/>
      </c>
      <c r="S39" s="3">
        <f>Adds!S49+IF(Params!$B$9=1,Adds!S48,Adds!S51)</f>
        <v/>
      </c>
      <c r="T39" s="3">
        <f>Adds!T49+IF(Params!$B$9=1,Adds!T48,Adds!T51)</f>
        <v/>
      </c>
      <c r="U39" s="3">
        <f>Adds!U49+IF(Params!$B$9=1,Adds!U48,Adds!U51)</f>
        <v/>
      </c>
      <c r="V39" s="3">
        <f>Adds!V49+IF(Params!$B$9=1,Adds!V48,Adds!V51)</f>
        <v/>
      </c>
      <c r="W39" s="3">
        <f>Adds!W49+IF(Params!$B$9=1,Adds!W48,Adds!W51)</f>
        <v/>
      </c>
      <c r="X39" s="3">
        <f>Adds!X49+IF(Params!$B$9=1,Adds!X48,Adds!X51)</f>
        <v/>
      </c>
      <c r="Y39" s="3">
        <f>Adds!Y49+IF(Params!$B$9=1,Adds!Y48,Adds!Y51)</f>
        <v/>
      </c>
      <c r="Z39" s="3">
        <f>Adds!Z49+IF(Params!$B$9=1,Adds!Z48,Adds!Z51)</f>
        <v/>
      </c>
      <c r="AA39" s="3">
        <f>Adds!AA49+IF(Params!$B$9=1,Adds!AA48,Adds!AA51)</f>
        <v/>
      </c>
      <c r="AB39" s="3">
        <f>Adds!AB49+IF(Params!$B$9=1,Adds!AB48,Adds!AB51)</f>
        <v/>
      </c>
      <c r="AC39" s="3">
        <f>Adds!AC49+IF(Params!$B$9=1,Adds!AC48,Adds!AC51)</f>
        <v/>
      </c>
      <c r="AD39" s="3">
        <f>Adds!AD49+IF(Params!$B$9=1,Adds!AD48,Adds!AD51)</f>
        <v/>
      </c>
      <c r="AE39" s="3">
        <f>Adds!AE49+IF(Params!$B$9=1,Adds!AE48,Adds!AE51)</f>
        <v/>
      </c>
      <c r="AF39" s="3">
        <f>Adds!AF49+IF(Params!$B$9=1,Adds!AF48,Adds!AF51)</f>
        <v/>
      </c>
      <c r="AG39" s="3">
        <f>Adds!AG49+IF(Params!$B$9=1,Adds!AG48,Adds!AG51)</f>
        <v/>
      </c>
      <c r="AH39" s="3">
        <f>Adds!AH49+IF(Params!$B$9=1,Adds!AH48,Adds!AH51)</f>
        <v/>
      </c>
      <c r="AI39" s="3">
        <f>Adds!AI49+IF(Params!$B$9=1,Adds!AI48,Adds!AI51)</f>
        <v/>
      </c>
      <c r="AJ39" s="3">
        <f>Adds!AJ49+IF(Params!$B$9=1,Adds!AJ48,Adds!AJ51)</f>
        <v/>
      </c>
      <c r="AK39" s="3">
        <f>Adds!AK49+IF(Params!$B$9=1,Adds!AK48,Adds!AK51)</f>
        <v/>
      </c>
      <c r="AL39" s="3">
        <f>Adds!AL49+IF(Params!$B$9=1,Adds!AL48,Adds!AL51)</f>
        <v/>
      </c>
      <c r="AM39" s="3">
        <f>Adds!AM49+IF(Params!$B$9=1,Adds!AM48,Adds!AM51)</f>
        <v/>
      </c>
      <c r="AN39" s="3">
        <f>Adds!AN49+IF(Params!$B$9=1,Adds!AN48,Adds!AN51)</f>
        <v/>
      </c>
      <c r="AO39" s="3">
        <f>Adds!AO49+IF(Params!$B$9=1,Adds!AO48,Adds!AO51)</f>
        <v/>
      </c>
      <c r="AP39" s="3">
        <f>Adds!AP49+IF(Params!$B$9=1,Adds!AP48,Adds!AP51)</f>
        <v/>
      </c>
      <c r="AQ39" s="3">
        <f>Adds!AQ49+IF(Params!$B$9=1,Adds!AQ48,Adds!AQ51)</f>
        <v/>
      </c>
      <c r="AR39" s="3">
        <f>Adds!AR49+IF(Params!$B$9=1,Adds!AR48,Adds!AR51)</f>
        <v/>
      </c>
      <c r="AS39" s="3">
        <f>Adds!AS49+IF(Params!$B$9=1,Adds!AS48,Adds!AS51)</f>
        <v/>
      </c>
      <c r="AT39" s="3">
        <f>Adds!AT49+IF(Params!$B$9=1,Adds!AT48,Adds!AT51)</f>
        <v/>
      </c>
      <c r="AU39" s="3">
        <f>Adds!AU49+IF(Params!$B$9=1,Adds!AU48,Adds!AU51)</f>
        <v/>
      </c>
      <c r="AV39" s="3">
        <f>Adds!AV49+IF(Params!$B$9=1,Adds!AV48,Adds!AV51)</f>
        <v/>
      </c>
      <c r="AW39" s="3">
        <f>Adds!AW49+IF(Params!$B$9=1,Adds!AW48,Adds!AW51)</f>
        <v/>
      </c>
      <c r="AX39" s="3">
        <f>Adds!AX49+IF(Params!$B$9=1,Adds!AX48,Adds!AX51)</f>
        <v/>
      </c>
      <c r="AY39" s="3">
        <f>Adds!AY49+IF(Params!$B$9=1,Adds!AY48,Adds!AY51)</f>
        <v/>
      </c>
      <c r="AZ39" s="3">
        <f>Adds!AZ49+IF(Params!$B$9=1,Adds!AZ48,Adds!AZ51)</f>
        <v/>
      </c>
      <c r="BA39" s="3">
        <f>Adds!BA49+IF(Params!$B$9=1,Adds!BA48,Adds!BA51)</f>
        <v/>
      </c>
      <c r="BB39" s="3">
        <f>Adds!BB49+IF(Params!$B$9=1,Adds!BB48,Adds!BB51)</f>
        <v/>
      </c>
      <c r="BC39" s="3">
        <f>Adds!BC49+IF(Params!$B$9=1,Adds!BC48,Adds!BC51)</f>
        <v/>
      </c>
      <c r="BD39" s="3">
        <f>Adds!BD49+IF(Params!$B$9=1,Adds!BD48,Adds!BD51)</f>
        <v/>
      </c>
      <c r="BE39" s="3">
        <f>Adds!BE49+IF(Params!$B$9=1,Adds!BE48,Adds!BE51)</f>
        <v/>
      </c>
      <c r="BF39" s="3">
        <f>Adds!BF49+IF(Params!$B$9=1,Adds!BF48,Adds!BF51)</f>
        <v/>
      </c>
      <c r="BG39" s="3">
        <f>Adds!BG49+IF(Params!$B$9=1,Adds!BG48,Adds!BG51)</f>
        <v/>
      </c>
      <c r="BH39" s="3">
        <f>Adds!BH49+IF(Params!$B$9=1,Adds!BH48,Adds!BH51)</f>
        <v/>
      </c>
      <c r="BI39" s="3">
        <f>Adds!BI49+IF(Params!$B$9=1,Adds!BI48,Adds!BI51)</f>
        <v/>
      </c>
      <c r="BJ39" s="3">
        <f>Adds!BJ49+IF(Params!$B$9=1,Adds!BJ48,Adds!BJ51)</f>
        <v/>
      </c>
      <c r="BK39" s="3">
        <f>Adds!BK49+IF(Params!$B$9=1,Adds!BK48,Adds!BK51)</f>
        <v/>
      </c>
      <c r="BL39" s="3">
        <f>Adds!BL49+IF(Params!$B$9=1,Adds!BL48,Adds!BL51)</f>
        <v/>
      </c>
      <c r="BM39" s="3">
        <f>Adds!BM49+IF(Params!$B$9=1,Adds!BM48,Adds!BM51)</f>
        <v/>
      </c>
      <c r="BN39" s="3">
        <f>Adds!BN49+IF(Params!$B$9=1,Adds!BN48,Adds!BN51)</f>
        <v/>
      </c>
      <c r="BO39" s="3">
        <f>Adds!BO49+IF(Params!$B$9=1,Adds!BO48,Adds!BO51)</f>
        <v/>
      </c>
      <c r="BP39" s="3">
        <f>Adds!BP49+IF(Params!$B$9=1,Adds!BP48,Adds!BP51)</f>
        <v/>
      </c>
      <c r="BQ39" s="3">
        <f>Adds!BQ49+IF(Params!$B$9=1,Adds!BQ48,Adds!BQ51)</f>
        <v/>
      </c>
      <c r="BR39" s="3">
        <f>Adds!BR49+IF(Params!$B$9=1,Adds!BR48,Adds!BR51)</f>
        <v/>
      </c>
      <c r="BS39" s="3">
        <f>Adds!BS49+IF(Params!$B$9=1,Adds!BS48,Adds!BS51)</f>
        <v/>
      </c>
      <c r="BT39" s="3">
        <f>Adds!BT49+IF(Params!$B$9=1,Adds!BT48,Adds!BT51)</f>
        <v/>
      </c>
      <c r="BU39" s="3">
        <f>Adds!BU49+IF(Params!$B$9=1,Adds!BU48,Adds!BU51)</f>
        <v/>
      </c>
      <c r="BV39" s="3">
        <f>Adds!BV49+IF(Params!$B$9=1,Adds!BV48,Adds!BV51)</f>
        <v/>
      </c>
    </row>
    <row r="40">
      <c r="A40" t="inlineStr">
        <is>
          <t>reactivated</t>
        </is>
      </c>
      <c r="B40" t="inlineStr">
        <is>
          <t>EUROPE|NITRO_M</t>
        </is>
      </c>
      <c r="C40" s="3">
        <f>React!C33</f>
        <v/>
      </c>
      <c r="D40" s="3">
        <f>React!D33</f>
        <v/>
      </c>
      <c r="E40" s="3">
        <f>React!E33</f>
        <v/>
      </c>
      <c r="F40" s="3">
        <f>React!F33</f>
        <v/>
      </c>
      <c r="G40" s="3">
        <f>React!G33</f>
        <v/>
      </c>
      <c r="H40" s="3">
        <f>React!H33</f>
        <v/>
      </c>
      <c r="I40" s="3">
        <f>React!I33</f>
        <v/>
      </c>
      <c r="J40" s="3">
        <f>React!J33</f>
        <v/>
      </c>
      <c r="K40" s="3">
        <f>React!K33</f>
        <v/>
      </c>
      <c r="L40" s="3">
        <f>React!L33</f>
        <v/>
      </c>
      <c r="M40" s="3">
        <f>React!M33</f>
        <v/>
      </c>
      <c r="N40" s="3">
        <f>React!N33</f>
        <v/>
      </c>
      <c r="O40" s="3">
        <f>React!O33</f>
        <v/>
      </c>
      <c r="P40" s="3">
        <f>React!P33</f>
        <v/>
      </c>
      <c r="Q40" s="3">
        <f>React!Q33</f>
        <v/>
      </c>
      <c r="R40" s="3">
        <f>React!R33</f>
        <v/>
      </c>
      <c r="S40" s="3">
        <f>React!S33</f>
        <v/>
      </c>
      <c r="T40" s="3">
        <f>React!T33</f>
        <v/>
      </c>
      <c r="U40" s="3">
        <f>React!U33</f>
        <v/>
      </c>
      <c r="V40" s="3">
        <f>React!V33</f>
        <v/>
      </c>
      <c r="W40" s="3">
        <f>React!W33</f>
        <v/>
      </c>
      <c r="X40" s="3">
        <f>React!X33</f>
        <v/>
      </c>
      <c r="Y40" s="3">
        <f>React!Y33</f>
        <v/>
      </c>
      <c r="Z40" s="3">
        <f>React!Z33</f>
        <v/>
      </c>
      <c r="AA40" s="3">
        <f>React!AA33</f>
        <v/>
      </c>
      <c r="AB40" s="3">
        <f>React!AB33</f>
        <v/>
      </c>
      <c r="AC40" s="3">
        <f>React!AC33</f>
        <v/>
      </c>
      <c r="AD40" s="3">
        <f>React!AD33</f>
        <v/>
      </c>
      <c r="AE40" s="3">
        <f>React!AE33</f>
        <v/>
      </c>
      <c r="AF40" s="3">
        <f>React!AF33</f>
        <v/>
      </c>
      <c r="AG40" s="3">
        <f>React!AG33</f>
        <v/>
      </c>
      <c r="AH40" s="3">
        <f>React!AH33</f>
        <v/>
      </c>
      <c r="AI40" s="3">
        <f>React!AI33</f>
        <v/>
      </c>
      <c r="AJ40" s="3">
        <f>React!AJ33</f>
        <v/>
      </c>
      <c r="AK40" s="3">
        <f>React!AK33</f>
        <v/>
      </c>
      <c r="AL40" s="3">
        <f>React!AL33</f>
        <v/>
      </c>
      <c r="AM40" s="3">
        <f>React!AM33</f>
        <v/>
      </c>
      <c r="AN40" s="3">
        <f>React!AN33</f>
        <v/>
      </c>
      <c r="AO40" s="3">
        <f>React!AO33</f>
        <v/>
      </c>
      <c r="AP40" s="3">
        <f>React!AP33</f>
        <v/>
      </c>
      <c r="AQ40" s="3">
        <f>React!AQ33</f>
        <v/>
      </c>
      <c r="AR40" s="3">
        <f>React!AR33</f>
        <v/>
      </c>
      <c r="AS40" s="3">
        <f>React!AS33</f>
        <v/>
      </c>
      <c r="AT40" s="3">
        <f>React!AT33</f>
        <v/>
      </c>
      <c r="AU40" s="3">
        <f>React!AU33</f>
        <v/>
      </c>
      <c r="AV40" s="3">
        <f>React!AV33</f>
        <v/>
      </c>
      <c r="AW40" s="3">
        <f>React!AW33</f>
        <v/>
      </c>
      <c r="AX40" s="3">
        <f>React!AX33</f>
        <v/>
      </c>
      <c r="AY40" s="3">
        <f>React!AY33</f>
        <v/>
      </c>
      <c r="AZ40" s="3">
        <f>React!AZ33</f>
        <v/>
      </c>
      <c r="BA40" s="3">
        <f>React!BA33</f>
        <v/>
      </c>
      <c r="BB40" s="3">
        <f>React!BB33</f>
        <v/>
      </c>
      <c r="BC40" s="3">
        <f>React!BC33</f>
        <v/>
      </c>
      <c r="BD40" s="3">
        <f>React!BD33</f>
        <v/>
      </c>
      <c r="BE40" s="3">
        <f>React!BE33</f>
        <v/>
      </c>
      <c r="BF40" s="3">
        <f>React!BF33</f>
        <v/>
      </c>
      <c r="BG40" s="3">
        <f>React!BG33</f>
        <v/>
      </c>
      <c r="BH40" s="3">
        <f>React!BH33</f>
        <v/>
      </c>
      <c r="BI40" s="3">
        <f>React!BI33</f>
        <v/>
      </c>
      <c r="BJ40" s="3">
        <f>React!BJ33</f>
        <v/>
      </c>
      <c r="BK40" s="3">
        <f>React!BK33</f>
        <v/>
      </c>
      <c r="BL40" s="3">
        <f>React!BL33</f>
        <v/>
      </c>
      <c r="BM40" s="3">
        <f>React!BM33</f>
        <v/>
      </c>
      <c r="BN40" s="3">
        <f>React!BN33</f>
        <v/>
      </c>
      <c r="BO40" s="3">
        <f>React!BO33</f>
        <v/>
      </c>
      <c r="BP40" s="3">
        <f>React!BP33</f>
        <v/>
      </c>
      <c r="BQ40" s="3">
        <f>React!BQ33</f>
        <v/>
      </c>
      <c r="BR40" s="3">
        <f>React!BR33</f>
        <v/>
      </c>
      <c r="BS40" s="3">
        <f>React!BS33</f>
        <v/>
      </c>
      <c r="BT40" s="3">
        <f>React!BT33</f>
        <v/>
      </c>
      <c r="BU40" s="3">
        <f>React!BU33</f>
        <v/>
      </c>
      <c r="BV40" s="3">
        <f>React!BV33</f>
        <v/>
      </c>
    </row>
    <row r="41">
      <c r="A41" t="inlineStr">
        <is>
          <t>churned</t>
        </is>
      </c>
      <c r="B41" t="inlineStr">
        <is>
          <t>EUROPE|NITRO_M</t>
        </is>
      </c>
      <c r="C41" s="3">
        <f>Legacy!C23+Paid!C21+React!C36+Params!$B$9*Adds!C52</f>
        <v/>
      </c>
      <c r="D41" s="3">
        <f>Legacy!D23+Paid!D21+React!D36+Params!$B$9*Adds!D52</f>
        <v/>
      </c>
      <c r="E41" s="3">
        <f>Legacy!E23+Paid!E21+React!E36+Params!$B$9*Adds!E52</f>
        <v/>
      </c>
      <c r="F41" s="3">
        <f>Legacy!F23+Paid!F21+React!F36+Params!$B$9*Adds!F52</f>
        <v/>
      </c>
      <c r="G41" s="3">
        <f>Legacy!G23+Paid!G21+React!G36+Params!$B$9*Adds!G52</f>
        <v/>
      </c>
      <c r="H41" s="3">
        <f>Legacy!H23+Paid!H21+React!H36+Params!$B$9*Adds!H52</f>
        <v/>
      </c>
      <c r="I41" s="3">
        <f>Legacy!I23+Paid!I21+React!I36+Params!$B$9*Adds!I52</f>
        <v/>
      </c>
      <c r="J41" s="3">
        <f>Legacy!J23+Paid!J21+React!J36+Params!$B$9*Adds!J52</f>
        <v/>
      </c>
      <c r="K41" s="3">
        <f>Legacy!K23+Paid!K21+React!K36+Params!$B$9*Adds!K52</f>
        <v/>
      </c>
      <c r="L41" s="3">
        <f>Legacy!L23+Paid!L21+React!L36+Params!$B$9*Adds!L52</f>
        <v/>
      </c>
      <c r="M41" s="3">
        <f>Legacy!M23+Paid!M21+React!M36+Params!$B$9*Adds!M52</f>
        <v/>
      </c>
      <c r="N41" s="3">
        <f>Legacy!N23+Paid!N21+React!N36+Params!$B$9*Adds!N52</f>
        <v/>
      </c>
      <c r="O41" s="3">
        <f>Legacy!O23+Paid!O21+React!O36+Params!$B$9*Adds!O52</f>
        <v/>
      </c>
      <c r="P41" s="3">
        <f>Legacy!P23+Paid!P21+React!P36+Params!$B$9*Adds!P52</f>
        <v/>
      </c>
      <c r="Q41" s="3">
        <f>Legacy!Q23+Paid!Q21+React!Q36+Params!$B$9*Adds!Q52</f>
        <v/>
      </c>
      <c r="R41" s="3">
        <f>Legacy!R23+Paid!R21+React!R36+Params!$B$9*Adds!R52</f>
        <v/>
      </c>
      <c r="S41" s="3">
        <f>Legacy!S23+Paid!S21+React!S36+Params!$B$9*Adds!S52</f>
        <v/>
      </c>
      <c r="T41" s="3">
        <f>Legacy!T23+Paid!T21+React!T36+Params!$B$9*Adds!T52</f>
        <v/>
      </c>
      <c r="U41" s="3">
        <f>Legacy!U23+Paid!U21+React!U36+Params!$B$9*Adds!U52</f>
        <v/>
      </c>
      <c r="V41" s="3">
        <f>Legacy!V23+Paid!V21+React!V36+Params!$B$9*Adds!V52</f>
        <v/>
      </c>
      <c r="W41" s="3">
        <f>Legacy!W23+Paid!W21+React!W36+Params!$B$9*Adds!W52</f>
        <v/>
      </c>
      <c r="X41" s="3">
        <f>Legacy!X23+Paid!X21+React!X36+Params!$B$9*Adds!X52</f>
        <v/>
      </c>
      <c r="Y41" s="3">
        <f>Legacy!Y23+Paid!Y21+React!Y36+Params!$B$9*Adds!Y52</f>
        <v/>
      </c>
      <c r="Z41" s="3">
        <f>Legacy!Z23+Paid!Z21+React!Z36+Params!$B$9*Adds!Z52</f>
        <v/>
      </c>
      <c r="AA41" s="3">
        <f>Legacy!AA23+Paid!AA21+React!AA36+Params!$B$9*Adds!AA52</f>
        <v/>
      </c>
      <c r="AB41" s="3">
        <f>Legacy!AB23+Paid!AB21+React!AB36+Params!$B$9*Adds!AB52</f>
        <v/>
      </c>
      <c r="AC41" s="3">
        <f>Legacy!AC23+Paid!AC21+React!AC36+Params!$B$9*Adds!AC52</f>
        <v/>
      </c>
      <c r="AD41" s="3">
        <f>Legacy!AD23+Paid!AD21+React!AD36+Params!$B$9*Adds!AD52</f>
        <v/>
      </c>
      <c r="AE41" s="3">
        <f>Legacy!AE23+Paid!AE21+React!AE36+Params!$B$9*Adds!AE52</f>
        <v/>
      </c>
      <c r="AF41" s="3">
        <f>Legacy!AF23+Paid!AF21+React!AF36+Params!$B$9*Adds!AF52</f>
        <v/>
      </c>
      <c r="AG41" s="3">
        <f>Legacy!AG23+Paid!AG21+React!AG36+Params!$B$9*Adds!AG52</f>
        <v/>
      </c>
      <c r="AH41" s="3">
        <f>Legacy!AH23+Paid!AH21+React!AH36+Params!$B$9*Adds!AH52</f>
        <v/>
      </c>
      <c r="AI41" s="3">
        <f>Legacy!AI23+Paid!AI21+React!AI36+Params!$B$9*Adds!AI52</f>
        <v/>
      </c>
      <c r="AJ41" s="3">
        <f>Legacy!AJ23+Paid!AJ21+React!AJ36+Params!$B$9*Adds!AJ52</f>
        <v/>
      </c>
      <c r="AK41" s="3">
        <f>Legacy!AK23+Paid!AK21+React!AK36+Params!$B$9*Adds!AK52</f>
        <v/>
      </c>
      <c r="AL41" s="3">
        <f>Legacy!AL23+Paid!AL21+React!AL36+Params!$B$9*Adds!AL52</f>
        <v/>
      </c>
      <c r="AM41" s="3">
        <f>Legacy!AM23+Paid!AM21+React!AM36+Params!$B$9*Adds!AM52</f>
        <v/>
      </c>
      <c r="AN41" s="3">
        <f>Legacy!AN23+Paid!AN21+React!AN36+Params!$B$9*Adds!AN52</f>
        <v/>
      </c>
      <c r="AO41" s="3">
        <f>Legacy!AO23+Paid!AO21+React!AO36+Params!$B$9*Adds!AO52</f>
        <v/>
      </c>
      <c r="AP41" s="3">
        <f>Legacy!AP23+Paid!AP21+React!AP36+Params!$B$9*Adds!AP52</f>
        <v/>
      </c>
      <c r="AQ41" s="3">
        <f>Legacy!AQ23+Paid!AQ21+React!AQ36+Params!$B$9*Adds!AQ52</f>
        <v/>
      </c>
      <c r="AR41" s="3">
        <f>Legacy!AR23+Paid!AR21+React!AR36+Params!$B$9*Adds!AR52</f>
        <v/>
      </c>
      <c r="AS41" s="3">
        <f>Legacy!AS23+Paid!AS21+React!AS36+Params!$B$9*Adds!AS52</f>
        <v/>
      </c>
      <c r="AT41" s="3">
        <f>Legacy!AT23+Paid!AT21+React!AT36+Params!$B$9*Adds!AT52</f>
        <v/>
      </c>
      <c r="AU41" s="3">
        <f>Legacy!AU23+Paid!AU21+React!AU36+Params!$B$9*Adds!AU52</f>
        <v/>
      </c>
      <c r="AV41" s="3">
        <f>Legacy!AV23+Paid!AV21+React!AV36+Params!$B$9*Adds!AV52</f>
        <v/>
      </c>
      <c r="AW41" s="3">
        <f>Legacy!AW23+Paid!AW21+React!AW36+Params!$B$9*Adds!AW52</f>
        <v/>
      </c>
      <c r="AX41" s="3">
        <f>Legacy!AX23+Paid!AX21+React!AX36+Params!$B$9*Adds!AX52</f>
        <v/>
      </c>
      <c r="AY41" s="3">
        <f>Legacy!AY23+Paid!AY21+React!AY36+Params!$B$9*Adds!AY52</f>
        <v/>
      </c>
      <c r="AZ41" s="3">
        <f>Legacy!AZ23+Paid!AZ21+React!AZ36+Params!$B$9*Adds!AZ52</f>
        <v/>
      </c>
      <c r="BA41" s="3">
        <f>Legacy!BA23+Paid!BA21+React!BA36+Params!$B$9*Adds!BA52</f>
        <v/>
      </c>
      <c r="BB41" s="3">
        <f>Legacy!BB23+Paid!BB21+React!BB36+Params!$B$9*Adds!BB52</f>
        <v/>
      </c>
      <c r="BC41" s="3">
        <f>Legacy!BC23+Paid!BC21+React!BC36+Params!$B$9*Adds!BC52</f>
        <v/>
      </c>
      <c r="BD41" s="3">
        <f>Legacy!BD23+Paid!BD21+React!BD36+Params!$B$9*Adds!BD52</f>
        <v/>
      </c>
      <c r="BE41" s="3">
        <f>Legacy!BE23+Paid!BE21+React!BE36+Params!$B$9*Adds!BE52</f>
        <v/>
      </c>
      <c r="BF41" s="3">
        <f>Legacy!BF23+Paid!BF21+React!BF36+Params!$B$9*Adds!BF52</f>
        <v/>
      </c>
      <c r="BG41" s="3">
        <f>Legacy!BG23+Paid!BG21+React!BG36+Params!$B$9*Adds!BG52</f>
        <v/>
      </c>
      <c r="BH41" s="3">
        <f>Legacy!BH23+Paid!BH21+React!BH36+Params!$B$9*Adds!BH52</f>
        <v/>
      </c>
      <c r="BI41" s="3">
        <f>Legacy!BI23+Paid!BI21+React!BI36+Params!$B$9*Adds!BI52</f>
        <v/>
      </c>
      <c r="BJ41" s="3">
        <f>Legacy!BJ23+Paid!BJ21+React!BJ36+Params!$B$9*Adds!BJ52</f>
        <v/>
      </c>
      <c r="BK41" s="3">
        <f>Legacy!BK23+Paid!BK21+React!BK36+Params!$B$9*Adds!BK52</f>
        <v/>
      </c>
      <c r="BL41" s="3">
        <f>Legacy!BL23+Paid!BL21+React!BL36+Params!$B$9*Adds!BL52</f>
        <v/>
      </c>
      <c r="BM41" s="3">
        <f>Legacy!BM23+Paid!BM21+React!BM36+Params!$B$9*Adds!BM52</f>
        <v/>
      </c>
      <c r="BN41" s="3">
        <f>Legacy!BN23+Paid!BN21+React!BN36+Params!$B$9*Adds!BN52</f>
        <v/>
      </c>
      <c r="BO41" s="3">
        <f>Legacy!BO23+Paid!BO21+React!BO36+Params!$B$9*Adds!BO52</f>
        <v/>
      </c>
      <c r="BP41" s="3">
        <f>Legacy!BP23+Paid!BP21+React!BP36+Params!$B$9*Adds!BP52</f>
        <v/>
      </c>
      <c r="BQ41" s="3">
        <f>Legacy!BQ23+Paid!BQ21+React!BQ36+Params!$B$9*Adds!BQ52</f>
        <v/>
      </c>
      <c r="BR41" s="3">
        <f>Legacy!BR23+Paid!BR21+React!BR36+Params!$B$9*Adds!BR52</f>
        <v/>
      </c>
      <c r="BS41" s="3">
        <f>Legacy!BS23+Paid!BS21+React!BS36+Params!$B$9*Adds!BS52</f>
        <v/>
      </c>
      <c r="BT41" s="3">
        <f>Legacy!BT23+Paid!BT21+React!BT36+Params!$B$9*Adds!BT52</f>
        <v/>
      </c>
      <c r="BU41" s="3">
        <f>Legacy!BU23+Paid!BU21+React!BU36+Params!$B$9*Adds!BU52</f>
        <v/>
      </c>
      <c r="BV41" s="3">
        <f>Legacy!BV23+Paid!BV21+React!BV36+Params!$B$9*Adds!BV52</f>
        <v/>
      </c>
    </row>
    <row r="42">
      <c r="A42" t="inlineStr">
        <is>
          <t>closing</t>
        </is>
      </c>
      <c r="B42" t="inlineStr">
        <is>
          <t>EUROPE|NITRO_M</t>
        </is>
      </c>
      <c r="C42" s="3">
        <f>C43+Params!$B$9*Adds!C55</f>
        <v/>
      </c>
      <c r="D42" s="3">
        <f>D43+Params!$B$9*Adds!D55</f>
        <v/>
      </c>
      <c r="E42" s="3">
        <f>E43+Params!$B$9*Adds!E55</f>
        <v/>
      </c>
      <c r="F42" s="3">
        <f>F43+Params!$B$9*Adds!F55</f>
        <v/>
      </c>
      <c r="G42" s="3">
        <f>G43+Params!$B$9*Adds!G55</f>
        <v/>
      </c>
      <c r="H42" s="3">
        <f>H43+Params!$B$9*Adds!H55</f>
        <v/>
      </c>
      <c r="I42" s="3">
        <f>I43+Params!$B$9*Adds!I55</f>
        <v/>
      </c>
      <c r="J42" s="3">
        <f>J43+Params!$B$9*Adds!J55</f>
        <v/>
      </c>
      <c r="K42" s="3">
        <f>K43+Params!$B$9*Adds!K55</f>
        <v/>
      </c>
      <c r="L42" s="3">
        <f>L43+Params!$B$9*Adds!L55</f>
        <v/>
      </c>
      <c r="M42" s="3">
        <f>M43+Params!$B$9*Adds!M55</f>
        <v/>
      </c>
      <c r="N42" s="3">
        <f>N43+Params!$B$9*Adds!N55</f>
        <v/>
      </c>
      <c r="O42" s="3">
        <f>O43+Params!$B$9*Adds!O55</f>
        <v/>
      </c>
      <c r="P42" s="3">
        <f>P43+Params!$B$9*Adds!P55</f>
        <v/>
      </c>
      <c r="Q42" s="3">
        <f>Q43+Params!$B$9*Adds!Q55</f>
        <v/>
      </c>
      <c r="R42" s="3">
        <f>R43+Params!$B$9*Adds!R55</f>
        <v/>
      </c>
      <c r="S42" s="3">
        <f>S43+Params!$B$9*Adds!S55</f>
        <v/>
      </c>
      <c r="T42" s="3">
        <f>T43+Params!$B$9*Adds!T55</f>
        <v/>
      </c>
      <c r="U42" s="3">
        <f>U43+Params!$B$9*Adds!U55</f>
        <v/>
      </c>
      <c r="V42" s="3">
        <f>V43+Params!$B$9*Adds!V55</f>
        <v/>
      </c>
      <c r="W42" s="3">
        <f>W43+Params!$B$9*Adds!W55</f>
        <v/>
      </c>
      <c r="X42" s="3">
        <f>X43+Params!$B$9*Adds!X55</f>
        <v/>
      </c>
      <c r="Y42" s="3">
        <f>Y43+Params!$B$9*Adds!Y55</f>
        <v/>
      </c>
      <c r="Z42" s="3">
        <f>Z43+Params!$B$9*Adds!Z55</f>
        <v/>
      </c>
      <c r="AA42" s="3">
        <f>AA43+Params!$B$9*Adds!AA55</f>
        <v/>
      </c>
      <c r="AB42" s="3">
        <f>AB43+Params!$B$9*Adds!AB55</f>
        <v/>
      </c>
      <c r="AC42" s="3">
        <f>AC43+Params!$B$9*Adds!AC55</f>
        <v/>
      </c>
      <c r="AD42" s="3">
        <f>AD43+Params!$B$9*Adds!AD55</f>
        <v/>
      </c>
      <c r="AE42" s="3">
        <f>AE43+Params!$B$9*Adds!AE55</f>
        <v/>
      </c>
      <c r="AF42" s="3">
        <f>AF43+Params!$B$9*Adds!AF55</f>
        <v/>
      </c>
      <c r="AG42" s="3">
        <f>AG43+Params!$B$9*Adds!AG55</f>
        <v/>
      </c>
      <c r="AH42" s="3">
        <f>AH43+Params!$B$9*Adds!AH55</f>
        <v/>
      </c>
      <c r="AI42" s="3">
        <f>AI43+Params!$B$9*Adds!AI55</f>
        <v/>
      </c>
      <c r="AJ42" s="3">
        <f>AJ43+Params!$B$9*Adds!AJ55</f>
        <v/>
      </c>
      <c r="AK42" s="3">
        <f>AK43+Params!$B$9*Adds!AK55</f>
        <v/>
      </c>
      <c r="AL42" s="3">
        <f>AL43+Params!$B$9*Adds!AL55</f>
        <v/>
      </c>
      <c r="AM42" s="3">
        <f>AM43+Params!$B$9*Adds!AM55</f>
        <v/>
      </c>
      <c r="AN42" s="3">
        <f>AN43+Params!$B$9*Adds!AN55</f>
        <v/>
      </c>
      <c r="AO42" s="3">
        <f>AO43+Params!$B$9*Adds!AO55</f>
        <v/>
      </c>
      <c r="AP42" s="3">
        <f>AP43+Params!$B$9*Adds!AP55</f>
        <v/>
      </c>
      <c r="AQ42" s="3">
        <f>AQ43+Params!$B$9*Adds!AQ55</f>
        <v/>
      </c>
      <c r="AR42" s="3">
        <f>AR43+Params!$B$9*Adds!AR55</f>
        <v/>
      </c>
      <c r="AS42" s="3">
        <f>AS43+Params!$B$9*Adds!AS55</f>
        <v/>
      </c>
      <c r="AT42" s="3">
        <f>AT43+Params!$B$9*Adds!AT55</f>
        <v/>
      </c>
      <c r="AU42" s="3">
        <f>AU43+Params!$B$9*Adds!AU55</f>
        <v/>
      </c>
      <c r="AV42" s="3">
        <f>AV43+Params!$B$9*Adds!AV55</f>
        <v/>
      </c>
      <c r="AW42" s="3">
        <f>AW43+Params!$B$9*Adds!AW55</f>
        <v/>
      </c>
      <c r="AX42" s="3">
        <f>AX43+Params!$B$9*Adds!AX55</f>
        <v/>
      </c>
      <c r="AY42" s="3">
        <f>AY43+Params!$B$9*Adds!AY55</f>
        <v/>
      </c>
      <c r="AZ42" s="3">
        <f>AZ43+Params!$B$9*Adds!AZ55</f>
        <v/>
      </c>
      <c r="BA42" s="3">
        <f>BA43+Params!$B$9*Adds!BA55</f>
        <v/>
      </c>
      <c r="BB42" s="3">
        <f>BB43+Params!$B$9*Adds!BB55</f>
        <v/>
      </c>
      <c r="BC42" s="3">
        <f>BC43+Params!$B$9*Adds!BC55</f>
        <v/>
      </c>
      <c r="BD42" s="3">
        <f>BD43+Params!$B$9*Adds!BD55</f>
        <v/>
      </c>
      <c r="BE42" s="3">
        <f>BE43+Params!$B$9*Adds!BE55</f>
        <v/>
      </c>
      <c r="BF42" s="3">
        <f>BF43+Params!$B$9*Adds!BF55</f>
        <v/>
      </c>
      <c r="BG42" s="3">
        <f>BG43+Params!$B$9*Adds!BG55</f>
        <v/>
      </c>
      <c r="BH42" s="3">
        <f>BH43+Params!$B$9*Adds!BH55</f>
        <v/>
      </c>
      <c r="BI42" s="3">
        <f>BI43+Params!$B$9*Adds!BI55</f>
        <v/>
      </c>
      <c r="BJ42" s="3">
        <f>BJ43+Params!$B$9*Adds!BJ55</f>
        <v/>
      </c>
      <c r="BK42" s="3">
        <f>BK43+Params!$B$9*Adds!BK55</f>
        <v/>
      </c>
      <c r="BL42" s="3">
        <f>BL43+Params!$B$9*Adds!BL55</f>
        <v/>
      </c>
      <c r="BM42" s="3">
        <f>BM43+Params!$B$9*Adds!BM55</f>
        <v/>
      </c>
      <c r="BN42" s="3">
        <f>BN43+Params!$B$9*Adds!BN55</f>
        <v/>
      </c>
      <c r="BO42" s="3">
        <f>BO43+Params!$B$9*Adds!BO55</f>
        <v/>
      </c>
      <c r="BP42" s="3">
        <f>BP43+Params!$B$9*Adds!BP55</f>
        <v/>
      </c>
      <c r="BQ42" s="3">
        <f>BQ43+Params!$B$9*Adds!BQ55</f>
        <v/>
      </c>
      <c r="BR42" s="3">
        <f>BR43+Params!$B$9*Adds!BR55</f>
        <v/>
      </c>
      <c r="BS42" s="3">
        <f>BS43+Params!$B$9*Adds!BS55</f>
        <v/>
      </c>
      <c r="BT42" s="3">
        <f>BT43+Params!$B$9*Adds!BT55</f>
        <v/>
      </c>
      <c r="BU42" s="3">
        <f>BU43+Params!$B$9*Adds!BU55</f>
        <v/>
      </c>
      <c r="BV42" s="3">
        <f>BV43+Params!$B$9*Adds!BV55</f>
        <v/>
      </c>
    </row>
    <row r="43">
      <c r="A43" t="inlineStr">
        <is>
          <t>paying</t>
        </is>
      </c>
      <c r="B43" t="inlineStr">
        <is>
          <t>EUROPE|NITRO_M</t>
        </is>
      </c>
      <c r="C43" s="3">
        <f>Legacy!C22+Paid!C19+React!C34</f>
        <v/>
      </c>
      <c r="D43" s="3">
        <f>Legacy!D22+Paid!D19+React!D34</f>
        <v/>
      </c>
      <c r="E43" s="3">
        <f>Legacy!E22+Paid!E19+React!E34</f>
        <v/>
      </c>
      <c r="F43" s="3">
        <f>Legacy!F22+Paid!F19+React!F34</f>
        <v/>
      </c>
      <c r="G43" s="3">
        <f>Legacy!G22+Paid!G19+React!G34</f>
        <v/>
      </c>
      <c r="H43" s="3">
        <f>Legacy!H22+Paid!H19+React!H34</f>
        <v/>
      </c>
      <c r="I43" s="3">
        <f>Legacy!I22+Paid!I19+React!I34</f>
        <v/>
      </c>
      <c r="J43" s="3">
        <f>Legacy!J22+Paid!J19+React!J34</f>
        <v/>
      </c>
      <c r="K43" s="3">
        <f>Legacy!K22+Paid!K19+React!K34</f>
        <v/>
      </c>
      <c r="L43" s="3">
        <f>Legacy!L22+Paid!L19+React!L34</f>
        <v/>
      </c>
      <c r="M43" s="3">
        <f>Legacy!M22+Paid!M19+React!M34</f>
        <v/>
      </c>
      <c r="N43" s="3">
        <f>Legacy!N22+Paid!N19+React!N34</f>
        <v/>
      </c>
      <c r="O43" s="3">
        <f>Legacy!O22+Paid!O19+React!O34</f>
        <v/>
      </c>
      <c r="P43" s="3">
        <f>Legacy!P22+Paid!P19+React!P34</f>
        <v/>
      </c>
      <c r="Q43" s="3">
        <f>Legacy!Q22+Paid!Q19+React!Q34</f>
        <v/>
      </c>
      <c r="R43" s="3">
        <f>Legacy!R22+Paid!R19+React!R34</f>
        <v/>
      </c>
      <c r="S43" s="3">
        <f>Legacy!S22+Paid!S19+React!S34</f>
        <v/>
      </c>
      <c r="T43" s="3">
        <f>Legacy!T22+Paid!T19+React!T34</f>
        <v/>
      </c>
      <c r="U43" s="3">
        <f>Legacy!U22+Paid!U19+React!U34</f>
        <v/>
      </c>
      <c r="V43" s="3">
        <f>Legacy!V22+Paid!V19+React!V34</f>
        <v/>
      </c>
      <c r="W43" s="3">
        <f>Legacy!W22+Paid!W19+React!W34</f>
        <v/>
      </c>
      <c r="X43" s="3">
        <f>Legacy!X22+Paid!X19+React!X34</f>
        <v/>
      </c>
      <c r="Y43" s="3">
        <f>Legacy!Y22+Paid!Y19+React!Y34</f>
        <v/>
      </c>
      <c r="Z43" s="3">
        <f>Legacy!Z22+Paid!Z19+React!Z34</f>
        <v/>
      </c>
      <c r="AA43" s="3">
        <f>Legacy!AA22+Paid!AA19+React!AA34</f>
        <v/>
      </c>
      <c r="AB43" s="3">
        <f>Legacy!AB22+Paid!AB19+React!AB34</f>
        <v/>
      </c>
      <c r="AC43" s="3">
        <f>Legacy!AC22+Paid!AC19+React!AC34</f>
        <v/>
      </c>
      <c r="AD43" s="3">
        <f>Legacy!AD22+Paid!AD19+React!AD34</f>
        <v/>
      </c>
      <c r="AE43" s="3">
        <f>Legacy!AE22+Paid!AE19+React!AE34</f>
        <v/>
      </c>
      <c r="AF43" s="3">
        <f>Legacy!AF22+Paid!AF19+React!AF34</f>
        <v/>
      </c>
      <c r="AG43" s="3">
        <f>Legacy!AG22+Paid!AG19+React!AG34</f>
        <v/>
      </c>
      <c r="AH43" s="3">
        <f>Legacy!AH22+Paid!AH19+React!AH34</f>
        <v/>
      </c>
      <c r="AI43" s="3">
        <f>Legacy!AI22+Paid!AI19+React!AI34</f>
        <v/>
      </c>
      <c r="AJ43" s="3">
        <f>Legacy!AJ22+Paid!AJ19+React!AJ34</f>
        <v/>
      </c>
      <c r="AK43" s="3">
        <f>Legacy!AK22+Paid!AK19+React!AK34</f>
        <v/>
      </c>
      <c r="AL43" s="3">
        <f>Legacy!AL22+Paid!AL19+React!AL34</f>
        <v/>
      </c>
      <c r="AM43" s="3">
        <f>Legacy!AM22+Paid!AM19+React!AM34</f>
        <v/>
      </c>
      <c r="AN43" s="3">
        <f>Legacy!AN22+Paid!AN19+React!AN34</f>
        <v/>
      </c>
      <c r="AO43" s="3">
        <f>Legacy!AO22+Paid!AO19+React!AO34</f>
        <v/>
      </c>
      <c r="AP43" s="3">
        <f>Legacy!AP22+Paid!AP19+React!AP34</f>
        <v/>
      </c>
      <c r="AQ43" s="3">
        <f>Legacy!AQ22+Paid!AQ19+React!AQ34</f>
        <v/>
      </c>
      <c r="AR43" s="3">
        <f>Legacy!AR22+Paid!AR19+React!AR34</f>
        <v/>
      </c>
      <c r="AS43" s="3">
        <f>Legacy!AS22+Paid!AS19+React!AS34</f>
        <v/>
      </c>
      <c r="AT43" s="3">
        <f>Legacy!AT22+Paid!AT19+React!AT34</f>
        <v/>
      </c>
      <c r="AU43" s="3">
        <f>Legacy!AU22+Paid!AU19+React!AU34</f>
        <v/>
      </c>
      <c r="AV43" s="3">
        <f>Legacy!AV22+Paid!AV19+React!AV34</f>
        <v/>
      </c>
      <c r="AW43" s="3">
        <f>Legacy!AW22+Paid!AW19+React!AW34</f>
        <v/>
      </c>
      <c r="AX43" s="3">
        <f>Legacy!AX22+Paid!AX19+React!AX34</f>
        <v/>
      </c>
      <c r="AY43" s="3">
        <f>Legacy!AY22+Paid!AY19+React!AY34</f>
        <v/>
      </c>
      <c r="AZ43" s="3">
        <f>Legacy!AZ22+Paid!AZ19+React!AZ34</f>
        <v/>
      </c>
      <c r="BA43" s="3">
        <f>Legacy!BA22+Paid!BA19+React!BA34</f>
        <v/>
      </c>
      <c r="BB43" s="3">
        <f>Legacy!BB22+Paid!BB19+React!BB34</f>
        <v/>
      </c>
      <c r="BC43" s="3">
        <f>Legacy!BC22+Paid!BC19+React!BC34</f>
        <v/>
      </c>
      <c r="BD43" s="3">
        <f>Legacy!BD22+Paid!BD19+React!BD34</f>
        <v/>
      </c>
      <c r="BE43" s="3">
        <f>Legacy!BE22+Paid!BE19+React!BE34</f>
        <v/>
      </c>
      <c r="BF43" s="3">
        <f>Legacy!BF22+Paid!BF19+React!BF34</f>
        <v/>
      </c>
      <c r="BG43" s="3">
        <f>Legacy!BG22+Paid!BG19+React!BG34</f>
        <v/>
      </c>
      <c r="BH43" s="3">
        <f>Legacy!BH22+Paid!BH19+React!BH34</f>
        <v/>
      </c>
      <c r="BI43" s="3">
        <f>Legacy!BI22+Paid!BI19+React!BI34</f>
        <v/>
      </c>
      <c r="BJ43" s="3">
        <f>Legacy!BJ22+Paid!BJ19+React!BJ34</f>
        <v/>
      </c>
      <c r="BK43" s="3">
        <f>Legacy!BK22+Paid!BK19+React!BK34</f>
        <v/>
      </c>
      <c r="BL43" s="3">
        <f>Legacy!BL22+Paid!BL19+React!BL34</f>
        <v/>
      </c>
      <c r="BM43" s="3">
        <f>Legacy!BM22+Paid!BM19+React!BM34</f>
        <v/>
      </c>
      <c r="BN43" s="3">
        <f>Legacy!BN22+Paid!BN19+React!BN34</f>
        <v/>
      </c>
      <c r="BO43" s="3">
        <f>Legacy!BO22+Paid!BO19+React!BO34</f>
        <v/>
      </c>
      <c r="BP43" s="3">
        <f>Legacy!BP22+Paid!BP19+React!BP34</f>
        <v/>
      </c>
      <c r="BQ43" s="3">
        <f>Legacy!BQ22+Paid!BQ19+React!BQ34</f>
        <v/>
      </c>
      <c r="BR43" s="3">
        <f>Legacy!BR22+Paid!BR19+React!BR34</f>
        <v/>
      </c>
      <c r="BS43" s="3">
        <f>Legacy!BS22+Paid!BS19+React!BS34</f>
        <v/>
      </c>
      <c r="BT43" s="3">
        <f>Legacy!BT22+Paid!BT19+React!BT34</f>
        <v/>
      </c>
      <c r="BU43" s="3">
        <f>Legacy!BU22+Paid!BU19+React!BU34</f>
        <v/>
      </c>
      <c r="BV43" s="3">
        <f>Legacy!BV22+Paid!BV19+React!BV34</f>
        <v/>
      </c>
    </row>
    <row r="45">
      <c r="A45" t="inlineStr">
        <is>
          <t>opening</t>
        </is>
      </c>
      <c r="B45" t="inlineStr">
        <is>
          <t>EUROPE|NITRO_A</t>
        </is>
      </c>
      <c r="C45" s="3">
        <f>Legacy!$C$25</f>
        <v/>
      </c>
      <c r="D45" s="3">
        <f>C49</f>
        <v/>
      </c>
      <c r="E45" s="3">
        <f>D49</f>
        <v/>
      </c>
      <c r="F45" s="3">
        <f>E49</f>
        <v/>
      </c>
      <c r="G45" s="3">
        <f>F49</f>
        <v/>
      </c>
      <c r="H45" s="3">
        <f>G49</f>
        <v/>
      </c>
      <c r="I45" s="3">
        <f>H49</f>
        <v/>
      </c>
      <c r="J45" s="3">
        <f>I49</f>
        <v/>
      </c>
      <c r="K45" s="3">
        <f>J49</f>
        <v/>
      </c>
      <c r="L45" s="3">
        <f>K49</f>
        <v/>
      </c>
      <c r="M45" s="3">
        <f>L49</f>
        <v/>
      </c>
      <c r="N45" s="3">
        <f>M49</f>
        <v/>
      </c>
      <c r="O45" s="3">
        <f>N49</f>
        <v/>
      </c>
      <c r="P45" s="3">
        <f>O49</f>
        <v/>
      </c>
      <c r="Q45" s="3">
        <f>P49</f>
        <v/>
      </c>
      <c r="R45" s="3">
        <f>Q49</f>
        <v/>
      </c>
      <c r="S45" s="3">
        <f>R49</f>
        <v/>
      </c>
      <c r="T45" s="3">
        <f>S49</f>
        <v/>
      </c>
      <c r="U45" s="3">
        <f>T49</f>
        <v/>
      </c>
      <c r="V45" s="3">
        <f>U49</f>
        <v/>
      </c>
      <c r="W45" s="3">
        <f>V49</f>
        <v/>
      </c>
      <c r="X45" s="3">
        <f>W49</f>
        <v/>
      </c>
      <c r="Y45" s="3">
        <f>X49</f>
        <v/>
      </c>
      <c r="Z45" s="3">
        <f>Y49</f>
        <v/>
      </c>
      <c r="AA45" s="3">
        <f>Z49</f>
        <v/>
      </c>
      <c r="AB45" s="3">
        <f>AA49</f>
        <v/>
      </c>
      <c r="AC45" s="3">
        <f>AB49</f>
        <v/>
      </c>
      <c r="AD45" s="3">
        <f>AC49</f>
        <v/>
      </c>
      <c r="AE45" s="3">
        <f>AD49</f>
        <v/>
      </c>
      <c r="AF45" s="3">
        <f>AE49</f>
        <v/>
      </c>
      <c r="AG45" s="3">
        <f>AF49</f>
        <v/>
      </c>
      <c r="AH45" s="3">
        <f>AG49</f>
        <v/>
      </c>
      <c r="AI45" s="3">
        <f>AH49</f>
        <v/>
      </c>
      <c r="AJ45" s="3">
        <f>AI49</f>
        <v/>
      </c>
      <c r="AK45" s="3">
        <f>AJ49</f>
        <v/>
      </c>
      <c r="AL45" s="3">
        <f>AK49</f>
        <v/>
      </c>
      <c r="AM45" s="3">
        <f>AL49</f>
        <v/>
      </c>
      <c r="AN45" s="3">
        <f>AM49</f>
        <v/>
      </c>
      <c r="AO45" s="3">
        <f>AN49</f>
        <v/>
      </c>
      <c r="AP45" s="3">
        <f>AO49</f>
        <v/>
      </c>
      <c r="AQ45" s="3">
        <f>AP49</f>
        <v/>
      </c>
      <c r="AR45" s="3">
        <f>AQ49</f>
        <v/>
      </c>
      <c r="AS45" s="3">
        <f>AR49</f>
        <v/>
      </c>
      <c r="AT45" s="3">
        <f>AS49</f>
        <v/>
      </c>
      <c r="AU45" s="3">
        <f>AT49</f>
        <v/>
      </c>
      <c r="AV45" s="3">
        <f>AU49</f>
        <v/>
      </c>
      <c r="AW45" s="3">
        <f>AV49</f>
        <v/>
      </c>
      <c r="AX45" s="3">
        <f>AW49</f>
        <v/>
      </c>
      <c r="AY45" s="3">
        <f>AX49</f>
        <v/>
      </c>
      <c r="AZ45" s="3">
        <f>AY49</f>
        <v/>
      </c>
      <c r="BA45" s="3">
        <f>AZ49</f>
        <v/>
      </c>
      <c r="BB45" s="3">
        <f>BA49</f>
        <v/>
      </c>
      <c r="BC45" s="3">
        <f>BB49</f>
        <v/>
      </c>
      <c r="BD45" s="3">
        <f>BC49</f>
        <v/>
      </c>
      <c r="BE45" s="3">
        <f>BD49</f>
        <v/>
      </c>
      <c r="BF45" s="3">
        <f>BE49</f>
        <v/>
      </c>
      <c r="BG45" s="3">
        <f>BF49</f>
        <v/>
      </c>
      <c r="BH45" s="3">
        <f>BG49</f>
        <v/>
      </c>
      <c r="BI45" s="3">
        <f>BH49</f>
        <v/>
      </c>
      <c r="BJ45" s="3">
        <f>BI49</f>
        <v/>
      </c>
      <c r="BK45" s="3">
        <f>BJ49</f>
        <v/>
      </c>
      <c r="BL45" s="3">
        <f>BK49</f>
        <v/>
      </c>
      <c r="BM45" s="3">
        <f>BL49</f>
        <v/>
      </c>
      <c r="BN45" s="3">
        <f>BM49</f>
        <v/>
      </c>
      <c r="BO45" s="3">
        <f>BN49</f>
        <v/>
      </c>
      <c r="BP45" s="3">
        <f>BO49</f>
        <v/>
      </c>
      <c r="BQ45" s="3">
        <f>BP49</f>
        <v/>
      </c>
      <c r="BR45" s="3">
        <f>BQ49</f>
        <v/>
      </c>
      <c r="BS45" s="3">
        <f>BR49</f>
        <v/>
      </c>
      <c r="BT45" s="3">
        <f>BS49</f>
        <v/>
      </c>
      <c r="BU45" s="3">
        <f>BT49</f>
        <v/>
      </c>
      <c r="BV45" s="3">
        <f>BU49</f>
        <v/>
      </c>
    </row>
    <row r="46">
      <c r="A46" t="inlineStr">
        <is>
          <t>new</t>
        </is>
      </c>
      <c r="B46" t="inlineStr">
        <is>
          <t>EUROPE|NITRO_A</t>
        </is>
      </c>
      <c r="C46" s="3">
        <f>Adds!C60+IF(Params!$B$9=1,Adds!C59,Adds!C62)</f>
        <v/>
      </c>
      <c r="D46" s="3">
        <f>Adds!D60+IF(Params!$B$9=1,Adds!D59,Adds!D62)</f>
        <v/>
      </c>
      <c r="E46" s="3">
        <f>Adds!E60+IF(Params!$B$9=1,Adds!E59,Adds!E62)</f>
        <v/>
      </c>
      <c r="F46" s="3">
        <f>Adds!F60+IF(Params!$B$9=1,Adds!F59,Adds!F62)</f>
        <v/>
      </c>
      <c r="G46" s="3">
        <f>Adds!G60+IF(Params!$B$9=1,Adds!G59,Adds!G62)</f>
        <v/>
      </c>
      <c r="H46" s="3">
        <f>Adds!H60+IF(Params!$B$9=1,Adds!H59,Adds!H62)</f>
        <v/>
      </c>
      <c r="I46" s="3">
        <f>Adds!I60+IF(Params!$B$9=1,Adds!I59,Adds!I62)</f>
        <v/>
      </c>
      <c r="J46" s="3">
        <f>Adds!J60+IF(Params!$B$9=1,Adds!J59,Adds!J62)</f>
        <v/>
      </c>
      <c r="K46" s="3">
        <f>Adds!K60+IF(Params!$B$9=1,Adds!K59,Adds!K62)</f>
        <v/>
      </c>
      <c r="L46" s="3">
        <f>Adds!L60+IF(Params!$B$9=1,Adds!L59,Adds!L62)</f>
        <v/>
      </c>
      <c r="M46" s="3">
        <f>Adds!M60+IF(Params!$B$9=1,Adds!M59,Adds!M62)</f>
        <v/>
      </c>
      <c r="N46" s="3">
        <f>Adds!N60+IF(Params!$B$9=1,Adds!N59,Adds!N62)</f>
        <v/>
      </c>
      <c r="O46" s="3">
        <f>Adds!O60+IF(Params!$B$9=1,Adds!O59,Adds!O62)</f>
        <v/>
      </c>
      <c r="P46" s="3">
        <f>Adds!P60+IF(Params!$B$9=1,Adds!P59,Adds!P62)</f>
        <v/>
      </c>
      <c r="Q46" s="3">
        <f>Adds!Q60+IF(Params!$B$9=1,Adds!Q59,Adds!Q62)</f>
        <v/>
      </c>
      <c r="R46" s="3">
        <f>Adds!R60+IF(Params!$B$9=1,Adds!R59,Adds!R62)</f>
        <v/>
      </c>
      <c r="S46" s="3">
        <f>Adds!S60+IF(Params!$B$9=1,Adds!S59,Adds!S62)</f>
        <v/>
      </c>
      <c r="T46" s="3">
        <f>Adds!T60+IF(Params!$B$9=1,Adds!T59,Adds!T62)</f>
        <v/>
      </c>
      <c r="U46" s="3">
        <f>Adds!U60+IF(Params!$B$9=1,Adds!U59,Adds!U62)</f>
        <v/>
      </c>
      <c r="V46" s="3">
        <f>Adds!V60+IF(Params!$B$9=1,Adds!V59,Adds!V62)</f>
        <v/>
      </c>
      <c r="W46" s="3">
        <f>Adds!W60+IF(Params!$B$9=1,Adds!W59,Adds!W62)</f>
        <v/>
      </c>
      <c r="X46" s="3">
        <f>Adds!X60+IF(Params!$B$9=1,Adds!X59,Adds!X62)</f>
        <v/>
      </c>
      <c r="Y46" s="3">
        <f>Adds!Y60+IF(Params!$B$9=1,Adds!Y59,Adds!Y62)</f>
        <v/>
      </c>
      <c r="Z46" s="3">
        <f>Adds!Z60+IF(Params!$B$9=1,Adds!Z59,Adds!Z62)</f>
        <v/>
      </c>
      <c r="AA46" s="3">
        <f>Adds!AA60+IF(Params!$B$9=1,Adds!AA59,Adds!AA62)</f>
        <v/>
      </c>
      <c r="AB46" s="3">
        <f>Adds!AB60+IF(Params!$B$9=1,Adds!AB59,Adds!AB62)</f>
        <v/>
      </c>
      <c r="AC46" s="3">
        <f>Adds!AC60+IF(Params!$B$9=1,Adds!AC59,Adds!AC62)</f>
        <v/>
      </c>
      <c r="AD46" s="3">
        <f>Adds!AD60+IF(Params!$B$9=1,Adds!AD59,Adds!AD62)</f>
        <v/>
      </c>
      <c r="AE46" s="3">
        <f>Adds!AE60+IF(Params!$B$9=1,Adds!AE59,Adds!AE62)</f>
        <v/>
      </c>
      <c r="AF46" s="3">
        <f>Adds!AF60+IF(Params!$B$9=1,Adds!AF59,Adds!AF62)</f>
        <v/>
      </c>
      <c r="AG46" s="3">
        <f>Adds!AG60+IF(Params!$B$9=1,Adds!AG59,Adds!AG62)</f>
        <v/>
      </c>
      <c r="AH46" s="3">
        <f>Adds!AH60+IF(Params!$B$9=1,Adds!AH59,Adds!AH62)</f>
        <v/>
      </c>
      <c r="AI46" s="3">
        <f>Adds!AI60+IF(Params!$B$9=1,Adds!AI59,Adds!AI62)</f>
        <v/>
      </c>
      <c r="AJ46" s="3">
        <f>Adds!AJ60+IF(Params!$B$9=1,Adds!AJ59,Adds!AJ62)</f>
        <v/>
      </c>
      <c r="AK46" s="3">
        <f>Adds!AK60+IF(Params!$B$9=1,Adds!AK59,Adds!AK62)</f>
        <v/>
      </c>
      <c r="AL46" s="3">
        <f>Adds!AL60+IF(Params!$B$9=1,Adds!AL59,Adds!AL62)</f>
        <v/>
      </c>
      <c r="AM46" s="3">
        <f>Adds!AM60+IF(Params!$B$9=1,Adds!AM59,Adds!AM62)</f>
        <v/>
      </c>
      <c r="AN46" s="3">
        <f>Adds!AN60+IF(Params!$B$9=1,Adds!AN59,Adds!AN62)</f>
        <v/>
      </c>
      <c r="AO46" s="3">
        <f>Adds!AO60+IF(Params!$B$9=1,Adds!AO59,Adds!AO62)</f>
        <v/>
      </c>
      <c r="AP46" s="3">
        <f>Adds!AP60+IF(Params!$B$9=1,Adds!AP59,Adds!AP62)</f>
        <v/>
      </c>
      <c r="AQ46" s="3">
        <f>Adds!AQ60+IF(Params!$B$9=1,Adds!AQ59,Adds!AQ62)</f>
        <v/>
      </c>
      <c r="AR46" s="3">
        <f>Adds!AR60+IF(Params!$B$9=1,Adds!AR59,Adds!AR62)</f>
        <v/>
      </c>
      <c r="AS46" s="3">
        <f>Adds!AS60+IF(Params!$B$9=1,Adds!AS59,Adds!AS62)</f>
        <v/>
      </c>
      <c r="AT46" s="3">
        <f>Adds!AT60+IF(Params!$B$9=1,Adds!AT59,Adds!AT62)</f>
        <v/>
      </c>
      <c r="AU46" s="3">
        <f>Adds!AU60+IF(Params!$B$9=1,Adds!AU59,Adds!AU62)</f>
        <v/>
      </c>
      <c r="AV46" s="3">
        <f>Adds!AV60+IF(Params!$B$9=1,Adds!AV59,Adds!AV62)</f>
        <v/>
      </c>
      <c r="AW46" s="3">
        <f>Adds!AW60+IF(Params!$B$9=1,Adds!AW59,Adds!AW62)</f>
        <v/>
      </c>
      <c r="AX46" s="3">
        <f>Adds!AX60+IF(Params!$B$9=1,Adds!AX59,Adds!AX62)</f>
        <v/>
      </c>
      <c r="AY46" s="3">
        <f>Adds!AY60+IF(Params!$B$9=1,Adds!AY59,Adds!AY62)</f>
        <v/>
      </c>
      <c r="AZ46" s="3">
        <f>Adds!AZ60+IF(Params!$B$9=1,Adds!AZ59,Adds!AZ62)</f>
        <v/>
      </c>
      <c r="BA46" s="3">
        <f>Adds!BA60+IF(Params!$B$9=1,Adds!BA59,Adds!BA62)</f>
        <v/>
      </c>
      <c r="BB46" s="3">
        <f>Adds!BB60+IF(Params!$B$9=1,Adds!BB59,Adds!BB62)</f>
        <v/>
      </c>
      <c r="BC46" s="3">
        <f>Adds!BC60+IF(Params!$B$9=1,Adds!BC59,Adds!BC62)</f>
        <v/>
      </c>
      <c r="BD46" s="3">
        <f>Adds!BD60+IF(Params!$B$9=1,Adds!BD59,Adds!BD62)</f>
        <v/>
      </c>
      <c r="BE46" s="3">
        <f>Adds!BE60+IF(Params!$B$9=1,Adds!BE59,Adds!BE62)</f>
        <v/>
      </c>
      <c r="BF46" s="3">
        <f>Adds!BF60+IF(Params!$B$9=1,Adds!BF59,Adds!BF62)</f>
        <v/>
      </c>
      <c r="BG46" s="3">
        <f>Adds!BG60+IF(Params!$B$9=1,Adds!BG59,Adds!BG62)</f>
        <v/>
      </c>
      <c r="BH46" s="3">
        <f>Adds!BH60+IF(Params!$B$9=1,Adds!BH59,Adds!BH62)</f>
        <v/>
      </c>
      <c r="BI46" s="3">
        <f>Adds!BI60+IF(Params!$B$9=1,Adds!BI59,Adds!BI62)</f>
        <v/>
      </c>
      <c r="BJ46" s="3">
        <f>Adds!BJ60+IF(Params!$B$9=1,Adds!BJ59,Adds!BJ62)</f>
        <v/>
      </c>
      <c r="BK46" s="3">
        <f>Adds!BK60+IF(Params!$B$9=1,Adds!BK59,Adds!BK62)</f>
        <v/>
      </c>
      <c r="BL46" s="3">
        <f>Adds!BL60+IF(Params!$B$9=1,Adds!BL59,Adds!BL62)</f>
        <v/>
      </c>
      <c r="BM46" s="3">
        <f>Adds!BM60+IF(Params!$B$9=1,Adds!BM59,Adds!BM62)</f>
        <v/>
      </c>
      <c r="BN46" s="3">
        <f>Adds!BN60+IF(Params!$B$9=1,Adds!BN59,Adds!BN62)</f>
        <v/>
      </c>
      <c r="BO46" s="3">
        <f>Adds!BO60+IF(Params!$B$9=1,Adds!BO59,Adds!BO62)</f>
        <v/>
      </c>
      <c r="BP46" s="3">
        <f>Adds!BP60+IF(Params!$B$9=1,Adds!BP59,Adds!BP62)</f>
        <v/>
      </c>
      <c r="BQ46" s="3">
        <f>Adds!BQ60+IF(Params!$B$9=1,Adds!BQ59,Adds!BQ62)</f>
        <v/>
      </c>
      <c r="BR46" s="3">
        <f>Adds!BR60+IF(Params!$B$9=1,Adds!BR59,Adds!BR62)</f>
        <v/>
      </c>
      <c r="BS46" s="3">
        <f>Adds!BS60+IF(Params!$B$9=1,Adds!BS59,Adds!BS62)</f>
        <v/>
      </c>
      <c r="BT46" s="3">
        <f>Adds!BT60+IF(Params!$B$9=1,Adds!BT59,Adds!BT62)</f>
        <v/>
      </c>
      <c r="BU46" s="3">
        <f>Adds!BU60+IF(Params!$B$9=1,Adds!BU59,Adds!BU62)</f>
        <v/>
      </c>
      <c r="BV46" s="3">
        <f>Adds!BV60+IF(Params!$B$9=1,Adds!BV59,Adds!BV62)</f>
        <v/>
      </c>
    </row>
    <row r="47">
      <c r="A47" t="inlineStr">
        <is>
          <t>reactivated</t>
        </is>
      </c>
      <c r="B47" t="inlineStr">
        <is>
          <t>EUROPE|NITRO_A</t>
        </is>
      </c>
      <c r="C47" s="3">
        <f>React!C40</f>
        <v/>
      </c>
      <c r="D47" s="3">
        <f>React!D40</f>
        <v/>
      </c>
      <c r="E47" s="3">
        <f>React!E40</f>
        <v/>
      </c>
      <c r="F47" s="3">
        <f>React!F40</f>
        <v/>
      </c>
      <c r="G47" s="3">
        <f>React!G40</f>
        <v/>
      </c>
      <c r="H47" s="3">
        <f>React!H40</f>
        <v/>
      </c>
      <c r="I47" s="3">
        <f>React!I40</f>
        <v/>
      </c>
      <c r="J47" s="3">
        <f>React!J40</f>
        <v/>
      </c>
      <c r="K47" s="3">
        <f>React!K40</f>
        <v/>
      </c>
      <c r="L47" s="3">
        <f>React!L40</f>
        <v/>
      </c>
      <c r="M47" s="3">
        <f>React!M40</f>
        <v/>
      </c>
      <c r="N47" s="3">
        <f>React!N40</f>
        <v/>
      </c>
      <c r="O47" s="3">
        <f>React!O40</f>
        <v/>
      </c>
      <c r="P47" s="3">
        <f>React!P40</f>
        <v/>
      </c>
      <c r="Q47" s="3">
        <f>React!Q40</f>
        <v/>
      </c>
      <c r="R47" s="3">
        <f>React!R40</f>
        <v/>
      </c>
      <c r="S47" s="3">
        <f>React!S40</f>
        <v/>
      </c>
      <c r="T47" s="3">
        <f>React!T40</f>
        <v/>
      </c>
      <c r="U47" s="3">
        <f>React!U40</f>
        <v/>
      </c>
      <c r="V47" s="3">
        <f>React!V40</f>
        <v/>
      </c>
      <c r="W47" s="3">
        <f>React!W40</f>
        <v/>
      </c>
      <c r="X47" s="3">
        <f>React!X40</f>
        <v/>
      </c>
      <c r="Y47" s="3">
        <f>React!Y40</f>
        <v/>
      </c>
      <c r="Z47" s="3">
        <f>React!Z40</f>
        <v/>
      </c>
      <c r="AA47" s="3">
        <f>React!AA40</f>
        <v/>
      </c>
      <c r="AB47" s="3">
        <f>React!AB40</f>
        <v/>
      </c>
      <c r="AC47" s="3">
        <f>React!AC40</f>
        <v/>
      </c>
      <c r="AD47" s="3">
        <f>React!AD40</f>
        <v/>
      </c>
      <c r="AE47" s="3">
        <f>React!AE40</f>
        <v/>
      </c>
      <c r="AF47" s="3">
        <f>React!AF40</f>
        <v/>
      </c>
      <c r="AG47" s="3">
        <f>React!AG40</f>
        <v/>
      </c>
      <c r="AH47" s="3">
        <f>React!AH40</f>
        <v/>
      </c>
      <c r="AI47" s="3">
        <f>React!AI40</f>
        <v/>
      </c>
      <c r="AJ47" s="3">
        <f>React!AJ40</f>
        <v/>
      </c>
      <c r="AK47" s="3">
        <f>React!AK40</f>
        <v/>
      </c>
      <c r="AL47" s="3">
        <f>React!AL40</f>
        <v/>
      </c>
      <c r="AM47" s="3">
        <f>React!AM40</f>
        <v/>
      </c>
      <c r="AN47" s="3">
        <f>React!AN40</f>
        <v/>
      </c>
      <c r="AO47" s="3">
        <f>React!AO40</f>
        <v/>
      </c>
      <c r="AP47" s="3">
        <f>React!AP40</f>
        <v/>
      </c>
      <c r="AQ47" s="3">
        <f>React!AQ40</f>
        <v/>
      </c>
      <c r="AR47" s="3">
        <f>React!AR40</f>
        <v/>
      </c>
      <c r="AS47" s="3">
        <f>React!AS40</f>
        <v/>
      </c>
      <c r="AT47" s="3">
        <f>React!AT40</f>
        <v/>
      </c>
      <c r="AU47" s="3">
        <f>React!AU40</f>
        <v/>
      </c>
      <c r="AV47" s="3">
        <f>React!AV40</f>
        <v/>
      </c>
      <c r="AW47" s="3">
        <f>React!AW40</f>
        <v/>
      </c>
      <c r="AX47" s="3">
        <f>React!AX40</f>
        <v/>
      </c>
      <c r="AY47" s="3">
        <f>React!AY40</f>
        <v/>
      </c>
      <c r="AZ47" s="3">
        <f>React!AZ40</f>
        <v/>
      </c>
      <c r="BA47" s="3">
        <f>React!BA40</f>
        <v/>
      </c>
      <c r="BB47" s="3">
        <f>React!BB40</f>
        <v/>
      </c>
      <c r="BC47" s="3">
        <f>React!BC40</f>
        <v/>
      </c>
      <c r="BD47" s="3">
        <f>React!BD40</f>
        <v/>
      </c>
      <c r="BE47" s="3">
        <f>React!BE40</f>
        <v/>
      </c>
      <c r="BF47" s="3">
        <f>React!BF40</f>
        <v/>
      </c>
      <c r="BG47" s="3">
        <f>React!BG40</f>
        <v/>
      </c>
      <c r="BH47" s="3">
        <f>React!BH40</f>
        <v/>
      </c>
      <c r="BI47" s="3">
        <f>React!BI40</f>
        <v/>
      </c>
      <c r="BJ47" s="3">
        <f>React!BJ40</f>
        <v/>
      </c>
      <c r="BK47" s="3">
        <f>React!BK40</f>
        <v/>
      </c>
      <c r="BL47" s="3">
        <f>React!BL40</f>
        <v/>
      </c>
      <c r="BM47" s="3">
        <f>React!BM40</f>
        <v/>
      </c>
      <c r="BN47" s="3">
        <f>React!BN40</f>
        <v/>
      </c>
      <c r="BO47" s="3">
        <f>React!BO40</f>
        <v/>
      </c>
      <c r="BP47" s="3">
        <f>React!BP40</f>
        <v/>
      </c>
      <c r="BQ47" s="3">
        <f>React!BQ40</f>
        <v/>
      </c>
      <c r="BR47" s="3">
        <f>React!BR40</f>
        <v/>
      </c>
      <c r="BS47" s="3">
        <f>React!BS40</f>
        <v/>
      </c>
      <c r="BT47" s="3">
        <f>React!BT40</f>
        <v/>
      </c>
      <c r="BU47" s="3">
        <f>React!BU40</f>
        <v/>
      </c>
      <c r="BV47" s="3">
        <f>React!BV40</f>
        <v/>
      </c>
    </row>
    <row r="48">
      <c r="A48" t="inlineStr">
        <is>
          <t>churned</t>
        </is>
      </c>
      <c r="B48" t="inlineStr">
        <is>
          <t>EUROPE|NITRO_A</t>
        </is>
      </c>
      <c r="C48" s="3">
        <f>Legacy!C27+Paid!C25+React!C43+Params!$B$9*Adds!C63</f>
        <v/>
      </c>
      <c r="D48" s="3">
        <f>Legacy!D27+Paid!D25+React!D43+Params!$B$9*Adds!D63</f>
        <v/>
      </c>
      <c r="E48" s="3">
        <f>Legacy!E27+Paid!E25+React!E43+Params!$B$9*Adds!E63</f>
        <v/>
      </c>
      <c r="F48" s="3">
        <f>Legacy!F27+Paid!F25+React!F43+Params!$B$9*Adds!F63</f>
        <v/>
      </c>
      <c r="G48" s="3">
        <f>Legacy!G27+Paid!G25+React!G43+Params!$B$9*Adds!G63</f>
        <v/>
      </c>
      <c r="H48" s="3">
        <f>Legacy!H27+Paid!H25+React!H43+Params!$B$9*Adds!H63</f>
        <v/>
      </c>
      <c r="I48" s="3">
        <f>Legacy!I27+Paid!I25+React!I43+Params!$B$9*Adds!I63</f>
        <v/>
      </c>
      <c r="J48" s="3">
        <f>Legacy!J27+Paid!J25+React!J43+Params!$B$9*Adds!J63</f>
        <v/>
      </c>
      <c r="K48" s="3">
        <f>Legacy!K27+Paid!K25+React!K43+Params!$B$9*Adds!K63</f>
        <v/>
      </c>
      <c r="L48" s="3">
        <f>Legacy!L27+Paid!L25+React!L43+Params!$B$9*Adds!L63</f>
        <v/>
      </c>
      <c r="M48" s="3">
        <f>Legacy!M27+Paid!M25+React!M43+Params!$B$9*Adds!M63</f>
        <v/>
      </c>
      <c r="N48" s="3">
        <f>Legacy!N27+Paid!N25+React!N43+Params!$B$9*Adds!N63</f>
        <v/>
      </c>
      <c r="O48" s="3">
        <f>Legacy!O27+Paid!O25+React!O43+Params!$B$9*Adds!O63</f>
        <v/>
      </c>
      <c r="P48" s="3">
        <f>Legacy!P27+Paid!P25+React!P43+Params!$B$9*Adds!P63</f>
        <v/>
      </c>
      <c r="Q48" s="3">
        <f>Legacy!Q27+Paid!Q25+React!Q43+Params!$B$9*Adds!Q63</f>
        <v/>
      </c>
      <c r="R48" s="3">
        <f>Legacy!R27+Paid!R25+React!R43+Params!$B$9*Adds!R63</f>
        <v/>
      </c>
      <c r="S48" s="3">
        <f>Legacy!S27+Paid!S25+React!S43+Params!$B$9*Adds!S63</f>
        <v/>
      </c>
      <c r="T48" s="3">
        <f>Legacy!T27+Paid!T25+React!T43+Params!$B$9*Adds!T63</f>
        <v/>
      </c>
      <c r="U48" s="3">
        <f>Legacy!U27+Paid!U25+React!U43+Params!$B$9*Adds!U63</f>
        <v/>
      </c>
      <c r="V48" s="3">
        <f>Legacy!V27+Paid!V25+React!V43+Params!$B$9*Adds!V63</f>
        <v/>
      </c>
      <c r="W48" s="3">
        <f>Legacy!W27+Paid!W25+React!W43+Params!$B$9*Adds!W63</f>
        <v/>
      </c>
      <c r="X48" s="3">
        <f>Legacy!X27+Paid!X25+React!X43+Params!$B$9*Adds!X63</f>
        <v/>
      </c>
      <c r="Y48" s="3">
        <f>Legacy!Y27+Paid!Y25+React!Y43+Params!$B$9*Adds!Y63</f>
        <v/>
      </c>
      <c r="Z48" s="3">
        <f>Legacy!Z27+Paid!Z25+React!Z43+Params!$B$9*Adds!Z63</f>
        <v/>
      </c>
      <c r="AA48" s="3">
        <f>Legacy!AA27+Paid!AA25+React!AA43+Params!$B$9*Adds!AA63</f>
        <v/>
      </c>
      <c r="AB48" s="3">
        <f>Legacy!AB27+Paid!AB25+React!AB43+Params!$B$9*Adds!AB63</f>
        <v/>
      </c>
      <c r="AC48" s="3">
        <f>Legacy!AC27+Paid!AC25+React!AC43+Params!$B$9*Adds!AC63</f>
        <v/>
      </c>
      <c r="AD48" s="3">
        <f>Legacy!AD27+Paid!AD25+React!AD43+Params!$B$9*Adds!AD63</f>
        <v/>
      </c>
      <c r="AE48" s="3">
        <f>Legacy!AE27+Paid!AE25+React!AE43+Params!$B$9*Adds!AE63</f>
        <v/>
      </c>
      <c r="AF48" s="3">
        <f>Legacy!AF27+Paid!AF25+React!AF43+Params!$B$9*Adds!AF63</f>
        <v/>
      </c>
      <c r="AG48" s="3">
        <f>Legacy!AG27+Paid!AG25+React!AG43+Params!$B$9*Adds!AG63</f>
        <v/>
      </c>
      <c r="AH48" s="3">
        <f>Legacy!AH27+Paid!AH25+React!AH43+Params!$B$9*Adds!AH63</f>
        <v/>
      </c>
      <c r="AI48" s="3">
        <f>Legacy!AI27+Paid!AI25+React!AI43+Params!$B$9*Adds!AI63</f>
        <v/>
      </c>
      <c r="AJ48" s="3">
        <f>Legacy!AJ27+Paid!AJ25+React!AJ43+Params!$B$9*Adds!AJ63</f>
        <v/>
      </c>
      <c r="AK48" s="3">
        <f>Legacy!AK27+Paid!AK25+React!AK43+Params!$B$9*Adds!AK63</f>
        <v/>
      </c>
      <c r="AL48" s="3">
        <f>Legacy!AL27+Paid!AL25+React!AL43+Params!$B$9*Adds!AL63</f>
        <v/>
      </c>
      <c r="AM48" s="3">
        <f>Legacy!AM27+Paid!AM25+React!AM43+Params!$B$9*Adds!AM63</f>
        <v/>
      </c>
      <c r="AN48" s="3">
        <f>Legacy!AN27+Paid!AN25+React!AN43+Params!$B$9*Adds!AN63</f>
        <v/>
      </c>
      <c r="AO48" s="3">
        <f>Legacy!AO27+Paid!AO25+React!AO43+Params!$B$9*Adds!AO63</f>
        <v/>
      </c>
      <c r="AP48" s="3">
        <f>Legacy!AP27+Paid!AP25+React!AP43+Params!$B$9*Adds!AP63</f>
        <v/>
      </c>
      <c r="AQ48" s="3">
        <f>Legacy!AQ27+Paid!AQ25+React!AQ43+Params!$B$9*Adds!AQ63</f>
        <v/>
      </c>
      <c r="AR48" s="3">
        <f>Legacy!AR27+Paid!AR25+React!AR43+Params!$B$9*Adds!AR63</f>
        <v/>
      </c>
      <c r="AS48" s="3">
        <f>Legacy!AS27+Paid!AS25+React!AS43+Params!$B$9*Adds!AS63</f>
        <v/>
      </c>
      <c r="AT48" s="3">
        <f>Legacy!AT27+Paid!AT25+React!AT43+Params!$B$9*Adds!AT63</f>
        <v/>
      </c>
      <c r="AU48" s="3">
        <f>Legacy!AU27+Paid!AU25+React!AU43+Params!$B$9*Adds!AU63</f>
        <v/>
      </c>
      <c r="AV48" s="3">
        <f>Legacy!AV27+Paid!AV25+React!AV43+Params!$B$9*Adds!AV63</f>
        <v/>
      </c>
      <c r="AW48" s="3">
        <f>Legacy!AW27+Paid!AW25+React!AW43+Params!$B$9*Adds!AW63</f>
        <v/>
      </c>
      <c r="AX48" s="3">
        <f>Legacy!AX27+Paid!AX25+React!AX43+Params!$B$9*Adds!AX63</f>
        <v/>
      </c>
      <c r="AY48" s="3">
        <f>Legacy!AY27+Paid!AY25+React!AY43+Params!$B$9*Adds!AY63</f>
        <v/>
      </c>
      <c r="AZ48" s="3">
        <f>Legacy!AZ27+Paid!AZ25+React!AZ43+Params!$B$9*Adds!AZ63</f>
        <v/>
      </c>
      <c r="BA48" s="3">
        <f>Legacy!BA27+Paid!BA25+React!BA43+Params!$B$9*Adds!BA63</f>
        <v/>
      </c>
      <c r="BB48" s="3">
        <f>Legacy!BB27+Paid!BB25+React!BB43+Params!$B$9*Adds!BB63</f>
        <v/>
      </c>
      <c r="BC48" s="3">
        <f>Legacy!BC27+Paid!BC25+React!BC43+Params!$B$9*Adds!BC63</f>
        <v/>
      </c>
      <c r="BD48" s="3">
        <f>Legacy!BD27+Paid!BD25+React!BD43+Params!$B$9*Adds!BD63</f>
        <v/>
      </c>
      <c r="BE48" s="3">
        <f>Legacy!BE27+Paid!BE25+React!BE43+Params!$B$9*Adds!BE63</f>
        <v/>
      </c>
      <c r="BF48" s="3">
        <f>Legacy!BF27+Paid!BF25+React!BF43+Params!$B$9*Adds!BF63</f>
        <v/>
      </c>
      <c r="BG48" s="3">
        <f>Legacy!BG27+Paid!BG25+React!BG43+Params!$B$9*Adds!BG63</f>
        <v/>
      </c>
      <c r="BH48" s="3">
        <f>Legacy!BH27+Paid!BH25+React!BH43+Params!$B$9*Adds!BH63</f>
        <v/>
      </c>
      <c r="BI48" s="3">
        <f>Legacy!BI27+Paid!BI25+React!BI43+Params!$B$9*Adds!BI63</f>
        <v/>
      </c>
      <c r="BJ48" s="3">
        <f>Legacy!BJ27+Paid!BJ25+React!BJ43+Params!$B$9*Adds!BJ63</f>
        <v/>
      </c>
      <c r="BK48" s="3">
        <f>Legacy!BK27+Paid!BK25+React!BK43+Params!$B$9*Adds!BK63</f>
        <v/>
      </c>
      <c r="BL48" s="3">
        <f>Legacy!BL27+Paid!BL25+React!BL43+Params!$B$9*Adds!BL63</f>
        <v/>
      </c>
      <c r="BM48" s="3">
        <f>Legacy!BM27+Paid!BM25+React!BM43+Params!$B$9*Adds!BM63</f>
        <v/>
      </c>
      <c r="BN48" s="3">
        <f>Legacy!BN27+Paid!BN25+React!BN43+Params!$B$9*Adds!BN63</f>
        <v/>
      </c>
      <c r="BO48" s="3">
        <f>Legacy!BO27+Paid!BO25+React!BO43+Params!$B$9*Adds!BO63</f>
        <v/>
      </c>
      <c r="BP48" s="3">
        <f>Legacy!BP27+Paid!BP25+React!BP43+Params!$B$9*Adds!BP63</f>
        <v/>
      </c>
      <c r="BQ48" s="3">
        <f>Legacy!BQ27+Paid!BQ25+React!BQ43+Params!$B$9*Adds!BQ63</f>
        <v/>
      </c>
      <c r="BR48" s="3">
        <f>Legacy!BR27+Paid!BR25+React!BR43+Params!$B$9*Adds!BR63</f>
        <v/>
      </c>
      <c r="BS48" s="3">
        <f>Legacy!BS27+Paid!BS25+React!BS43+Params!$B$9*Adds!BS63</f>
        <v/>
      </c>
      <c r="BT48" s="3">
        <f>Legacy!BT27+Paid!BT25+React!BT43+Params!$B$9*Adds!BT63</f>
        <v/>
      </c>
      <c r="BU48" s="3">
        <f>Legacy!BU27+Paid!BU25+React!BU43+Params!$B$9*Adds!BU63</f>
        <v/>
      </c>
      <c r="BV48" s="3">
        <f>Legacy!BV27+Paid!BV25+React!BV43+Params!$B$9*Adds!BV63</f>
        <v/>
      </c>
    </row>
    <row r="49">
      <c r="A49" t="inlineStr">
        <is>
          <t>closing</t>
        </is>
      </c>
      <c r="B49" t="inlineStr">
        <is>
          <t>EUROPE|NITRO_A</t>
        </is>
      </c>
      <c r="C49" s="3">
        <f>C50+Params!$B$9*Adds!C66</f>
        <v/>
      </c>
      <c r="D49" s="3">
        <f>D50+Params!$B$9*Adds!D66</f>
        <v/>
      </c>
      <c r="E49" s="3">
        <f>E50+Params!$B$9*Adds!E66</f>
        <v/>
      </c>
      <c r="F49" s="3">
        <f>F50+Params!$B$9*Adds!F66</f>
        <v/>
      </c>
      <c r="G49" s="3">
        <f>G50+Params!$B$9*Adds!G66</f>
        <v/>
      </c>
      <c r="H49" s="3">
        <f>H50+Params!$B$9*Adds!H66</f>
        <v/>
      </c>
      <c r="I49" s="3">
        <f>I50+Params!$B$9*Adds!I66</f>
        <v/>
      </c>
      <c r="J49" s="3">
        <f>J50+Params!$B$9*Adds!J66</f>
        <v/>
      </c>
      <c r="K49" s="3">
        <f>K50+Params!$B$9*Adds!K66</f>
        <v/>
      </c>
      <c r="L49" s="3">
        <f>L50+Params!$B$9*Adds!L66</f>
        <v/>
      </c>
      <c r="M49" s="3">
        <f>M50+Params!$B$9*Adds!M66</f>
        <v/>
      </c>
      <c r="N49" s="3">
        <f>N50+Params!$B$9*Adds!N66</f>
        <v/>
      </c>
      <c r="O49" s="3">
        <f>O50+Params!$B$9*Adds!O66</f>
        <v/>
      </c>
      <c r="P49" s="3">
        <f>P50+Params!$B$9*Adds!P66</f>
        <v/>
      </c>
      <c r="Q49" s="3">
        <f>Q50+Params!$B$9*Adds!Q66</f>
        <v/>
      </c>
      <c r="R49" s="3">
        <f>R50+Params!$B$9*Adds!R66</f>
        <v/>
      </c>
      <c r="S49" s="3">
        <f>S50+Params!$B$9*Adds!S66</f>
        <v/>
      </c>
      <c r="T49" s="3">
        <f>T50+Params!$B$9*Adds!T66</f>
        <v/>
      </c>
      <c r="U49" s="3">
        <f>U50+Params!$B$9*Adds!U66</f>
        <v/>
      </c>
      <c r="V49" s="3">
        <f>V50+Params!$B$9*Adds!V66</f>
        <v/>
      </c>
      <c r="W49" s="3">
        <f>W50+Params!$B$9*Adds!W66</f>
        <v/>
      </c>
      <c r="X49" s="3">
        <f>X50+Params!$B$9*Adds!X66</f>
        <v/>
      </c>
      <c r="Y49" s="3">
        <f>Y50+Params!$B$9*Adds!Y66</f>
        <v/>
      </c>
      <c r="Z49" s="3">
        <f>Z50+Params!$B$9*Adds!Z66</f>
        <v/>
      </c>
      <c r="AA49" s="3">
        <f>AA50+Params!$B$9*Adds!AA66</f>
        <v/>
      </c>
      <c r="AB49" s="3">
        <f>AB50+Params!$B$9*Adds!AB66</f>
        <v/>
      </c>
      <c r="AC49" s="3">
        <f>AC50+Params!$B$9*Adds!AC66</f>
        <v/>
      </c>
      <c r="AD49" s="3">
        <f>AD50+Params!$B$9*Adds!AD66</f>
        <v/>
      </c>
      <c r="AE49" s="3">
        <f>AE50+Params!$B$9*Adds!AE66</f>
        <v/>
      </c>
      <c r="AF49" s="3">
        <f>AF50+Params!$B$9*Adds!AF66</f>
        <v/>
      </c>
      <c r="AG49" s="3">
        <f>AG50+Params!$B$9*Adds!AG66</f>
        <v/>
      </c>
      <c r="AH49" s="3">
        <f>AH50+Params!$B$9*Adds!AH66</f>
        <v/>
      </c>
      <c r="AI49" s="3">
        <f>AI50+Params!$B$9*Adds!AI66</f>
        <v/>
      </c>
      <c r="AJ49" s="3">
        <f>AJ50+Params!$B$9*Adds!AJ66</f>
        <v/>
      </c>
      <c r="AK49" s="3">
        <f>AK50+Params!$B$9*Adds!AK66</f>
        <v/>
      </c>
      <c r="AL49" s="3">
        <f>AL50+Params!$B$9*Adds!AL66</f>
        <v/>
      </c>
      <c r="AM49" s="3">
        <f>AM50+Params!$B$9*Adds!AM66</f>
        <v/>
      </c>
      <c r="AN49" s="3">
        <f>AN50+Params!$B$9*Adds!AN66</f>
        <v/>
      </c>
      <c r="AO49" s="3">
        <f>AO50+Params!$B$9*Adds!AO66</f>
        <v/>
      </c>
      <c r="AP49" s="3">
        <f>AP50+Params!$B$9*Adds!AP66</f>
        <v/>
      </c>
      <c r="AQ49" s="3">
        <f>AQ50+Params!$B$9*Adds!AQ66</f>
        <v/>
      </c>
      <c r="AR49" s="3">
        <f>AR50+Params!$B$9*Adds!AR66</f>
        <v/>
      </c>
      <c r="AS49" s="3">
        <f>AS50+Params!$B$9*Adds!AS66</f>
        <v/>
      </c>
      <c r="AT49" s="3">
        <f>AT50+Params!$B$9*Adds!AT66</f>
        <v/>
      </c>
      <c r="AU49" s="3">
        <f>AU50+Params!$B$9*Adds!AU66</f>
        <v/>
      </c>
      <c r="AV49" s="3">
        <f>AV50+Params!$B$9*Adds!AV66</f>
        <v/>
      </c>
      <c r="AW49" s="3">
        <f>AW50+Params!$B$9*Adds!AW66</f>
        <v/>
      </c>
      <c r="AX49" s="3">
        <f>AX50+Params!$B$9*Adds!AX66</f>
        <v/>
      </c>
      <c r="AY49" s="3">
        <f>AY50+Params!$B$9*Adds!AY66</f>
        <v/>
      </c>
      <c r="AZ49" s="3">
        <f>AZ50+Params!$B$9*Adds!AZ66</f>
        <v/>
      </c>
      <c r="BA49" s="3">
        <f>BA50+Params!$B$9*Adds!BA66</f>
        <v/>
      </c>
      <c r="BB49" s="3">
        <f>BB50+Params!$B$9*Adds!BB66</f>
        <v/>
      </c>
      <c r="BC49" s="3">
        <f>BC50+Params!$B$9*Adds!BC66</f>
        <v/>
      </c>
      <c r="BD49" s="3">
        <f>BD50+Params!$B$9*Adds!BD66</f>
        <v/>
      </c>
      <c r="BE49" s="3">
        <f>BE50+Params!$B$9*Adds!BE66</f>
        <v/>
      </c>
      <c r="BF49" s="3">
        <f>BF50+Params!$B$9*Adds!BF66</f>
        <v/>
      </c>
      <c r="BG49" s="3">
        <f>BG50+Params!$B$9*Adds!BG66</f>
        <v/>
      </c>
      <c r="BH49" s="3">
        <f>BH50+Params!$B$9*Adds!BH66</f>
        <v/>
      </c>
      <c r="BI49" s="3">
        <f>BI50+Params!$B$9*Adds!BI66</f>
        <v/>
      </c>
      <c r="BJ49" s="3">
        <f>BJ50+Params!$B$9*Adds!BJ66</f>
        <v/>
      </c>
      <c r="BK49" s="3">
        <f>BK50+Params!$B$9*Adds!BK66</f>
        <v/>
      </c>
      <c r="BL49" s="3">
        <f>BL50+Params!$B$9*Adds!BL66</f>
        <v/>
      </c>
      <c r="BM49" s="3">
        <f>BM50+Params!$B$9*Adds!BM66</f>
        <v/>
      </c>
      <c r="BN49" s="3">
        <f>BN50+Params!$B$9*Adds!BN66</f>
        <v/>
      </c>
      <c r="BO49" s="3">
        <f>BO50+Params!$B$9*Adds!BO66</f>
        <v/>
      </c>
      <c r="BP49" s="3">
        <f>BP50+Params!$B$9*Adds!BP66</f>
        <v/>
      </c>
      <c r="BQ49" s="3">
        <f>BQ50+Params!$B$9*Adds!BQ66</f>
        <v/>
      </c>
      <c r="BR49" s="3">
        <f>BR50+Params!$B$9*Adds!BR66</f>
        <v/>
      </c>
      <c r="BS49" s="3">
        <f>BS50+Params!$B$9*Adds!BS66</f>
        <v/>
      </c>
      <c r="BT49" s="3">
        <f>BT50+Params!$B$9*Adds!BT66</f>
        <v/>
      </c>
      <c r="BU49" s="3">
        <f>BU50+Params!$B$9*Adds!BU66</f>
        <v/>
      </c>
      <c r="BV49" s="3">
        <f>BV50+Params!$B$9*Adds!BV66</f>
        <v/>
      </c>
    </row>
    <row r="50">
      <c r="A50" t="inlineStr">
        <is>
          <t>paying</t>
        </is>
      </c>
      <c r="B50" t="inlineStr">
        <is>
          <t>EUROPE|NITRO_A</t>
        </is>
      </c>
      <c r="C50" s="3">
        <f>Legacy!C26+Paid!C23+React!C41</f>
        <v/>
      </c>
      <c r="D50" s="3">
        <f>Legacy!D26+Paid!D23+React!D41</f>
        <v/>
      </c>
      <c r="E50" s="3">
        <f>Legacy!E26+Paid!E23+React!E41</f>
        <v/>
      </c>
      <c r="F50" s="3">
        <f>Legacy!F26+Paid!F23+React!F41</f>
        <v/>
      </c>
      <c r="G50" s="3">
        <f>Legacy!G26+Paid!G23+React!G41</f>
        <v/>
      </c>
      <c r="H50" s="3">
        <f>Legacy!H26+Paid!H23+React!H41</f>
        <v/>
      </c>
      <c r="I50" s="3">
        <f>Legacy!I26+Paid!I23+React!I41</f>
        <v/>
      </c>
      <c r="J50" s="3">
        <f>Legacy!J26+Paid!J23+React!J41</f>
        <v/>
      </c>
      <c r="K50" s="3">
        <f>Legacy!K26+Paid!K23+React!K41</f>
        <v/>
      </c>
      <c r="L50" s="3">
        <f>Legacy!L26+Paid!L23+React!L41</f>
        <v/>
      </c>
      <c r="M50" s="3">
        <f>Legacy!M26+Paid!M23+React!M41</f>
        <v/>
      </c>
      <c r="N50" s="3">
        <f>Legacy!N26+Paid!N23+React!N41</f>
        <v/>
      </c>
      <c r="O50" s="3">
        <f>Legacy!O26+Paid!O23+React!O41</f>
        <v/>
      </c>
      <c r="P50" s="3">
        <f>Legacy!P26+Paid!P23+React!P41</f>
        <v/>
      </c>
      <c r="Q50" s="3">
        <f>Legacy!Q26+Paid!Q23+React!Q41</f>
        <v/>
      </c>
      <c r="R50" s="3">
        <f>Legacy!R26+Paid!R23+React!R41</f>
        <v/>
      </c>
      <c r="S50" s="3">
        <f>Legacy!S26+Paid!S23+React!S41</f>
        <v/>
      </c>
      <c r="T50" s="3">
        <f>Legacy!T26+Paid!T23+React!T41</f>
        <v/>
      </c>
      <c r="U50" s="3">
        <f>Legacy!U26+Paid!U23+React!U41</f>
        <v/>
      </c>
      <c r="V50" s="3">
        <f>Legacy!V26+Paid!V23+React!V41</f>
        <v/>
      </c>
      <c r="W50" s="3">
        <f>Legacy!W26+Paid!W23+React!W41</f>
        <v/>
      </c>
      <c r="X50" s="3">
        <f>Legacy!X26+Paid!X23+React!X41</f>
        <v/>
      </c>
      <c r="Y50" s="3">
        <f>Legacy!Y26+Paid!Y23+React!Y41</f>
        <v/>
      </c>
      <c r="Z50" s="3">
        <f>Legacy!Z26+Paid!Z23+React!Z41</f>
        <v/>
      </c>
      <c r="AA50" s="3">
        <f>Legacy!AA26+Paid!AA23+React!AA41</f>
        <v/>
      </c>
      <c r="AB50" s="3">
        <f>Legacy!AB26+Paid!AB23+React!AB41</f>
        <v/>
      </c>
      <c r="AC50" s="3">
        <f>Legacy!AC26+Paid!AC23+React!AC41</f>
        <v/>
      </c>
      <c r="AD50" s="3">
        <f>Legacy!AD26+Paid!AD23+React!AD41</f>
        <v/>
      </c>
      <c r="AE50" s="3">
        <f>Legacy!AE26+Paid!AE23+React!AE41</f>
        <v/>
      </c>
      <c r="AF50" s="3">
        <f>Legacy!AF26+Paid!AF23+React!AF41</f>
        <v/>
      </c>
      <c r="AG50" s="3">
        <f>Legacy!AG26+Paid!AG23+React!AG41</f>
        <v/>
      </c>
      <c r="AH50" s="3">
        <f>Legacy!AH26+Paid!AH23+React!AH41</f>
        <v/>
      </c>
      <c r="AI50" s="3">
        <f>Legacy!AI26+Paid!AI23+React!AI41</f>
        <v/>
      </c>
      <c r="AJ50" s="3">
        <f>Legacy!AJ26+Paid!AJ23+React!AJ41</f>
        <v/>
      </c>
      <c r="AK50" s="3">
        <f>Legacy!AK26+Paid!AK23+React!AK41</f>
        <v/>
      </c>
      <c r="AL50" s="3">
        <f>Legacy!AL26+Paid!AL23+React!AL41</f>
        <v/>
      </c>
      <c r="AM50" s="3">
        <f>Legacy!AM26+Paid!AM23+React!AM41</f>
        <v/>
      </c>
      <c r="AN50" s="3">
        <f>Legacy!AN26+Paid!AN23+React!AN41</f>
        <v/>
      </c>
      <c r="AO50" s="3">
        <f>Legacy!AO26+Paid!AO23+React!AO41</f>
        <v/>
      </c>
      <c r="AP50" s="3">
        <f>Legacy!AP26+Paid!AP23+React!AP41</f>
        <v/>
      </c>
      <c r="AQ50" s="3">
        <f>Legacy!AQ26+Paid!AQ23+React!AQ41</f>
        <v/>
      </c>
      <c r="AR50" s="3">
        <f>Legacy!AR26+Paid!AR23+React!AR41</f>
        <v/>
      </c>
      <c r="AS50" s="3">
        <f>Legacy!AS26+Paid!AS23+React!AS41</f>
        <v/>
      </c>
      <c r="AT50" s="3">
        <f>Legacy!AT26+Paid!AT23+React!AT41</f>
        <v/>
      </c>
      <c r="AU50" s="3">
        <f>Legacy!AU26+Paid!AU23+React!AU41</f>
        <v/>
      </c>
      <c r="AV50" s="3">
        <f>Legacy!AV26+Paid!AV23+React!AV41</f>
        <v/>
      </c>
      <c r="AW50" s="3">
        <f>Legacy!AW26+Paid!AW23+React!AW41</f>
        <v/>
      </c>
      <c r="AX50" s="3">
        <f>Legacy!AX26+Paid!AX23+React!AX41</f>
        <v/>
      </c>
      <c r="AY50" s="3">
        <f>Legacy!AY26+Paid!AY23+React!AY41</f>
        <v/>
      </c>
      <c r="AZ50" s="3">
        <f>Legacy!AZ26+Paid!AZ23+React!AZ41</f>
        <v/>
      </c>
      <c r="BA50" s="3">
        <f>Legacy!BA26+Paid!BA23+React!BA41</f>
        <v/>
      </c>
      <c r="BB50" s="3">
        <f>Legacy!BB26+Paid!BB23+React!BB41</f>
        <v/>
      </c>
      <c r="BC50" s="3">
        <f>Legacy!BC26+Paid!BC23+React!BC41</f>
        <v/>
      </c>
      <c r="BD50" s="3">
        <f>Legacy!BD26+Paid!BD23+React!BD41</f>
        <v/>
      </c>
      <c r="BE50" s="3">
        <f>Legacy!BE26+Paid!BE23+React!BE41</f>
        <v/>
      </c>
      <c r="BF50" s="3">
        <f>Legacy!BF26+Paid!BF23+React!BF41</f>
        <v/>
      </c>
      <c r="BG50" s="3">
        <f>Legacy!BG26+Paid!BG23+React!BG41</f>
        <v/>
      </c>
      <c r="BH50" s="3">
        <f>Legacy!BH26+Paid!BH23+React!BH41</f>
        <v/>
      </c>
      <c r="BI50" s="3">
        <f>Legacy!BI26+Paid!BI23+React!BI41</f>
        <v/>
      </c>
      <c r="BJ50" s="3">
        <f>Legacy!BJ26+Paid!BJ23+React!BJ41</f>
        <v/>
      </c>
      <c r="BK50" s="3">
        <f>Legacy!BK26+Paid!BK23+React!BK41</f>
        <v/>
      </c>
      <c r="BL50" s="3">
        <f>Legacy!BL26+Paid!BL23+React!BL41</f>
        <v/>
      </c>
      <c r="BM50" s="3">
        <f>Legacy!BM26+Paid!BM23+React!BM41</f>
        <v/>
      </c>
      <c r="BN50" s="3">
        <f>Legacy!BN26+Paid!BN23+React!BN41</f>
        <v/>
      </c>
      <c r="BO50" s="3">
        <f>Legacy!BO26+Paid!BO23+React!BO41</f>
        <v/>
      </c>
      <c r="BP50" s="3">
        <f>Legacy!BP26+Paid!BP23+React!BP41</f>
        <v/>
      </c>
      <c r="BQ50" s="3">
        <f>Legacy!BQ26+Paid!BQ23+React!BQ41</f>
        <v/>
      </c>
      <c r="BR50" s="3">
        <f>Legacy!BR26+Paid!BR23+React!BR41</f>
        <v/>
      </c>
      <c r="BS50" s="3">
        <f>Legacy!BS26+Paid!BS23+React!BS41</f>
        <v/>
      </c>
      <c r="BT50" s="3">
        <f>Legacy!BT26+Paid!BT23+React!BT41</f>
        <v/>
      </c>
      <c r="BU50" s="3">
        <f>Legacy!BU26+Paid!BU23+React!BU41</f>
        <v/>
      </c>
      <c r="BV50" s="3">
        <f>Legacy!BV26+Paid!BV23+React!BV41</f>
        <v/>
      </c>
    </row>
    <row r="52">
      <c r="A52" t="inlineStr">
        <is>
          <t>opening</t>
        </is>
      </c>
      <c r="B52" t="inlineStr">
        <is>
          <t>EUROPE|BASIC_M</t>
        </is>
      </c>
      <c r="C52" s="3">
        <f>Legacy!$C$29</f>
        <v/>
      </c>
      <c r="D52" s="3">
        <f>C56</f>
        <v/>
      </c>
      <c r="E52" s="3">
        <f>D56</f>
        <v/>
      </c>
      <c r="F52" s="3">
        <f>E56</f>
        <v/>
      </c>
      <c r="G52" s="3">
        <f>F56</f>
        <v/>
      </c>
      <c r="H52" s="3">
        <f>G56</f>
        <v/>
      </c>
      <c r="I52" s="3">
        <f>H56</f>
        <v/>
      </c>
      <c r="J52" s="3">
        <f>I56</f>
        <v/>
      </c>
      <c r="K52" s="3">
        <f>J56</f>
        <v/>
      </c>
      <c r="L52" s="3">
        <f>K56</f>
        <v/>
      </c>
      <c r="M52" s="3">
        <f>L56</f>
        <v/>
      </c>
      <c r="N52" s="3">
        <f>M56</f>
        <v/>
      </c>
      <c r="O52" s="3">
        <f>N56</f>
        <v/>
      </c>
      <c r="P52" s="3">
        <f>O56</f>
        <v/>
      </c>
      <c r="Q52" s="3">
        <f>P56</f>
        <v/>
      </c>
      <c r="R52" s="3">
        <f>Q56</f>
        <v/>
      </c>
      <c r="S52" s="3">
        <f>R56</f>
        <v/>
      </c>
      <c r="T52" s="3">
        <f>S56</f>
        <v/>
      </c>
      <c r="U52" s="3">
        <f>T56</f>
        <v/>
      </c>
      <c r="V52" s="3">
        <f>U56</f>
        <v/>
      </c>
      <c r="W52" s="3">
        <f>V56</f>
        <v/>
      </c>
      <c r="X52" s="3">
        <f>W56</f>
        <v/>
      </c>
      <c r="Y52" s="3">
        <f>X56</f>
        <v/>
      </c>
      <c r="Z52" s="3">
        <f>Y56</f>
        <v/>
      </c>
      <c r="AA52" s="3">
        <f>Z56</f>
        <v/>
      </c>
      <c r="AB52" s="3">
        <f>AA56</f>
        <v/>
      </c>
      <c r="AC52" s="3">
        <f>AB56</f>
        <v/>
      </c>
      <c r="AD52" s="3">
        <f>AC56</f>
        <v/>
      </c>
      <c r="AE52" s="3">
        <f>AD56</f>
        <v/>
      </c>
      <c r="AF52" s="3">
        <f>AE56</f>
        <v/>
      </c>
      <c r="AG52" s="3">
        <f>AF56</f>
        <v/>
      </c>
      <c r="AH52" s="3">
        <f>AG56</f>
        <v/>
      </c>
      <c r="AI52" s="3">
        <f>AH56</f>
        <v/>
      </c>
      <c r="AJ52" s="3">
        <f>AI56</f>
        <v/>
      </c>
      <c r="AK52" s="3">
        <f>AJ56</f>
        <v/>
      </c>
      <c r="AL52" s="3">
        <f>AK56</f>
        <v/>
      </c>
      <c r="AM52" s="3">
        <f>AL56</f>
        <v/>
      </c>
      <c r="AN52" s="3">
        <f>AM56</f>
        <v/>
      </c>
      <c r="AO52" s="3">
        <f>AN56</f>
        <v/>
      </c>
      <c r="AP52" s="3">
        <f>AO56</f>
        <v/>
      </c>
      <c r="AQ52" s="3">
        <f>AP56</f>
        <v/>
      </c>
      <c r="AR52" s="3">
        <f>AQ56</f>
        <v/>
      </c>
      <c r="AS52" s="3">
        <f>AR56</f>
        <v/>
      </c>
      <c r="AT52" s="3">
        <f>AS56</f>
        <v/>
      </c>
      <c r="AU52" s="3">
        <f>AT56</f>
        <v/>
      </c>
      <c r="AV52" s="3">
        <f>AU56</f>
        <v/>
      </c>
      <c r="AW52" s="3">
        <f>AV56</f>
        <v/>
      </c>
      <c r="AX52" s="3">
        <f>AW56</f>
        <v/>
      </c>
      <c r="AY52" s="3">
        <f>AX56</f>
        <v/>
      </c>
      <c r="AZ52" s="3">
        <f>AY56</f>
        <v/>
      </c>
      <c r="BA52" s="3">
        <f>AZ56</f>
        <v/>
      </c>
      <c r="BB52" s="3">
        <f>BA56</f>
        <v/>
      </c>
      <c r="BC52" s="3">
        <f>BB56</f>
        <v/>
      </c>
      <c r="BD52" s="3">
        <f>BC56</f>
        <v/>
      </c>
      <c r="BE52" s="3">
        <f>BD56</f>
        <v/>
      </c>
      <c r="BF52" s="3">
        <f>BE56</f>
        <v/>
      </c>
      <c r="BG52" s="3">
        <f>BF56</f>
        <v/>
      </c>
      <c r="BH52" s="3">
        <f>BG56</f>
        <v/>
      </c>
      <c r="BI52" s="3">
        <f>BH56</f>
        <v/>
      </c>
      <c r="BJ52" s="3">
        <f>BI56</f>
        <v/>
      </c>
      <c r="BK52" s="3">
        <f>BJ56</f>
        <v/>
      </c>
      <c r="BL52" s="3">
        <f>BK56</f>
        <v/>
      </c>
      <c r="BM52" s="3">
        <f>BL56</f>
        <v/>
      </c>
      <c r="BN52" s="3">
        <f>BM56</f>
        <v/>
      </c>
      <c r="BO52" s="3">
        <f>BN56</f>
        <v/>
      </c>
      <c r="BP52" s="3">
        <f>BO56</f>
        <v/>
      </c>
      <c r="BQ52" s="3">
        <f>BP56</f>
        <v/>
      </c>
      <c r="BR52" s="3">
        <f>BQ56</f>
        <v/>
      </c>
      <c r="BS52" s="3">
        <f>BR56</f>
        <v/>
      </c>
      <c r="BT52" s="3">
        <f>BS56</f>
        <v/>
      </c>
      <c r="BU52" s="3">
        <f>BT56</f>
        <v/>
      </c>
      <c r="BV52" s="3">
        <f>BU56</f>
        <v/>
      </c>
    </row>
    <row r="53">
      <c r="A53" t="inlineStr">
        <is>
          <t>new</t>
        </is>
      </c>
      <c r="B53" t="inlineStr">
        <is>
          <t>EUROPE|BASIC_M</t>
        </is>
      </c>
      <c r="C53" s="3">
        <f>Adds!C71+IF(Params!$B$9=1,Adds!C70,Adds!C73)</f>
        <v/>
      </c>
      <c r="D53" s="3">
        <f>Adds!D71+IF(Params!$B$9=1,Adds!D70,Adds!D73)</f>
        <v/>
      </c>
      <c r="E53" s="3">
        <f>Adds!E71+IF(Params!$B$9=1,Adds!E70,Adds!E73)</f>
        <v/>
      </c>
      <c r="F53" s="3">
        <f>Adds!F71+IF(Params!$B$9=1,Adds!F70,Adds!F73)</f>
        <v/>
      </c>
      <c r="G53" s="3">
        <f>Adds!G71+IF(Params!$B$9=1,Adds!G70,Adds!G73)</f>
        <v/>
      </c>
      <c r="H53" s="3">
        <f>Adds!H71+IF(Params!$B$9=1,Adds!H70,Adds!H73)</f>
        <v/>
      </c>
      <c r="I53" s="3">
        <f>Adds!I71+IF(Params!$B$9=1,Adds!I70,Adds!I73)</f>
        <v/>
      </c>
      <c r="J53" s="3">
        <f>Adds!J71+IF(Params!$B$9=1,Adds!J70,Adds!J73)</f>
        <v/>
      </c>
      <c r="K53" s="3">
        <f>Adds!K71+IF(Params!$B$9=1,Adds!K70,Adds!K73)</f>
        <v/>
      </c>
      <c r="L53" s="3">
        <f>Adds!L71+IF(Params!$B$9=1,Adds!L70,Adds!L73)</f>
        <v/>
      </c>
      <c r="M53" s="3">
        <f>Adds!M71+IF(Params!$B$9=1,Adds!M70,Adds!M73)</f>
        <v/>
      </c>
      <c r="N53" s="3">
        <f>Adds!N71+IF(Params!$B$9=1,Adds!N70,Adds!N73)</f>
        <v/>
      </c>
      <c r="O53" s="3">
        <f>Adds!O71+IF(Params!$B$9=1,Adds!O70,Adds!O73)</f>
        <v/>
      </c>
      <c r="P53" s="3">
        <f>Adds!P71+IF(Params!$B$9=1,Adds!P70,Adds!P73)</f>
        <v/>
      </c>
      <c r="Q53" s="3">
        <f>Adds!Q71+IF(Params!$B$9=1,Adds!Q70,Adds!Q73)</f>
        <v/>
      </c>
      <c r="R53" s="3">
        <f>Adds!R71+IF(Params!$B$9=1,Adds!R70,Adds!R73)</f>
        <v/>
      </c>
      <c r="S53" s="3">
        <f>Adds!S71+IF(Params!$B$9=1,Adds!S70,Adds!S73)</f>
        <v/>
      </c>
      <c r="T53" s="3">
        <f>Adds!T71+IF(Params!$B$9=1,Adds!T70,Adds!T73)</f>
        <v/>
      </c>
      <c r="U53" s="3">
        <f>Adds!U71+IF(Params!$B$9=1,Adds!U70,Adds!U73)</f>
        <v/>
      </c>
      <c r="V53" s="3">
        <f>Adds!V71+IF(Params!$B$9=1,Adds!V70,Adds!V73)</f>
        <v/>
      </c>
      <c r="W53" s="3">
        <f>Adds!W71+IF(Params!$B$9=1,Adds!W70,Adds!W73)</f>
        <v/>
      </c>
      <c r="X53" s="3">
        <f>Adds!X71+IF(Params!$B$9=1,Adds!X70,Adds!X73)</f>
        <v/>
      </c>
      <c r="Y53" s="3">
        <f>Adds!Y71+IF(Params!$B$9=1,Adds!Y70,Adds!Y73)</f>
        <v/>
      </c>
      <c r="Z53" s="3">
        <f>Adds!Z71+IF(Params!$B$9=1,Adds!Z70,Adds!Z73)</f>
        <v/>
      </c>
      <c r="AA53" s="3">
        <f>Adds!AA71+IF(Params!$B$9=1,Adds!AA70,Adds!AA73)</f>
        <v/>
      </c>
      <c r="AB53" s="3">
        <f>Adds!AB71+IF(Params!$B$9=1,Adds!AB70,Adds!AB73)</f>
        <v/>
      </c>
      <c r="AC53" s="3">
        <f>Adds!AC71+IF(Params!$B$9=1,Adds!AC70,Adds!AC73)</f>
        <v/>
      </c>
      <c r="AD53" s="3">
        <f>Adds!AD71+IF(Params!$B$9=1,Adds!AD70,Adds!AD73)</f>
        <v/>
      </c>
      <c r="AE53" s="3">
        <f>Adds!AE71+IF(Params!$B$9=1,Adds!AE70,Adds!AE73)</f>
        <v/>
      </c>
      <c r="AF53" s="3">
        <f>Adds!AF71+IF(Params!$B$9=1,Adds!AF70,Adds!AF73)</f>
        <v/>
      </c>
      <c r="AG53" s="3">
        <f>Adds!AG71+IF(Params!$B$9=1,Adds!AG70,Adds!AG73)</f>
        <v/>
      </c>
      <c r="AH53" s="3">
        <f>Adds!AH71+IF(Params!$B$9=1,Adds!AH70,Adds!AH73)</f>
        <v/>
      </c>
      <c r="AI53" s="3">
        <f>Adds!AI71+IF(Params!$B$9=1,Adds!AI70,Adds!AI73)</f>
        <v/>
      </c>
      <c r="AJ53" s="3">
        <f>Adds!AJ71+IF(Params!$B$9=1,Adds!AJ70,Adds!AJ73)</f>
        <v/>
      </c>
      <c r="AK53" s="3">
        <f>Adds!AK71+IF(Params!$B$9=1,Adds!AK70,Adds!AK73)</f>
        <v/>
      </c>
      <c r="AL53" s="3">
        <f>Adds!AL71+IF(Params!$B$9=1,Adds!AL70,Adds!AL73)</f>
        <v/>
      </c>
      <c r="AM53" s="3">
        <f>Adds!AM71+IF(Params!$B$9=1,Adds!AM70,Adds!AM73)</f>
        <v/>
      </c>
      <c r="AN53" s="3">
        <f>Adds!AN71+IF(Params!$B$9=1,Adds!AN70,Adds!AN73)</f>
        <v/>
      </c>
      <c r="AO53" s="3">
        <f>Adds!AO71+IF(Params!$B$9=1,Adds!AO70,Adds!AO73)</f>
        <v/>
      </c>
      <c r="AP53" s="3">
        <f>Adds!AP71+IF(Params!$B$9=1,Adds!AP70,Adds!AP73)</f>
        <v/>
      </c>
      <c r="AQ53" s="3">
        <f>Adds!AQ71+IF(Params!$B$9=1,Adds!AQ70,Adds!AQ73)</f>
        <v/>
      </c>
      <c r="AR53" s="3">
        <f>Adds!AR71+IF(Params!$B$9=1,Adds!AR70,Adds!AR73)</f>
        <v/>
      </c>
      <c r="AS53" s="3">
        <f>Adds!AS71+IF(Params!$B$9=1,Adds!AS70,Adds!AS73)</f>
        <v/>
      </c>
      <c r="AT53" s="3">
        <f>Adds!AT71+IF(Params!$B$9=1,Adds!AT70,Adds!AT73)</f>
        <v/>
      </c>
      <c r="AU53" s="3">
        <f>Adds!AU71+IF(Params!$B$9=1,Adds!AU70,Adds!AU73)</f>
        <v/>
      </c>
      <c r="AV53" s="3">
        <f>Adds!AV71+IF(Params!$B$9=1,Adds!AV70,Adds!AV73)</f>
        <v/>
      </c>
      <c r="AW53" s="3">
        <f>Adds!AW71+IF(Params!$B$9=1,Adds!AW70,Adds!AW73)</f>
        <v/>
      </c>
      <c r="AX53" s="3">
        <f>Adds!AX71+IF(Params!$B$9=1,Adds!AX70,Adds!AX73)</f>
        <v/>
      </c>
      <c r="AY53" s="3">
        <f>Adds!AY71+IF(Params!$B$9=1,Adds!AY70,Adds!AY73)</f>
        <v/>
      </c>
      <c r="AZ53" s="3">
        <f>Adds!AZ71+IF(Params!$B$9=1,Adds!AZ70,Adds!AZ73)</f>
        <v/>
      </c>
      <c r="BA53" s="3">
        <f>Adds!BA71+IF(Params!$B$9=1,Adds!BA70,Adds!BA73)</f>
        <v/>
      </c>
      <c r="BB53" s="3">
        <f>Adds!BB71+IF(Params!$B$9=1,Adds!BB70,Adds!BB73)</f>
        <v/>
      </c>
      <c r="BC53" s="3">
        <f>Adds!BC71+IF(Params!$B$9=1,Adds!BC70,Adds!BC73)</f>
        <v/>
      </c>
      <c r="BD53" s="3">
        <f>Adds!BD71+IF(Params!$B$9=1,Adds!BD70,Adds!BD73)</f>
        <v/>
      </c>
      <c r="BE53" s="3">
        <f>Adds!BE71+IF(Params!$B$9=1,Adds!BE70,Adds!BE73)</f>
        <v/>
      </c>
      <c r="BF53" s="3">
        <f>Adds!BF71+IF(Params!$B$9=1,Adds!BF70,Adds!BF73)</f>
        <v/>
      </c>
      <c r="BG53" s="3">
        <f>Adds!BG71+IF(Params!$B$9=1,Adds!BG70,Adds!BG73)</f>
        <v/>
      </c>
      <c r="BH53" s="3">
        <f>Adds!BH71+IF(Params!$B$9=1,Adds!BH70,Adds!BH73)</f>
        <v/>
      </c>
      <c r="BI53" s="3">
        <f>Adds!BI71+IF(Params!$B$9=1,Adds!BI70,Adds!BI73)</f>
        <v/>
      </c>
      <c r="BJ53" s="3">
        <f>Adds!BJ71+IF(Params!$B$9=1,Adds!BJ70,Adds!BJ73)</f>
        <v/>
      </c>
      <c r="BK53" s="3">
        <f>Adds!BK71+IF(Params!$B$9=1,Adds!BK70,Adds!BK73)</f>
        <v/>
      </c>
      <c r="BL53" s="3">
        <f>Adds!BL71+IF(Params!$B$9=1,Adds!BL70,Adds!BL73)</f>
        <v/>
      </c>
      <c r="BM53" s="3">
        <f>Adds!BM71+IF(Params!$B$9=1,Adds!BM70,Adds!BM73)</f>
        <v/>
      </c>
      <c r="BN53" s="3">
        <f>Adds!BN71+IF(Params!$B$9=1,Adds!BN70,Adds!BN73)</f>
        <v/>
      </c>
      <c r="BO53" s="3">
        <f>Adds!BO71+IF(Params!$B$9=1,Adds!BO70,Adds!BO73)</f>
        <v/>
      </c>
      <c r="BP53" s="3">
        <f>Adds!BP71+IF(Params!$B$9=1,Adds!BP70,Adds!BP73)</f>
        <v/>
      </c>
      <c r="BQ53" s="3">
        <f>Adds!BQ71+IF(Params!$B$9=1,Adds!BQ70,Adds!BQ73)</f>
        <v/>
      </c>
      <c r="BR53" s="3">
        <f>Adds!BR71+IF(Params!$B$9=1,Adds!BR70,Adds!BR73)</f>
        <v/>
      </c>
      <c r="BS53" s="3">
        <f>Adds!BS71+IF(Params!$B$9=1,Adds!BS70,Adds!BS73)</f>
        <v/>
      </c>
      <c r="BT53" s="3">
        <f>Adds!BT71+IF(Params!$B$9=1,Adds!BT70,Adds!BT73)</f>
        <v/>
      </c>
      <c r="BU53" s="3">
        <f>Adds!BU71+IF(Params!$B$9=1,Adds!BU70,Adds!BU73)</f>
        <v/>
      </c>
      <c r="BV53" s="3">
        <f>Adds!BV71+IF(Params!$B$9=1,Adds!BV70,Adds!BV73)</f>
        <v/>
      </c>
    </row>
    <row r="54">
      <c r="A54" t="inlineStr">
        <is>
          <t>reactivated</t>
        </is>
      </c>
      <c r="B54" t="inlineStr">
        <is>
          <t>EUROPE|BASIC_M</t>
        </is>
      </c>
      <c r="C54" s="3">
        <f>React!C47</f>
        <v/>
      </c>
      <c r="D54" s="3">
        <f>React!D47</f>
        <v/>
      </c>
      <c r="E54" s="3">
        <f>React!E47</f>
        <v/>
      </c>
      <c r="F54" s="3">
        <f>React!F47</f>
        <v/>
      </c>
      <c r="G54" s="3">
        <f>React!G47</f>
        <v/>
      </c>
      <c r="H54" s="3">
        <f>React!H47</f>
        <v/>
      </c>
      <c r="I54" s="3">
        <f>React!I47</f>
        <v/>
      </c>
      <c r="J54" s="3">
        <f>React!J47</f>
        <v/>
      </c>
      <c r="K54" s="3">
        <f>React!K47</f>
        <v/>
      </c>
      <c r="L54" s="3">
        <f>React!L47</f>
        <v/>
      </c>
      <c r="M54" s="3">
        <f>React!M47</f>
        <v/>
      </c>
      <c r="N54" s="3">
        <f>React!N47</f>
        <v/>
      </c>
      <c r="O54" s="3">
        <f>React!O47</f>
        <v/>
      </c>
      <c r="P54" s="3">
        <f>React!P47</f>
        <v/>
      </c>
      <c r="Q54" s="3">
        <f>React!Q47</f>
        <v/>
      </c>
      <c r="R54" s="3">
        <f>React!R47</f>
        <v/>
      </c>
      <c r="S54" s="3">
        <f>React!S47</f>
        <v/>
      </c>
      <c r="T54" s="3">
        <f>React!T47</f>
        <v/>
      </c>
      <c r="U54" s="3">
        <f>React!U47</f>
        <v/>
      </c>
      <c r="V54" s="3">
        <f>React!V47</f>
        <v/>
      </c>
      <c r="W54" s="3">
        <f>React!W47</f>
        <v/>
      </c>
      <c r="X54" s="3">
        <f>React!X47</f>
        <v/>
      </c>
      <c r="Y54" s="3">
        <f>React!Y47</f>
        <v/>
      </c>
      <c r="Z54" s="3">
        <f>React!Z47</f>
        <v/>
      </c>
      <c r="AA54" s="3">
        <f>React!AA47</f>
        <v/>
      </c>
      <c r="AB54" s="3">
        <f>React!AB47</f>
        <v/>
      </c>
      <c r="AC54" s="3">
        <f>React!AC47</f>
        <v/>
      </c>
      <c r="AD54" s="3">
        <f>React!AD47</f>
        <v/>
      </c>
      <c r="AE54" s="3">
        <f>React!AE47</f>
        <v/>
      </c>
      <c r="AF54" s="3">
        <f>React!AF47</f>
        <v/>
      </c>
      <c r="AG54" s="3">
        <f>React!AG47</f>
        <v/>
      </c>
      <c r="AH54" s="3">
        <f>React!AH47</f>
        <v/>
      </c>
      <c r="AI54" s="3">
        <f>React!AI47</f>
        <v/>
      </c>
      <c r="AJ54" s="3">
        <f>React!AJ47</f>
        <v/>
      </c>
      <c r="AK54" s="3">
        <f>React!AK47</f>
        <v/>
      </c>
      <c r="AL54" s="3">
        <f>React!AL47</f>
        <v/>
      </c>
      <c r="AM54" s="3">
        <f>React!AM47</f>
        <v/>
      </c>
      <c r="AN54" s="3">
        <f>React!AN47</f>
        <v/>
      </c>
      <c r="AO54" s="3">
        <f>React!AO47</f>
        <v/>
      </c>
      <c r="AP54" s="3">
        <f>React!AP47</f>
        <v/>
      </c>
      <c r="AQ54" s="3">
        <f>React!AQ47</f>
        <v/>
      </c>
      <c r="AR54" s="3">
        <f>React!AR47</f>
        <v/>
      </c>
      <c r="AS54" s="3">
        <f>React!AS47</f>
        <v/>
      </c>
      <c r="AT54" s="3">
        <f>React!AT47</f>
        <v/>
      </c>
      <c r="AU54" s="3">
        <f>React!AU47</f>
        <v/>
      </c>
      <c r="AV54" s="3">
        <f>React!AV47</f>
        <v/>
      </c>
      <c r="AW54" s="3">
        <f>React!AW47</f>
        <v/>
      </c>
      <c r="AX54" s="3">
        <f>React!AX47</f>
        <v/>
      </c>
      <c r="AY54" s="3">
        <f>React!AY47</f>
        <v/>
      </c>
      <c r="AZ54" s="3">
        <f>React!AZ47</f>
        <v/>
      </c>
      <c r="BA54" s="3">
        <f>React!BA47</f>
        <v/>
      </c>
      <c r="BB54" s="3">
        <f>React!BB47</f>
        <v/>
      </c>
      <c r="BC54" s="3">
        <f>React!BC47</f>
        <v/>
      </c>
      <c r="BD54" s="3">
        <f>React!BD47</f>
        <v/>
      </c>
      <c r="BE54" s="3">
        <f>React!BE47</f>
        <v/>
      </c>
      <c r="BF54" s="3">
        <f>React!BF47</f>
        <v/>
      </c>
      <c r="BG54" s="3">
        <f>React!BG47</f>
        <v/>
      </c>
      <c r="BH54" s="3">
        <f>React!BH47</f>
        <v/>
      </c>
      <c r="BI54" s="3">
        <f>React!BI47</f>
        <v/>
      </c>
      <c r="BJ54" s="3">
        <f>React!BJ47</f>
        <v/>
      </c>
      <c r="BK54" s="3">
        <f>React!BK47</f>
        <v/>
      </c>
      <c r="BL54" s="3">
        <f>React!BL47</f>
        <v/>
      </c>
      <c r="BM54" s="3">
        <f>React!BM47</f>
        <v/>
      </c>
      <c r="BN54" s="3">
        <f>React!BN47</f>
        <v/>
      </c>
      <c r="BO54" s="3">
        <f>React!BO47</f>
        <v/>
      </c>
      <c r="BP54" s="3">
        <f>React!BP47</f>
        <v/>
      </c>
      <c r="BQ54" s="3">
        <f>React!BQ47</f>
        <v/>
      </c>
      <c r="BR54" s="3">
        <f>React!BR47</f>
        <v/>
      </c>
      <c r="BS54" s="3">
        <f>React!BS47</f>
        <v/>
      </c>
      <c r="BT54" s="3">
        <f>React!BT47</f>
        <v/>
      </c>
      <c r="BU54" s="3">
        <f>React!BU47</f>
        <v/>
      </c>
      <c r="BV54" s="3">
        <f>React!BV47</f>
        <v/>
      </c>
    </row>
    <row r="55">
      <c r="A55" t="inlineStr">
        <is>
          <t>churned</t>
        </is>
      </c>
      <c r="B55" t="inlineStr">
        <is>
          <t>EUROPE|BASIC_M</t>
        </is>
      </c>
      <c r="C55" s="3">
        <f>Legacy!C31+Paid!C29+React!C50+Params!$B$9*Adds!C74</f>
        <v/>
      </c>
      <c r="D55" s="3">
        <f>Legacy!D31+Paid!D29+React!D50+Params!$B$9*Adds!D74</f>
        <v/>
      </c>
      <c r="E55" s="3">
        <f>Legacy!E31+Paid!E29+React!E50+Params!$B$9*Adds!E74</f>
        <v/>
      </c>
      <c r="F55" s="3">
        <f>Legacy!F31+Paid!F29+React!F50+Params!$B$9*Adds!F74</f>
        <v/>
      </c>
      <c r="G55" s="3">
        <f>Legacy!G31+Paid!G29+React!G50+Params!$B$9*Adds!G74</f>
        <v/>
      </c>
      <c r="H55" s="3">
        <f>Legacy!H31+Paid!H29+React!H50+Params!$B$9*Adds!H74</f>
        <v/>
      </c>
      <c r="I55" s="3">
        <f>Legacy!I31+Paid!I29+React!I50+Params!$B$9*Adds!I74</f>
        <v/>
      </c>
      <c r="J55" s="3">
        <f>Legacy!J31+Paid!J29+React!J50+Params!$B$9*Adds!J74</f>
        <v/>
      </c>
      <c r="K55" s="3">
        <f>Legacy!K31+Paid!K29+React!K50+Params!$B$9*Adds!K74</f>
        <v/>
      </c>
      <c r="L55" s="3">
        <f>Legacy!L31+Paid!L29+React!L50+Params!$B$9*Adds!L74</f>
        <v/>
      </c>
      <c r="M55" s="3">
        <f>Legacy!M31+Paid!M29+React!M50+Params!$B$9*Adds!M74</f>
        <v/>
      </c>
      <c r="N55" s="3">
        <f>Legacy!N31+Paid!N29+React!N50+Params!$B$9*Adds!N74</f>
        <v/>
      </c>
      <c r="O55" s="3">
        <f>Legacy!O31+Paid!O29+React!O50+Params!$B$9*Adds!O74</f>
        <v/>
      </c>
      <c r="P55" s="3">
        <f>Legacy!P31+Paid!P29+React!P50+Params!$B$9*Adds!P74</f>
        <v/>
      </c>
      <c r="Q55" s="3">
        <f>Legacy!Q31+Paid!Q29+React!Q50+Params!$B$9*Adds!Q74</f>
        <v/>
      </c>
      <c r="R55" s="3">
        <f>Legacy!R31+Paid!R29+React!R50+Params!$B$9*Adds!R74</f>
        <v/>
      </c>
      <c r="S55" s="3">
        <f>Legacy!S31+Paid!S29+React!S50+Params!$B$9*Adds!S74</f>
        <v/>
      </c>
      <c r="T55" s="3">
        <f>Legacy!T31+Paid!T29+React!T50+Params!$B$9*Adds!T74</f>
        <v/>
      </c>
      <c r="U55" s="3">
        <f>Legacy!U31+Paid!U29+React!U50+Params!$B$9*Adds!U74</f>
        <v/>
      </c>
      <c r="V55" s="3">
        <f>Legacy!V31+Paid!V29+React!V50+Params!$B$9*Adds!V74</f>
        <v/>
      </c>
      <c r="W55" s="3">
        <f>Legacy!W31+Paid!W29+React!W50+Params!$B$9*Adds!W74</f>
        <v/>
      </c>
      <c r="X55" s="3">
        <f>Legacy!X31+Paid!X29+React!X50+Params!$B$9*Adds!X74</f>
        <v/>
      </c>
      <c r="Y55" s="3">
        <f>Legacy!Y31+Paid!Y29+React!Y50+Params!$B$9*Adds!Y74</f>
        <v/>
      </c>
      <c r="Z55" s="3">
        <f>Legacy!Z31+Paid!Z29+React!Z50+Params!$B$9*Adds!Z74</f>
        <v/>
      </c>
      <c r="AA55" s="3">
        <f>Legacy!AA31+Paid!AA29+React!AA50+Params!$B$9*Adds!AA74</f>
        <v/>
      </c>
      <c r="AB55" s="3">
        <f>Legacy!AB31+Paid!AB29+React!AB50+Params!$B$9*Adds!AB74</f>
        <v/>
      </c>
      <c r="AC55" s="3">
        <f>Legacy!AC31+Paid!AC29+React!AC50+Params!$B$9*Adds!AC74</f>
        <v/>
      </c>
      <c r="AD55" s="3">
        <f>Legacy!AD31+Paid!AD29+React!AD50+Params!$B$9*Adds!AD74</f>
        <v/>
      </c>
      <c r="AE55" s="3">
        <f>Legacy!AE31+Paid!AE29+React!AE50+Params!$B$9*Adds!AE74</f>
        <v/>
      </c>
      <c r="AF55" s="3">
        <f>Legacy!AF31+Paid!AF29+React!AF50+Params!$B$9*Adds!AF74</f>
        <v/>
      </c>
      <c r="AG55" s="3">
        <f>Legacy!AG31+Paid!AG29+React!AG50+Params!$B$9*Adds!AG74</f>
        <v/>
      </c>
      <c r="AH55" s="3">
        <f>Legacy!AH31+Paid!AH29+React!AH50+Params!$B$9*Adds!AH74</f>
        <v/>
      </c>
      <c r="AI55" s="3">
        <f>Legacy!AI31+Paid!AI29+React!AI50+Params!$B$9*Adds!AI74</f>
        <v/>
      </c>
      <c r="AJ55" s="3">
        <f>Legacy!AJ31+Paid!AJ29+React!AJ50+Params!$B$9*Adds!AJ74</f>
        <v/>
      </c>
      <c r="AK55" s="3">
        <f>Legacy!AK31+Paid!AK29+React!AK50+Params!$B$9*Adds!AK74</f>
        <v/>
      </c>
      <c r="AL55" s="3">
        <f>Legacy!AL31+Paid!AL29+React!AL50+Params!$B$9*Adds!AL74</f>
        <v/>
      </c>
      <c r="AM55" s="3">
        <f>Legacy!AM31+Paid!AM29+React!AM50+Params!$B$9*Adds!AM74</f>
        <v/>
      </c>
      <c r="AN55" s="3">
        <f>Legacy!AN31+Paid!AN29+React!AN50+Params!$B$9*Adds!AN74</f>
        <v/>
      </c>
      <c r="AO55" s="3">
        <f>Legacy!AO31+Paid!AO29+React!AO50+Params!$B$9*Adds!AO74</f>
        <v/>
      </c>
      <c r="AP55" s="3">
        <f>Legacy!AP31+Paid!AP29+React!AP50+Params!$B$9*Adds!AP74</f>
        <v/>
      </c>
      <c r="AQ55" s="3">
        <f>Legacy!AQ31+Paid!AQ29+React!AQ50+Params!$B$9*Adds!AQ74</f>
        <v/>
      </c>
      <c r="AR55" s="3">
        <f>Legacy!AR31+Paid!AR29+React!AR50+Params!$B$9*Adds!AR74</f>
        <v/>
      </c>
      <c r="AS55" s="3">
        <f>Legacy!AS31+Paid!AS29+React!AS50+Params!$B$9*Adds!AS74</f>
        <v/>
      </c>
      <c r="AT55" s="3">
        <f>Legacy!AT31+Paid!AT29+React!AT50+Params!$B$9*Adds!AT74</f>
        <v/>
      </c>
      <c r="AU55" s="3">
        <f>Legacy!AU31+Paid!AU29+React!AU50+Params!$B$9*Adds!AU74</f>
        <v/>
      </c>
      <c r="AV55" s="3">
        <f>Legacy!AV31+Paid!AV29+React!AV50+Params!$B$9*Adds!AV74</f>
        <v/>
      </c>
      <c r="AW55" s="3">
        <f>Legacy!AW31+Paid!AW29+React!AW50+Params!$B$9*Adds!AW74</f>
        <v/>
      </c>
      <c r="AX55" s="3">
        <f>Legacy!AX31+Paid!AX29+React!AX50+Params!$B$9*Adds!AX74</f>
        <v/>
      </c>
      <c r="AY55" s="3">
        <f>Legacy!AY31+Paid!AY29+React!AY50+Params!$B$9*Adds!AY74</f>
        <v/>
      </c>
      <c r="AZ55" s="3">
        <f>Legacy!AZ31+Paid!AZ29+React!AZ50+Params!$B$9*Adds!AZ74</f>
        <v/>
      </c>
      <c r="BA55" s="3">
        <f>Legacy!BA31+Paid!BA29+React!BA50+Params!$B$9*Adds!BA74</f>
        <v/>
      </c>
      <c r="BB55" s="3">
        <f>Legacy!BB31+Paid!BB29+React!BB50+Params!$B$9*Adds!BB74</f>
        <v/>
      </c>
      <c r="BC55" s="3">
        <f>Legacy!BC31+Paid!BC29+React!BC50+Params!$B$9*Adds!BC74</f>
        <v/>
      </c>
      <c r="BD55" s="3">
        <f>Legacy!BD31+Paid!BD29+React!BD50+Params!$B$9*Adds!BD74</f>
        <v/>
      </c>
      <c r="BE55" s="3">
        <f>Legacy!BE31+Paid!BE29+React!BE50+Params!$B$9*Adds!BE74</f>
        <v/>
      </c>
      <c r="BF55" s="3">
        <f>Legacy!BF31+Paid!BF29+React!BF50+Params!$B$9*Adds!BF74</f>
        <v/>
      </c>
      <c r="BG55" s="3">
        <f>Legacy!BG31+Paid!BG29+React!BG50+Params!$B$9*Adds!BG74</f>
        <v/>
      </c>
      <c r="BH55" s="3">
        <f>Legacy!BH31+Paid!BH29+React!BH50+Params!$B$9*Adds!BH74</f>
        <v/>
      </c>
      <c r="BI55" s="3">
        <f>Legacy!BI31+Paid!BI29+React!BI50+Params!$B$9*Adds!BI74</f>
        <v/>
      </c>
      <c r="BJ55" s="3">
        <f>Legacy!BJ31+Paid!BJ29+React!BJ50+Params!$B$9*Adds!BJ74</f>
        <v/>
      </c>
      <c r="BK55" s="3">
        <f>Legacy!BK31+Paid!BK29+React!BK50+Params!$B$9*Adds!BK74</f>
        <v/>
      </c>
      <c r="BL55" s="3">
        <f>Legacy!BL31+Paid!BL29+React!BL50+Params!$B$9*Adds!BL74</f>
        <v/>
      </c>
      <c r="BM55" s="3">
        <f>Legacy!BM31+Paid!BM29+React!BM50+Params!$B$9*Adds!BM74</f>
        <v/>
      </c>
      <c r="BN55" s="3">
        <f>Legacy!BN31+Paid!BN29+React!BN50+Params!$B$9*Adds!BN74</f>
        <v/>
      </c>
      <c r="BO55" s="3">
        <f>Legacy!BO31+Paid!BO29+React!BO50+Params!$B$9*Adds!BO74</f>
        <v/>
      </c>
      <c r="BP55" s="3">
        <f>Legacy!BP31+Paid!BP29+React!BP50+Params!$B$9*Adds!BP74</f>
        <v/>
      </c>
      <c r="BQ55" s="3">
        <f>Legacy!BQ31+Paid!BQ29+React!BQ50+Params!$B$9*Adds!BQ74</f>
        <v/>
      </c>
      <c r="BR55" s="3">
        <f>Legacy!BR31+Paid!BR29+React!BR50+Params!$B$9*Adds!BR74</f>
        <v/>
      </c>
      <c r="BS55" s="3">
        <f>Legacy!BS31+Paid!BS29+React!BS50+Params!$B$9*Adds!BS74</f>
        <v/>
      </c>
      <c r="BT55" s="3">
        <f>Legacy!BT31+Paid!BT29+React!BT50+Params!$B$9*Adds!BT74</f>
        <v/>
      </c>
      <c r="BU55" s="3">
        <f>Legacy!BU31+Paid!BU29+React!BU50+Params!$B$9*Adds!BU74</f>
        <v/>
      </c>
      <c r="BV55" s="3">
        <f>Legacy!BV31+Paid!BV29+React!BV50+Params!$B$9*Adds!BV74</f>
        <v/>
      </c>
    </row>
    <row r="56">
      <c r="A56" t="inlineStr">
        <is>
          <t>closing</t>
        </is>
      </c>
      <c r="B56" t="inlineStr">
        <is>
          <t>EUROPE|BASIC_M</t>
        </is>
      </c>
      <c r="C56" s="3">
        <f>C57+Params!$B$9*Adds!C77</f>
        <v/>
      </c>
      <c r="D56" s="3">
        <f>D57+Params!$B$9*Adds!D77</f>
        <v/>
      </c>
      <c r="E56" s="3">
        <f>E57+Params!$B$9*Adds!E77</f>
        <v/>
      </c>
      <c r="F56" s="3">
        <f>F57+Params!$B$9*Adds!F77</f>
        <v/>
      </c>
      <c r="G56" s="3">
        <f>G57+Params!$B$9*Adds!G77</f>
        <v/>
      </c>
      <c r="H56" s="3">
        <f>H57+Params!$B$9*Adds!H77</f>
        <v/>
      </c>
      <c r="I56" s="3">
        <f>I57+Params!$B$9*Adds!I77</f>
        <v/>
      </c>
      <c r="J56" s="3">
        <f>J57+Params!$B$9*Adds!J77</f>
        <v/>
      </c>
      <c r="K56" s="3">
        <f>K57+Params!$B$9*Adds!K77</f>
        <v/>
      </c>
      <c r="L56" s="3">
        <f>L57+Params!$B$9*Adds!L77</f>
        <v/>
      </c>
      <c r="M56" s="3">
        <f>M57+Params!$B$9*Adds!M77</f>
        <v/>
      </c>
      <c r="N56" s="3">
        <f>N57+Params!$B$9*Adds!N77</f>
        <v/>
      </c>
      <c r="O56" s="3">
        <f>O57+Params!$B$9*Adds!O77</f>
        <v/>
      </c>
      <c r="P56" s="3">
        <f>P57+Params!$B$9*Adds!P77</f>
        <v/>
      </c>
      <c r="Q56" s="3">
        <f>Q57+Params!$B$9*Adds!Q77</f>
        <v/>
      </c>
      <c r="R56" s="3">
        <f>R57+Params!$B$9*Adds!R77</f>
        <v/>
      </c>
      <c r="S56" s="3">
        <f>S57+Params!$B$9*Adds!S77</f>
        <v/>
      </c>
      <c r="T56" s="3">
        <f>T57+Params!$B$9*Adds!T77</f>
        <v/>
      </c>
      <c r="U56" s="3">
        <f>U57+Params!$B$9*Adds!U77</f>
        <v/>
      </c>
      <c r="V56" s="3">
        <f>V57+Params!$B$9*Adds!V77</f>
        <v/>
      </c>
      <c r="W56" s="3">
        <f>W57+Params!$B$9*Adds!W77</f>
        <v/>
      </c>
      <c r="X56" s="3">
        <f>X57+Params!$B$9*Adds!X77</f>
        <v/>
      </c>
      <c r="Y56" s="3">
        <f>Y57+Params!$B$9*Adds!Y77</f>
        <v/>
      </c>
      <c r="Z56" s="3">
        <f>Z57+Params!$B$9*Adds!Z77</f>
        <v/>
      </c>
      <c r="AA56" s="3">
        <f>AA57+Params!$B$9*Adds!AA77</f>
        <v/>
      </c>
      <c r="AB56" s="3">
        <f>AB57+Params!$B$9*Adds!AB77</f>
        <v/>
      </c>
      <c r="AC56" s="3">
        <f>AC57+Params!$B$9*Adds!AC77</f>
        <v/>
      </c>
      <c r="AD56" s="3">
        <f>AD57+Params!$B$9*Adds!AD77</f>
        <v/>
      </c>
      <c r="AE56" s="3">
        <f>AE57+Params!$B$9*Adds!AE77</f>
        <v/>
      </c>
      <c r="AF56" s="3">
        <f>AF57+Params!$B$9*Adds!AF77</f>
        <v/>
      </c>
      <c r="AG56" s="3">
        <f>AG57+Params!$B$9*Adds!AG77</f>
        <v/>
      </c>
      <c r="AH56" s="3">
        <f>AH57+Params!$B$9*Adds!AH77</f>
        <v/>
      </c>
      <c r="AI56" s="3">
        <f>AI57+Params!$B$9*Adds!AI77</f>
        <v/>
      </c>
      <c r="AJ56" s="3">
        <f>AJ57+Params!$B$9*Adds!AJ77</f>
        <v/>
      </c>
      <c r="AK56" s="3">
        <f>AK57+Params!$B$9*Adds!AK77</f>
        <v/>
      </c>
      <c r="AL56" s="3">
        <f>AL57+Params!$B$9*Adds!AL77</f>
        <v/>
      </c>
      <c r="AM56" s="3">
        <f>AM57+Params!$B$9*Adds!AM77</f>
        <v/>
      </c>
      <c r="AN56" s="3">
        <f>AN57+Params!$B$9*Adds!AN77</f>
        <v/>
      </c>
      <c r="AO56" s="3">
        <f>AO57+Params!$B$9*Adds!AO77</f>
        <v/>
      </c>
      <c r="AP56" s="3">
        <f>AP57+Params!$B$9*Adds!AP77</f>
        <v/>
      </c>
      <c r="AQ56" s="3">
        <f>AQ57+Params!$B$9*Adds!AQ77</f>
        <v/>
      </c>
      <c r="AR56" s="3">
        <f>AR57+Params!$B$9*Adds!AR77</f>
        <v/>
      </c>
      <c r="AS56" s="3">
        <f>AS57+Params!$B$9*Adds!AS77</f>
        <v/>
      </c>
      <c r="AT56" s="3">
        <f>AT57+Params!$B$9*Adds!AT77</f>
        <v/>
      </c>
      <c r="AU56" s="3">
        <f>AU57+Params!$B$9*Adds!AU77</f>
        <v/>
      </c>
      <c r="AV56" s="3">
        <f>AV57+Params!$B$9*Adds!AV77</f>
        <v/>
      </c>
      <c r="AW56" s="3">
        <f>AW57+Params!$B$9*Adds!AW77</f>
        <v/>
      </c>
      <c r="AX56" s="3">
        <f>AX57+Params!$B$9*Adds!AX77</f>
        <v/>
      </c>
      <c r="AY56" s="3">
        <f>AY57+Params!$B$9*Adds!AY77</f>
        <v/>
      </c>
      <c r="AZ56" s="3">
        <f>AZ57+Params!$B$9*Adds!AZ77</f>
        <v/>
      </c>
      <c r="BA56" s="3">
        <f>BA57+Params!$B$9*Adds!BA77</f>
        <v/>
      </c>
      <c r="BB56" s="3">
        <f>BB57+Params!$B$9*Adds!BB77</f>
        <v/>
      </c>
      <c r="BC56" s="3">
        <f>BC57+Params!$B$9*Adds!BC77</f>
        <v/>
      </c>
      <c r="BD56" s="3">
        <f>BD57+Params!$B$9*Adds!BD77</f>
        <v/>
      </c>
      <c r="BE56" s="3">
        <f>BE57+Params!$B$9*Adds!BE77</f>
        <v/>
      </c>
      <c r="BF56" s="3">
        <f>BF57+Params!$B$9*Adds!BF77</f>
        <v/>
      </c>
      <c r="BG56" s="3">
        <f>BG57+Params!$B$9*Adds!BG77</f>
        <v/>
      </c>
      <c r="BH56" s="3">
        <f>BH57+Params!$B$9*Adds!BH77</f>
        <v/>
      </c>
      <c r="BI56" s="3">
        <f>BI57+Params!$B$9*Adds!BI77</f>
        <v/>
      </c>
      <c r="BJ56" s="3">
        <f>BJ57+Params!$B$9*Adds!BJ77</f>
        <v/>
      </c>
      <c r="BK56" s="3">
        <f>BK57+Params!$B$9*Adds!BK77</f>
        <v/>
      </c>
      <c r="BL56" s="3">
        <f>BL57+Params!$B$9*Adds!BL77</f>
        <v/>
      </c>
      <c r="BM56" s="3">
        <f>BM57+Params!$B$9*Adds!BM77</f>
        <v/>
      </c>
      <c r="BN56" s="3">
        <f>BN57+Params!$B$9*Adds!BN77</f>
        <v/>
      </c>
      <c r="BO56" s="3">
        <f>BO57+Params!$B$9*Adds!BO77</f>
        <v/>
      </c>
      <c r="BP56" s="3">
        <f>BP57+Params!$B$9*Adds!BP77</f>
        <v/>
      </c>
      <c r="BQ56" s="3">
        <f>BQ57+Params!$B$9*Adds!BQ77</f>
        <v/>
      </c>
      <c r="BR56" s="3">
        <f>BR57+Params!$B$9*Adds!BR77</f>
        <v/>
      </c>
      <c r="BS56" s="3">
        <f>BS57+Params!$B$9*Adds!BS77</f>
        <v/>
      </c>
      <c r="BT56" s="3">
        <f>BT57+Params!$B$9*Adds!BT77</f>
        <v/>
      </c>
      <c r="BU56" s="3">
        <f>BU57+Params!$B$9*Adds!BU77</f>
        <v/>
      </c>
      <c r="BV56" s="3">
        <f>BV57+Params!$B$9*Adds!BV77</f>
        <v/>
      </c>
    </row>
    <row r="57">
      <c r="A57" t="inlineStr">
        <is>
          <t>paying</t>
        </is>
      </c>
      <c r="B57" t="inlineStr">
        <is>
          <t>EUROPE|BASIC_M</t>
        </is>
      </c>
      <c r="C57" s="3">
        <f>Legacy!C30+Paid!C27+React!C48</f>
        <v/>
      </c>
      <c r="D57" s="3">
        <f>Legacy!D30+Paid!D27+React!D48</f>
        <v/>
      </c>
      <c r="E57" s="3">
        <f>Legacy!E30+Paid!E27+React!E48</f>
        <v/>
      </c>
      <c r="F57" s="3">
        <f>Legacy!F30+Paid!F27+React!F48</f>
        <v/>
      </c>
      <c r="G57" s="3">
        <f>Legacy!G30+Paid!G27+React!G48</f>
        <v/>
      </c>
      <c r="H57" s="3">
        <f>Legacy!H30+Paid!H27+React!H48</f>
        <v/>
      </c>
      <c r="I57" s="3">
        <f>Legacy!I30+Paid!I27+React!I48</f>
        <v/>
      </c>
      <c r="J57" s="3">
        <f>Legacy!J30+Paid!J27+React!J48</f>
        <v/>
      </c>
      <c r="K57" s="3">
        <f>Legacy!K30+Paid!K27+React!K48</f>
        <v/>
      </c>
      <c r="L57" s="3">
        <f>Legacy!L30+Paid!L27+React!L48</f>
        <v/>
      </c>
      <c r="M57" s="3">
        <f>Legacy!M30+Paid!M27+React!M48</f>
        <v/>
      </c>
      <c r="N57" s="3">
        <f>Legacy!N30+Paid!N27+React!N48</f>
        <v/>
      </c>
      <c r="O57" s="3">
        <f>Legacy!O30+Paid!O27+React!O48</f>
        <v/>
      </c>
      <c r="P57" s="3">
        <f>Legacy!P30+Paid!P27+React!P48</f>
        <v/>
      </c>
      <c r="Q57" s="3">
        <f>Legacy!Q30+Paid!Q27+React!Q48</f>
        <v/>
      </c>
      <c r="R57" s="3">
        <f>Legacy!R30+Paid!R27+React!R48</f>
        <v/>
      </c>
      <c r="S57" s="3">
        <f>Legacy!S30+Paid!S27+React!S48</f>
        <v/>
      </c>
      <c r="T57" s="3">
        <f>Legacy!T30+Paid!T27+React!T48</f>
        <v/>
      </c>
      <c r="U57" s="3">
        <f>Legacy!U30+Paid!U27+React!U48</f>
        <v/>
      </c>
      <c r="V57" s="3">
        <f>Legacy!V30+Paid!V27+React!V48</f>
        <v/>
      </c>
      <c r="W57" s="3">
        <f>Legacy!W30+Paid!W27+React!W48</f>
        <v/>
      </c>
      <c r="X57" s="3">
        <f>Legacy!X30+Paid!X27+React!X48</f>
        <v/>
      </c>
      <c r="Y57" s="3">
        <f>Legacy!Y30+Paid!Y27+React!Y48</f>
        <v/>
      </c>
      <c r="Z57" s="3">
        <f>Legacy!Z30+Paid!Z27+React!Z48</f>
        <v/>
      </c>
      <c r="AA57" s="3">
        <f>Legacy!AA30+Paid!AA27+React!AA48</f>
        <v/>
      </c>
      <c r="AB57" s="3">
        <f>Legacy!AB30+Paid!AB27+React!AB48</f>
        <v/>
      </c>
      <c r="AC57" s="3">
        <f>Legacy!AC30+Paid!AC27+React!AC48</f>
        <v/>
      </c>
      <c r="AD57" s="3">
        <f>Legacy!AD30+Paid!AD27+React!AD48</f>
        <v/>
      </c>
      <c r="AE57" s="3">
        <f>Legacy!AE30+Paid!AE27+React!AE48</f>
        <v/>
      </c>
      <c r="AF57" s="3">
        <f>Legacy!AF30+Paid!AF27+React!AF48</f>
        <v/>
      </c>
      <c r="AG57" s="3">
        <f>Legacy!AG30+Paid!AG27+React!AG48</f>
        <v/>
      </c>
      <c r="AH57" s="3">
        <f>Legacy!AH30+Paid!AH27+React!AH48</f>
        <v/>
      </c>
      <c r="AI57" s="3">
        <f>Legacy!AI30+Paid!AI27+React!AI48</f>
        <v/>
      </c>
      <c r="AJ57" s="3">
        <f>Legacy!AJ30+Paid!AJ27+React!AJ48</f>
        <v/>
      </c>
      <c r="AK57" s="3">
        <f>Legacy!AK30+Paid!AK27+React!AK48</f>
        <v/>
      </c>
      <c r="AL57" s="3">
        <f>Legacy!AL30+Paid!AL27+React!AL48</f>
        <v/>
      </c>
      <c r="AM57" s="3">
        <f>Legacy!AM30+Paid!AM27+React!AM48</f>
        <v/>
      </c>
      <c r="AN57" s="3">
        <f>Legacy!AN30+Paid!AN27+React!AN48</f>
        <v/>
      </c>
      <c r="AO57" s="3">
        <f>Legacy!AO30+Paid!AO27+React!AO48</f>
        <v/>
      </c>
      <c r="AP57" s="3">
        <f>Legacy!AP30+Paid!AP27+React!AP48</f>
        <v/>
      </c>
      <c r="AQ57" s="3">
        <f>Legacy!AQ30+Paid!AQ27+React!AQ48</f>
        <v/>
      </c>
      <c r="AR57" s="3">
        <f>Legacy!AR30+Paid!AR27+React!AR48</f>
        <v/>
      </c>
      <c r="AS57" s="3">
        <f>Legacy!AS30+Paid!AS27+React!AS48</f>
        <v/>
      </c>
      <c r="AT57" s="3">
        <f>Legacy!AT30+Paid!AT27+React!AT48</f>
        <v/>
      </c>
      <c r="AU57" s="3">
        <f>Legacy!AU30+Paid!AU27+React!AU48</f>
        <v/>
      </c>
      <c r="AV57" s="3">
        <f>Legacy!AV30+Paid!AV27+React!AV48</f>
        <v/>
      </c>
      <c r="AW57" s="3">
        <f>Legacy!AW30+Paid!AW27+React!AW48</f>
        <v/>
      </c>
      <c r="AX57" s="3">
        <f>Legacy!AX30+Paid!AX27+React!AX48</f>
        <v/>
      </c>
      <c r="AY57" s="3">
        <f>Legacy!AY30+Paid!AY27+React!AY48</f>
        <v/>
      </c>
      <c r="AZ57" s="3">
        <f>Legacy!AZ30+Paid!AZ27+React!AZ48</f>
        <v/>
      </c>
      <c r="BA57" s="3">
        <f>Legacy!BA30+Paid!BA27+React!BA48</f>
        <v/>
      </c>
      <c r="BB57" s="3">
        <f>Legacy!BB30+Paid!BB27+React!BB48</f>
        <v/>
      </c>
      <c r="BC57" s="3">
        <f>Legacy!BC30+Paid!BC27+React!BC48</f>
        <v/>
      </c>
      <c r="BD57" s="3">
        <f>Legacy!BD30+Paid!BD27+React!BD48</f>
        <v/>
      </c>
      <c r="BE57" s="3">
        <f>Legacy!BE30+Paid!BE27+React!BE48</f>
        <v/>
      </c>
      <c r="BF57" s="3">
        <f>Legacy!BF30+Paid!BF27+React!BF48</f>
        <v/>
      </c>
      <c r="BG57" s="3">
        <f>Legacy!BG30+Paid!BG27+React!BG48</f>
        <v/>
      </c>
      <c r="BH57" s="3">
        <f>Legacy!BH30+Paid!BH27+React!BH48</f>
        <v/>
      </c>
      <c r="BI57" s="3">
        <f>Legacy!BI30+Paid!BI27+React!BI48</f>
        <v/>
      </c>
      <c r="BJ57" s="3">
        <f>Legacy!BJ30+Paid!BJ27+React!BJ48</f>
        <v/>
      </c>
      <c r="BK57" s="3">
        <f>Legacy!BK30+Paid!BK27+React!BK48</f>
        <v/>
      </c>
      <c r="BL57" s="3">
        <f>Legacy!BL30+Paid!BL27+React!BL48</f>
        <v/>
      </c>
      <c r="BM57" s="3">
        <f>Legacy!BM30+Paid!BM27+React!BM48</f>
        <v/>
      </c>
      <c r="BN57" s="3">
        <f>Legacy!BN30+Paid!BN27+React!BN48</f>
        <v/>
      </c>
      <c r="BO57" s="3">
        <f>Legacy!BO30+Paid!BO27+React!BO48</f>
        <v/>
      </c>
      <c r="BP57" s="3">
        <f>Legacy!BP30+Paid!BP27+React!BP48</f>
        <v/>
      </c>
      <c r="BQ57" s="3">
        <f>Legacy!BQ30+Paid!BQ27+React!BQ48</f>
        <v/>
      </c>
      <c r="BR57" s="3">
        <f>Legacy!BR30+Paid!BR27+React!BR48</f>
        <v/>
      </c>
      <c r="BS57" s="3">
        <f>Legacy!BS30+Paid!BS27+React!BS48</f>
        <v/>
      </c>
      <c r="BT57" s="3">
        <f>Legacy!BT30+Paid!BT27+React!BT48</f>
        <v/>
      </c>
      <c r="BU57" s="3">
        <f>Legacy!BU30+Paid!BU27+React!BU48</f>
        <v/>
      </c>
      <c r="BV57" s="3">
        <f>Legacy!BV30+Paid!BV27+React!BV48</f>
        <v/>
      </c>
    </row>
    <row r="59">
      <c r="A59" t="inlineStr">
        <is>
          <t>opening</t>
        </is>
      </c>
      <c r="B59" t="inlineStr">
        <is>
          <t>EUROPE|BASIC_A</t>
        </is>
      </c>
      <c r="C59" s="3">
        <f>Legacy!$C$33</f>
        <v/>
      </c>
      <c r="D59" s="3">
        <f>C63</f>
        <v/>
      </c>
      <c r="E59" s="3">
        <f>D63</f>
        <v/>
      </c>
      <c r="F59" s="3">
        <f>E63</f>
        <v/>
      </c>
      <c r="G59" s="3">
        <f>F63</f>
        <v/>
      </c>
      <c r="H59" s="3">
        <f>G63</f>
        <v/>
      </c>
      <c r="I59" s="3">
        <f>H63</f>
        <v/>
      </c>
      <c r="J59" s="3">
        <f>I63</f>
        <v/>
      </c>
      <c r="K59" s="3">
        <f>J63</f>
        <v/>
      </c>
      <c r="L59" s="3">
        <f>K63</f>
        <v/>
      </c>
      <c r="M59" s="3">
        <f>L63</f>
        <v/>
      </c>
      <c r="N59" s="3">
        <f>M63</f>
        <v/>
      </c>
      <c r="O59" s="3">
        <f>N63</f>
        <v/>
      </c>
      <c r="P59" s="3">
        <f>O63</f>
        <v/>
      </c>
      <c r="Q59" s="3">
        <f>P63</f>
        <v/>
      </c>
      <c r="R59" s="3">
        <f>Q63</f>
        <v/>
      </c>
      <c r="S59" s="3">
        <f>R63</f>
        <v/>
      </c>
      <c r="T59" s="3">
        <f>S63</f>
        <v/>
      </c>
      <c r="U59" s="3">
        <f>T63</f>
        <v/>
      </c>
      <c r="V59" s="3">
        <f>U63</f>
        <v/>
      </c>
      <c r="W59" s="3">
        <f>V63</f>
        <v/>
      </c>
      <c r="X59" s="3">
        <f>W63</f>
        <v/>
      </c>
      <c r="Y59" s="3">
        <f>X63</f>
        <v/>
      </c>
      <c r="Z59" s="3">
        <f>Y63</f>
        <v/>
      </c>
      <c r="AA59" s="3">
        <f>Z63</f>
        <v/>
      </c>
      <c r="AB59" s="3">
        <f>AA63</f>
        <v/>
      </c>
      <c r="AC59" s="3">
        <f>AB63</f>
        <v/>
      </c>
      <c r="AD59" s="3">
        <f>AC63</f>
        <v/>
      </c>
      <c r="AE59" s="3">
        <f>AD63</f>
        <v/>
      </c>
      <c r="AF59" s="3">
        <f>AE63</f>
        <v/>
      </c>
      <c r="AG59" s="3">
        <f>AF63</f>
        <v/>
      </c>
      <c r="AH59" s="3">
        <f>AG63</f>
        <v/>
      </c>
      <c r="AI59" s="3">
        <f>AH63</f>
        <v/>
      </c>
      <c r="AJ59" s="3">
        <f>AI63</f>
        <v/>
      </c>
      <c r="AK59" s="3">
        <f>AJ63</f>
        <v/>
      </c>
      <c r="AL59" s="3">
        <f>AK63</f>
        <v/>
      </c>
      <c r="AM59" s="3">
        <f>AL63</f>
        <v/>
      </c>
      <c r="AN59" s="3">
        <f>AM63</f>
        <v/>
      </c>
      <c r="AO59" s="3">
        <f>AN63</f>
        <v/>
      </c>
      <c r="AP59" s="3">
        <f>AO63</f>
        <v/>
      </c>
      <c r="AQ59" s="3">
        <f>AP63</f>
        <v/>
      </c>
      <c r="AR59" s="3">
        <f>AQ63</f>
        <v/>
      </c>
      <c r="AS59" s="3">
        <f>AR63</f>
        <v/>
      </c>
      <c r="AT59" s="3">
        <f>AS63</f>
        <v/>
      </c>
      <c r="AU59" s="3">
        <f>AT63</f>
        <v/>
      </c>
      <c r="AV59" s="3">
        <f>AU63</f>
        <v/>
      </c>
      <c r="AW59" s="3">
        <f>AV63</f>
        <v/>
      </c>
      <c r="AX59" s="3">
        <f>AW63</f>
        <v/>
      </c>
      <c r="AY59" s="3">
        <f>AX63</f>
        <v/>
      </c>
      <c r="AZ59" s="3">
        <f>AY63</f>
        <v/>
      </c>
      <c r="BA59" s="3">
        <f>AZ63</f>
        <v/>
      </c>
      <c r="BB59" s="3">
        <f>BA63</f>
        <v/>
      </c>
      <c r="BC59" s="3">
        <f>BB63</f>
        <v/>
      </c>
      <c r="BD59" s="3">
        <f>BC63</f>
        <v/>
      </c>
      <c r="BE59" s="3">
        <f>BD63</f>
        <v/>
      </c>
      <c r="BF59" s="3">
        <f>BE63</f>
        <v/>
      </c>
      <c r="BG59" s="3">
        <f>BF63</f>
        <v/>
      </c>
      <c r="BH59" s="3">
        <f>BG63</f>
        <v/>
      </c>
      <c r="BI59" s="3">
        <f>BH63</f>
        <v/>
      </c>
      <c r="BJ59" s="3">
        <f>BI63</f>
        <v/>
      </c>
      <c r="BK59" s="3">
        <f>BJ63</f>
        <v/>
      </c>
      <c r="BL59" s="3">
        <f>BK63</f>
        <v/>
      </c>
      <c r="BM59" s="3">
        <f>BL63</f>
        <v/>
      </c>
      <c r="BN59" s="3">
        <f>BM63</f>
        <v/>
      </c>
      <c r="BO59" s="3">
        <f>BN63</f>
        <v/>
      </c>
      <c r="BP59" s="3">
        <f>BO63</f>
        <v/>
      </c>
      <c r="BQ59" s="3">
        <f>BP63</f>
        <v/>
      </c>
      <c r="BR59" s="3">
        <f>BQ63</f>
        <v/>
      </c>
      <c r="BS59" s="3">
        <f>BR63</f>
        <v/>
      </c>
      <c r="BT59" s="3">
        <f>BS63</f>
        <v/>
      </c>
      <c r="BU59" s="3">
        <f>BT63</f>
        <v/>
      </c>
      <c r="BV59" s="3">
        <f>BU63</f>
        <v/>
      </c>
    </row>
    <row r="60">
      <c r="A60" t="inlineStr">
        <is>
          <t>new</t>
        </is>
      </c>
      <c r="B60" t="inlineStr">
        <is>
          <t>EUROPE|BASIC_A</t>
        </is>
      </c>
      <c r="C60" s="3">
        <f>Adds!C82+IF(Params!$B$9=1,Adds!C81,Adds!C84)</f>
        <v/>
      </c>
      <c r="D60" s="3">
        <f>Adds!D82+IF(Params!$B$9=1,Adds!D81,Adds!D84)</f>
        <v/>
      </c>
      <c r="E60" s="3">
        <f>Adds!E82+IF(Params!$B$9=1,Adds!E81,Adds!E84)</f>
        <v/>
      </c>
      <c r="F60" s="3">
        <f>Adds!F82+IF(Params!$B$9=1,Adds!F81,Adds!F84)</f>
        <v/>
      </c>
      <c r="G60" s="3">
        <f>Adds!G82+IF(Params!$B$9=1,Adds!G81,Adds!G84)</f>
        <v/>
      </c>
      <c r="H60" s="3">
        <f>Adds!H82+IF(Params!$B$9=1,Adds!H81,Adds!H84)</f>
        <v/>
      </c>
      <c r="I60" s="3">
        <f>Adds!I82+IF(Params!$B$9=1,Adds!I81,Adds!I84)</f>
        <v/>
      </c>
      <c r="J60" s="3">
        <f>Adds!J82+IF(Params!$B$9=1,Adds!J81,Adds!J84)</f>
        <v/>
      </c>
      <c r="K60" s="3">
        <f>Adds!K82+IF(Params!$B$9=1,Adds!K81,Adds!K84)</f>
        <v/>
      </c>
      <c r="L60" s="3">
        <f>Adds!L82+IF(Params!$B$9=1,Adds!L81,Adds!L84)</f>
        <v/>
      </c>
      <c r="M60" s="3">
        <f>Adds!M82+IF(Params!$B$9=1,Adds!M81,Adds!M84)</f>
        <v/>
      </c>
      <c r="N60" s="3">
        <f>Adds!N82+IF(Params!$B$9=1,Adds!N81,Adds!N84)</f>
        <v/>
      </c>
      <c r="O60" s="3">
        <f>Adds!O82+IF(Params!$B$9=1,Adds!O81,Adds!O84)</f>
        <v/>
      </c>
      <c r="P60" s="3">
        <f>Adds!P82+IF(Params!$B$9=1,Adds!P81,Adds!P84)</f>
        <v/>
      </c>
      <c r="Q60" s="3">
        <f>Adds!Q82+IF(Params!$B$9=1,Adds!Q81,Adds!Q84)</f>
        <v/>
      </c>
      <c r="R60" s="3">
        <f>Adds!R82+IF(Params!$B$9=1,Adds!R81,Adds!R84)</f>
        <v/>
      </c>
      <c r="S60" s="3">
        <f>Adds!S82+IF(Params!$B$9=1,Adds!S81,Adds!S84)</f>
        <v/>
      </c>
      <c r="T60" s="3">
        <f>Adds!T82+IF(Params!$B$9=1,Adds!T81,Adds!T84)</f>
        <v/>
      </c>
      <c r="U60" s="3">
        <f>Adds!U82+IF(Params!$B$9=1,Adds!U81,Adds!U84)</f>
        <v/>
      </c>
      <c r="V60" s="3">
        <f>Adds!V82+IF(Params!$B$9=1,Adds!V81,Adds!V84)</f>
        <v/>
      </c>
      <c r="W60" s="3">
        <f>Adds!W82+IF(Params!$B$9=1,Adds!W81,Adds!W84)</f>
        <v/>
      </c>
      <c r="X60" s="3">
        <f>Adds!X82+IF(Params!$B$9=1,Adds!X81,Adds!X84)</f>
        <v/>
      </c>
      <c r="Y60" s="3">
        <f>Adds!Y82+IF(Params!$B$9=1,Adds!Y81,Adds!Y84)</f>
        <v/>
      </c>
      <c r="Z60" s="3">
        <f>Adds!Z82+IF(Params!$B$9=1,Adds!Z81,Adds!Z84)</f>
        <v/>
      </c>
      <c r="AA60" s="3">
        <f>Adds!AA82+IF(Params!$B$9=1,Adds!AA81,Adds!AA84)</f>
        <v/>
      </c>
      <c r="AB60" s="3">
        <f>Adds!AB82+IF(Params!$B$9=1,Adds!AB81,Adds!AB84)</f>
        <v/>
      </c>
      <c r="AC60" s="3">
        <f>Adds!AC82+IF(Params!$B$9=1,Adds!AC81,Adds!AC84)</f>
        <v/>
      </c>
      <c r="AD60" s="3">
        <f>Adds!AD82+IF(Params!$B$9=1,Adds!AD81,Adds!AD84)</f>
        <v/>
      </c>
      <c r="AE60" s="3">
        <f>Adds!AE82+IF(Params!$B$9=1,Adds!AE81,Adds!AE84)</f>
        <v/>
      </c>
      <c r="AF60" s="3">
        <f>Adds!AF82+IF(Params!$B$9=1,Adds!AF81,Adds!AF84)</f>
        <v/>
      </c>
      <c r="AG60" s="3">
        <f>Adds!AG82+IF(Params!$B$9=1,Adds!AG81,Adds!AG84)</f>
        <v/>
      </c>
      <c r="AH60" s="3">
        <f>Adds!AH82+IF(Params!$B$9=1,Adds!AH81,Adds!AH84)</f>
        <v/>
      </c>
      <c r="AI60" s="3">
        <f>Adds!AI82+IF(Params!$B$9=1,Adds!AI81,Adds!AI84)</f>
        <v/>
      </c>
      <c r="AJ60" s="3">
        <f>Adds!AJ82+IF(Params!$B$9=1,Adds!AJ81,Adds!AJ84)</f>
        <v/>
      </c>
      <c r="AK60" s="3">
        <f>Adds!AK82+IF(Params!$B$9=1,Adds!AK81,Adds!AK84)</f>
        <v/>
      </c>
      <c r="AL60" s="3">
        <f>Adds!AL82+IF(Params!$B$9=1,Adds!AL81,Adds!AL84)</f>
        <v/>
      </c>
      <c r="AM60" s="3">
        <f>Adds!AM82+IF(Params!$B$9=1,Adds!AM81,Adds!AM84)</f>
        <v/>
      </c>
      <c r="AN60" s="3">
        <f>Adds!AN82+IF(Params!$B$9=1,Adds!AN81,Adds!AN84)</f>
        <v/>
      </c>
      <c r="AO60" s="3">
        <f>Adds!AO82+IF(Params!$B$9=1,Adds!AO81,Adds!AO84)</f>
        <v/>
      </c>
      <c r="AP60" s="3">
        <f>Adds!AP82+IF(Params!$B$9=1,Adds!AP81,Adds!AP84)</f>
        <v/>
      </c>
      <c r="AQ60" s="3">
        <f>Adds!AQ82+IF(Params!$B$9=1,Adds!AQ81,Adds!AQ84)</f>
        <v/>
      </c>
      <c r="AR60" s="3">
        <f>Adds!AR82+IF(Params!$B$9=1,Adds!AR81,Adds!AR84)</f>
        <v/>
      </c>
      <c r="AS60" s="3">
        <f>Adds!AS82+IF(Params!$B$9=1,Adds!AS81,Adds!AS84)</f>
        <v/>
      </c>
      <c r="AT60" s="3">
        <f>Adds!AT82+IF(Params!$B$9=1,Adds!AT81,Adds!AT84)</f>
        <v/>
      </c>
      <c r="AU60" s="3">
        <f>Adds!AU82+IF(Params!$B$9=1,Adds!AU81,Adds!AU84)</f>
        <v/>
      </c>
      <c r="AV60" s="3">
        <f>Adds!AV82+IF(Params!$B$9=1,Adds!AV81,Adds!AV84)</f>
        <v/>
      </c>
      <c r="AW60" s="3">
        <f>Adds!AW82+IF(Params!$B$9=1,Adds!AW81,Adds!AW84)</f>
        <v/>
      </c>
      <c r="AX60" s="3">
        <f>Adds!AX82+IF(Params!$B$9=1,Adds!AX81,Adds!AX84)</f>
        <v/>
      </c>
      <c r="AY60" s="3">
        <f>Adds!AY82+IF(Params!$B$9=1,Adds!AY81,Adds!AY84)</f>
        <v/>
      </c>
      <c r="AZ60" s="3">
        <f>Adds!AZ82+IF(Params!$B$9=1,Adds!AZ81,Adds!AZ84)</f>
        <v/>
      </c>
      <c r="BA60" s="3">
        <f>Adds!BA82+IF(Params!$B$9=1,Adds!BA81,Adds!BA84)</f>
        <v/>
      </c>
      <c r="BB60" s="3">
        <f>Adds!BB82+IF(Params!$B$9=1,Adds!BB81,Adds!BB84)</f>
        <v/>
      </c>
      <c r="BC60" s="3">
        <f>Adds!BC82+IF(Params!$B$9=1,Adds!BC81,Adds!BC84)</f>
        <v/>
      </c>
      <c r="BD60" s="3">
        <f>Adds!BD82+IF(Params!$B$9=1,Adds!BD81,Adds!BD84)</f>
        <v/>
      </c>
      <c r="BE60" s="3">
        <f>Adds!BE82+IF(Params!$B$9=1,Adds!BE81,Adds!BE84)</f>
        <v/>
      </c>
      <c r="BF60" s="3">
        <f>Adds!BF82+IF(Params!$B$9=1,Adds!BF81,Adds!BF84)</f>
        <v/>
      </c>
      <c r="BG60" s="3">
        <f>Adds!BG82+IF(Params!$B$9=1,Adds!BG81,Adds!BG84)</f>
        <v/>
      </c>
      <c r="BH60" s="3">
        <f>Adds!BH82+IF(Params!$B$9=1,Adds!BH81,Adds!BH84)</f>
        <v/>
      </c>
      <c r="BI60" s="3">
        <f>Adds!BI82+IF(Params!$B$9=1,Adds!BI81,Adds!BI84)</f>
        <v/>
      </c>
      <c r="BJ60" s="3">
        <f>Adds!BJ82+IF(Params!$B$9=1,Adds!BJ81,Adds!BJ84)</f>
        <v/>
      </c>
      <c r="BK60" s="3">
        <f>Adds!BK82+IF(Params!$B$9=1,Adds!BK81,Adds!BK84)</f>
        <v/>
      </c>
      <c r="BL60" s="3">
        <f>Adds!BL82+IF(Params!$B$9=1,Adds!BL81,Adds!BL84)</f>
        <v/>
      </c>
      <c r="BM60" s="3">
        <f>Adds!BM82+IF(Params!$B$9=1,Adds!BM81,Adds!BM84)</f>
        <v/>
      </c>
      <c r="BN60" s="3">
        <f>Adds!BN82+IF(Params!$B$9=1,Adds!BN81,Adds!BN84)</f>
        <v/>
      </c>
      <c r="BO60" s="3">
        <f>Adds!BO82+IF(Params!$B$9=1,Adds!BO81,Adds!BO84)</f>
        <v/>
      </c>
      <c r="BP60" s="3">
        <f>Adds!BP82+IF(Params!$B$9=1,Adds!BP81,Adds!BP84)</f>
        <v/>
      </c>
      <c r="BQ60" s="3">
        <f>Adds!BQ82+IF(Params!$B$9=1,Adds!BQ81,Adds!BQ84)</f>
        <v/>
      </c>
      <c r="BR60" s="3">
        <f>Adds!BR82+IF(Params!$B$9=1,Adds!BR81,Adds!BR84)</f>
        <v/>
      </c>
      <c r="BS60" s="3">
        <f>Adds!BS82+IF(Params!$B$9=1,Adds!BS81,Adds!BS84)</f>
        <v/>
      </c>
      <c r="BT60" s="3">
        <f>Adds!BT82+IF(Params!$B$9=1,Adds!BT81,Adds!BT84)</f>
        <v/>
      </c>
      <c r="BU60" s="3">
        <f>Adds!BU82+IF(Params!$B$9=1,Adds!BU81,Adds!BU84)</f>
        <v/>
      </c>
      <c r="BV60" s="3">
        <f>Adds!BV82+IF(Params!$B$9=1,Adds!BV81,Adds!BV84)</f>
        <v/>
      </c>
    </row>
    <row r="61">
      <c r="A61" t="inlineStr">
        <is>
          <t>reactivated</t>
        </is>
      </c>
      <c r="B61" t="inlineStr">
        <is>
          <t>EUROPE|BASIC_A</t>
        </is>
      </c>
      <c r="C61" s="3">
        <f>React!C54</f>
        <v/>
      </c>
      <c r="D61" s="3">
        <f>React!D54</f>
        <v/>
      </c>
      <c r="E61" s="3">
        <f>React!E54</f>
        <v/>
      </c>
      <c r="F61" s="3">
        <f>React!F54</f>
        <v/>
      </c>
      <c r="G61" s="3">
        <f>React!G54</f>
        <v/>
      </c>
      <c r="H61" s="3">
        <f>React!H54</f>
        <v/>
      </c>
      <c r="I61" s="3">
        <f>React!I54</f>
        <v/>
      </c>
      <c r="J61" s="3">
        <f>React!J54</f>
        <v/>
      </c>
      <c r="K61" s="3">
        <f>React!K54</f>
        <v/>
      </c>
      <c r="L61" s="3">
        <f>React!L54</f>
        <v/>
      </c>
      <c r="M61" s="3">
        <f>React!M54</f>
        <v/>
      </c>
      <c r="N61" s="3">
        <f>React!N54</f>
        <v/>
      </c>
      <c r="O61" s="3">
        <f>React!O54</f>
        <v/>
      </c>
      <c r="P61" s="3">
        <f>React!P54</f>
        <v/>
      </c>
      <c r="Q61" s="3">
        <f>React!Q54</f>
        <v/>
      </c>
      <c r="R61" s="3">
        <f>React!R54</f>
        <v/>
      </c>
      <c r="S61" s="3">
        <f>React!S54</f>
        <v/>
      </c>
      <c r="T61" s="3">
        <f>React!T54</f>
        <v/>
      </c>
      <c r="U61" s="3">
        <f>React!U54</f>
        <v/>
      </c>
      <c r="V61" s="3">
        <f>React!V54</f>
        <v/>
      </c>
      <c r="W61" s="3">
        <f>React!W54</f>
        <v/>
      </c>
      <c r="X61" s="3">
        <f>React!X54</f>
        <v/>
      </c>
      <c r="Y61" s="3">
        <f>React!Y54</f>
        <v/>
      </c>
      <c r="Z61" s="3">
        <f>React!Z54</f>
        <v/>
      </c>
      <c r="AA61" s="3">
        <f>React!AA54</f>
        <v/>
      </c>
      <c r="AB61" s="3">
        <f>React!AB54</f>
        <v/>
      </c>
      <c r="AC61" s="3">
        <f>React!AC54</f>
        <v/>
      </c>
      <c r="AD61" s="3">
        <f>React!AD54</f>
        <v/>
      </c>
      <c r="AE61" s="3">
        <f>React!AE54</f>
        <v/>
      </c>
      <c r="AF61" s="3">
        <f>React!AF54</f>
        <v/>
      </c>
      <c r="AG61" s="3">
        <f>React!AG54</f>
        <v/>
      </c>
      <c r="AH61" s="3">
        <f>React!AH54</f>
        <v/>
      </c>
      <c r="AI61" s="3">
        <f>React!AI54</f>
        <v/>
      </c>
      <c r="AJ61" s="3">
        <f>React!AJ54</f>
        <v/>
      </c>
      <c r="AK61" s="3">
        <f>React!AK54</f>
        <v/>
      </c>
      <c r="AL61" s="3">
        <f>React!AL54</f>
        <v/>
      </c>
      <c r="AM61" s="3">
        <f>React!AM54</f>
        <v/>
      </c>
      <c r="AN61" s="3">
        <f>React!AN54</f>
        <v/>
      </c>
      <c r="AO61" s="3">
        <f>React!AO54</f>
        <v/>
      </c>
      <c r="AP61" s="3">
        <f>React!AP54</f>
        <v/>
      </c>
      <c r="AQ61" s="3">
        <f>React!AQ54</f>
        <v/>
      </c>
      <c r="AR61" s="3">
        <f>React!AR54</f>
        <v/>
      </c>
      <c r="AS61" s="3">
        <f>React!AS54</f>
        <v/>
      </c>
      <c r="AT61" s="3">
        <f>React!AT54</f>
        <v/>
      </c>
      <c r="AU61" s="3">
        <f>React!AU54</f>
        <v/>
      </c>
      <c r="AV61" s="3">
        <f>React!AV54</f>
        <v/>
      </c>
      <c r="AW61" s="3">
        <f>React!AW54</f>
        <v/>
      </c>
      <c r="AX61" s="3">
        <f>React!AX54</f>
        <v/>
      </c>
      <c r="AY61" s="3">
        <f>React!AY54</f>
        <v/>
      </c>
      <c r="AZ61" s="3">
        <f>React!AZ54</f>
        <v/>
      </c>
      <c r="BA61" s="3">
        <f>React!BA54</f>
        <v/>
      </c>
      <c r="BB61" s="3">
        <f>React!BB54</f>
        <v/>
      </c>
      <c r="BC61" s="3">
        <f>React!BC54</f>
        <v/>
      </c>
      <c r="BD61" s="3">
        <f>React!BD54</f>
        <v/>
      </c>
      <c r="BE61" s="3">
        <f>React!BE54</f>
        <v/>
      </c>
      <c r="BF61" s="3">
        <f>React!BF54</f>
        <v/>
      </c>
      <c r="BG61" s="3">
        <f>React!BG54</f>
        <v/>
      </c>
      <c r="BH61" s="3">
        <f>React!BH54</f>
        <v/>
      </c>
      <c r="BI61" s="3">
        <f>React!BI54</f>
        <v/>
      </c>
      <c r="BJ61" s="3">
        <f>React!BJ54</f>
        <v/>
      </c>
      <c r="BK61" s="3">
        <f>React!BK54</f>
        <v/>
      </c>
      <c r="BL61" s="3">
        <f>React!BL54</f>
        <v/>
      </c>
      <c r="BM61" s="3">
        <f>React!BM54</f>
        <v/>
      </c>
      <c r="BN61" s="3">
        <f>React!BN54</f>
        <v/>
      </c>
      <c r="BO61" s="3">
        <f>React!BO54</f>
        <v/>
      </c>
      <c r="BP61" s="3">
        <f>React!BP54</f>
        <v/>
      </c>
      <c r="BQ61" s="3">
        <f>React!BQ54</f>
        <v/>
      </c>
      <c r="BR61" s="3">
        <f>React!BR54</f>
        <v/>
      </c>
      <c r="BS61" s="3">
        <f>React!BS54</f>
        <v/>
      </c>
      <c r="BT61" s="3">
        <f>React!BT54</f>
        <v/>
      </c>
      <c r="BU61" s="3">
        <f>React!BU54</f>
        <v/>
      </c>
      <c r="BV61" s="3">
        <f>React!BV54</f>
        <v/>
      </c>
    </row>
    <row r="62">
      <c r="A62" t="inlineStr">
        <is>
          <t>churned</t>
        </is>
      </c>
      <c r="B62" t="inlineStr">
        <is>
          <t>EUROPE|BASIC_A</t>
        </is>
      </c>
      <c r="C62" s="3">
        <f>Legacy!C35+Paid!C33+React!C57+Params!$B$9*Adds!C85</f>
        <v/>
      </c>
      <c r="D62" s="3">
        <f>Legacy!D35+Paid!D33+React!D57+Params!$B$9*Adds!D85</f>
        <v/>
      </c>
      <c r="E62" s="3">
        <f>Legacy!E35+Paid!E33+React!E57+Params!$B$9*Adds!E85</f>
        <v/>
      </c>
      <c r="F62" s="3">
        <f>Legacy!F35+Paid!F33+React!F57+Params!$B$9*Adds!F85</f>
        <v/>
      </c>
      <c r="G62" s="3">
        <f>Legacy!G35+Paid!G33+React!G57+Params!$B$9*Adds!G85</f>
        <v/>
      </c>
      <c r="H62" s="3">
        <f>Legacy!H35+Paid!H33+React!H57+Params!$B$9*Adds!H85</f>
        <v/>
      </c>
      <c r="I62" s="3">
        <f>Legacy!I35+Paid!I33+React!I57+Params!$B$9*Adds!I85</f>
        <v/>
      </c>
      <c r="J62" s="3">
        <f>Legacy!J35+Paid!J33+React!J57+Params!$B$9*Adds!J85</f>
        <v/>
      </c>
      <c r="K62" s="3">
        <f>Legacy!K35+Paid!K33+React!K57+Params!$B$9*Adds!K85</f>
        <v/>
      </c>
      <c r="L62" s="3">
        <f>Legacy!L35+Paid!L33+React!L57+Params!$B$9*Adds!L85</f>
        <v/>
      </c>
      <c r="M62" s="3">
        <f>Legacy!M35+Paid!M33+React!M57+Params!$B$9*Adds!M85</f>
        <v/>
      </c>
      <c r="N62" s="3">
        <f>Legacy!N35+Paid!N33+React!N57+Params!$B$9*Adds!N85</f>
        <v/>
      </c>
      <c r="O62" s="3">
        <f>Legacy!O35+Paid!O33+React!O57+Params!$B$9*Adds!O85</f>
        <v/>
      </c>
      <c r="P62" s="3">
        <f>Legacy!P35+Paid!P33+React!P57+Params!$B$9*Adds!P85</f>
        <v/>
      </c>
      <c r="Q62" s="3">
        <f>Legacy!Q35+Paid!Q33+React!Q57+Params!$B$9*Adds!Q85</f>
        <v/>
      </c>
      <c r="R62" s="3">
        <f>Legacy!R35+Paid!R33+React!R57+Params!$B$9*Adds!R85</f>
        <v/>
      </c>
      <c r="S62" s="3">
        <f>Legacy!S35+Paid!S33+React!S57+Params!$B$9*Adds!S85</f>
        <v/>
      </c>
      <c r="T62" s="3">
        <f>Legacy!T35+Paid!T33+React!T57+Params!$B$9*Adds!T85</f>
        <v/>
      </c>
      <c r="U62" s="3">
        <f>Legacy!U35+Paid!U33+React!U57+Params!$B$9*Adds!U85</f>
        <v/>
      </c>
      <c r="V62" s="3">
        <f>Legacy!V35+Paid!V33+React!V57+Params!$B$9*Adds!V85</f>
        <v/>
      </c>
      <c r="W62" s="3">
        <f>Legacy!W35+Paid!W33+React!W57+Params!$B$9*Adds!W85</f>
        <v/>
      </c>
      <c r="X62" s="3">
        <f>Legacy!X35+Paid!X33+React!X57+Params!$B$9*Adds!X85</f>
        <v/>
      </c>
      <c r="Y62" s="3">
        <f>Legacy!Y35+Paid!Y33+React!Y57+Params!$B$9*Adds!Y85</f>
        <v/>
      </c>
      <c r="Z62" s="3">
        <f>Legacy!Z35+Paid!Z33+React!Z57+Params!$B$9*Adds!Z85</f>
        <v/>
      </c>
      <c r="AA62" s="3">
        <f>Legacy!AA35+Paid!AA33+React!AA57+Params!$B$9*Adds!AA85</f>
        <v/>
      </c>
      <c r="AB62" s="3">
        <f>Legacy!AB35+Paid!AB33+React!AB57+Params!$B$9*Adds!AB85</f>
        <v/>
      </c>
      <c r="AC62" s="3">
        <f>Legacy!AC35+Paid!AC33+React!AC57+Params!$B$9*Adds!AC85</f>
        <v/>
      </c>
      <c r="AD62" s="3">
        <f>Legacy!AD35+Paid!AD33+React!AD57+Params!$B$9*Adds!AD85</f>
        <v/>
      </c>
      <c r="AE62" s="3">
        <f>Legacy!AE35+Paid!AE33+React!AE57+Params!$B$9*Adds!AE85</f>
        <v/>
      </c>
      <c r="AF62" s="3">
        <f>Legacy!AF35+Paid!AF33+React!AF57+Params!$B$9*Adds!AF85</f>
        <v/>
      </c>
      <c r="AG62" s="3">
        <f>Legacy!AG35+Paid!AG33+React!AG57+Params!$B$9*Adds!AG85</f>
        <v/>
      </c>
      <c r="AH62" s="3">
        <f>Legacy!AH35+Paid!AH33+React!AH57+Params!$B$9*Adds!AH85</f>
        <v/>
      </c>
      <c r="AI62" s="3">
        <f>Legacy!AI35+Paid!AI33+React!AI57+Params!$B$9*Adds!AI85</f>
        <v/>
      </c>
      <c r="AJ62" s="3">
        <f>Legacy!AJ35+Paid!AJ33+React!AJ57+Params!$B$9*Adds!AJ85</f>
        <v/>
      </c>
      <c r="AK62" s="3">
        <f>Legacy!AK35+Paid!AK33+React!AK57+Params!$B$9*Adds!AK85</f>
        <v/>
      </c>
      <c r="AL62" s="3">
        <f>Legacy!AL35+Paid!AL33+React!AL57+Params!$B$9*Adds!AL85</f>
        <v/>
      </c>
      <c r="AM62" s="3">
        <f>Legacy!AM35+Paid!AM33+React!AM57+Params!$B$9*Adds!AM85</f>
        <v/>
      </c>
      <c r="AN62" s="3">
        <f>Legacy!AN35+Paid!AN33+React!AN57+Params!$B$9*Adds!AN85</f>
        <v/>
      </c>
      <c r="AO62" s="3">
        <f>Legacy!AO35+Paid!AO33+React!AO57+Params!$B$9*Adds!AO85</f>
        <v/>
      </c>
      <c r="AP62" s="3">
        <f>Legacy!AP35+Paid!AP33+React!AP57+Params!$B$9*Adds!AP85</f>
        <v/>
      </c>
      <c r="AQ62" s="3">
        <f>Legacy!AQ35+Paid!AQ33+React!AQ57+Params!$B$9*Adds!AQ85</f>
        <v/>
      </c>
      <c r="AR62" s="3">
        <f>Legacy!AR35+Paid!AR33+React!AR57+Params!$B$9*Adds!AR85</f>
        <v/>
      </c>
      <c r="AS62" s="3">
        <f>Legacy!AS35+Paid!AS33+React!AS57+Params!$B$9*Adds!AS85</f>
        <v/>
      </c>
      <c r="AT62" s="3">
        <f>Legacy!AT35+Paid!AT33+React!AT57+Params!$B$9*Adds!AT85</f>
        <v/>
      </c>
      <c r="AU62" s="3">
        <f>Legacy!AU35+Paid!AU33+React!AU57+Params!$B$9*Adds!AU85</f>
        <v/>
      </c>
      <c r="AV62" s="3">
        <f>Legacy!AV35+Paid!AV33+React!AV57+Params!$B$9*Adds!AV85</f>
        <v/>
      </c>
      <c r="AW62" s="3">
        <f>Legacy!AW35+Paid!AW33+React!AW57+Params!$B$9*Adds!AW85</f>
        <v/>
      </c>
      <c r="AX62" s="3">
        <f>Legacy!AX35+Paid!AX33+React!AX57+Params!$B$9*Adds!AX85</f>
        <v/>
      </c>
      <c r="AY62" s="3">
        <f>Legacy!AY35+Paid!AY33+React!AY57+Params!$B$9*Adds!AY85</f>
        <v/>
      </c>
      <c r="AZ62" s="3">
        <f>Legacy!AZ35+Paid!AZ33+React!AZ57+Params!$B$9*Adds!AZ85</f>
        <v/>
      </c>
      <c r="BA62" s="3">
        <f>Legacy!BA35+Paid!BA33+React!BA57+Params!$B$9*Adds!BA85</f>
        <v/>
      </c>
      <c r="BB62" s="3">
        <f>Legacy!BB35+Paid!BB33+React!BB57+Params!$B$9*Adds!BB85</f>
        <v/>
      </c>
      <c r="BC62" s="3">
        <f>Legacy!BC35+Paid!BC33+React!BC57+Params!$B$9*Adds!BC85</f>
        <v/>
      </c>
      <c r="BD62" s="3">
        <f>Legacy!BD35+Paid!BD33+React!BD57+Params!$B$9*Adds!BD85</f>
        <v/>
      </c>
      <c r="BE62" s="3">
        <f>Legacy!BE35+Paid!BE33+React!BE57+Params!$B$9*Adds!BE85</f>
        <v/>
      </c>
      <c r="BF62" s="3">
        <f>Legacy!BF35+Paid!BF33+React!BF57+Params!$B$9*Adds!BF85</f>
        <v/>
      </c>
      <c r="BG62" s="3">
        <f>Legacy!BG35+Paid!BG33+React!BG57+Params!$B$9*Adds!BG85</f>
        <v/>
      </c>
      <c r="BH62" s="3">
        <f>Legacy!BH35+Paid!BH33+React!BH57+Params!$B$9*Adds!BH85</f>
        <v/>
      </c>
      <c r="BI62" s="3">
        <f>Legacy!BI35+Paid!BI33+React!BI57+Params!$B$9*Adds!BI85</f>
        <v/>
      </c>
      <c r="BJ62" s="3">
        <f>Legacy!BJ35+Paid!BJ33+React!BJ57+Params!$B$9*Adds!BJ85</f>
        <v/>
      </c>
      <c r="BK62" s="3">
        <f>Legacy!BK35+Paid!BK33+React!BK57+Params!$B$9*Adds!BK85</f>
        <v/>
      </c>
      <c r="BL62" s="3">
        <f>Legacy!BL35+Paid!BL33+React!BL57+Params!$B$9*Adds!BL85</f>
        <v/>
      </c>
      <c r="BM62" s="3">
        <f>Legacy!BM35+Paid!BM33+React!BM57+Params!$B$9*Adds!BM85</f>
        <v/>
      </c>
      <c r="BN62" s="3">
        <f>Legacy!BN35+Paid!BN33+React!BN57+Params!$B$9*Adds!BN85</f>
        <v/>
      </c>
      <c r="BO62" s="3">
        <f>Legacy!BO35+Paid!BO33+React!BO57+Params!$B$9*Adds!BO85</f>
        <v/>
      </c>
      <c r="BP62" s="3">
        <f>Legacy!BP35+Paid!BP33+React!BP57+Params!$B$9*Adds!BP85</f>
        <v/>
      </c>
      <c r="BQ62" s="3">
        <f>Legacy!BQ35+Paid!BQ33+React!BQ57+Params!$B$9*Adds!BQ85</f>
        <v/>
      </c>
      <c r="BR62" s="3">
        <f>Legacy!BR35+Paid!BR33+React!BR57+Params!$B$9*Adds!BR85</f>
        <v/>
      </c>
      <c r="BS62" s="3">
        <f>Legacy!BS35+Paid!BS33+React!BS57+Params!$B$9*Adds!BS85</f>
        <v/>
      </c>
      <c r="BT62" s="3">
        <f>Legacy!BT35+Paid!BT33+React!BT57+Params!$B$9*Adds!BT85</f>
        <v/>
      </c>
      <c r="BU62" s="3">
        <f>Legacy!BU35+Paid!BU33+React!BU57+Params!$B$9*Adds!BU85</f>
        <v/>
      </c>
      <c r="BV62" s="3">
        <f>Legacy!BV35+Paid!BV33+React!BV57+Params!$B$9*Adds!BV85</f>
        <v/>
      </c>
    </row>
    <row r="63">
      <c r="A63" t="inlineStr">
        <is>
          <t>closing</t>
        </is>
      </c>
      <c r="B63" t="inlineStr">
        <is>
          <t>EUROPE|BASIC_A</t>
        </is>
      </c>
      <c r="C63" s="3">
        <f>C64+Params!$B$9*Adds!C88</f>
        <v/>
      </c>
      <c r="D63" s="3">
        <f>D64+Params!$B$9*Adds!D88</f>
        <v/>
      </c>
      <c r="E63" s="3">
        <f>E64+Params!$B$9*Adds!E88</f>
        <v/>
      </c>
      <c r="F63" s="3">
        <f>F64+Params!$B$9*Adds!F88</f>
        <v/>
      </c>
      <c r="G63" s="3">
        <f>G64+Params!$B$9*Adds!G88</f>
        <v/>
      </c>
      <c r="H63" s="3">
        <f>H64+Params!$B$9*Adds!H88</f>
        <v/>
      </c>
      <c r="I63" s="3">
        <f>I64+Params!$B$9*Adds!I88</f>
        <v/>
      </c>
      <c r="J63" s="3">
        <f>J64+Params!$B$9*Adds!J88</f>
        <v/>
      </c>
      <c r="K63" s="3">
        <f>K64+Params!$B$9*Adds!K88</f>
        <v/>
      </c>
      <c r="L63" s="3">
        <f>L64+Params!$B$9*Adds!L88</f>
        <v/>
      </c>
      <c r="M63" s="3">
        <f>M64+Params!$B$9*Adds!M88</f>
        <v/>
      </c>
      <c r="N63" s="3">
        <f>N64+Params!$B$9*Adds!N88</f>
        <v/>
      </c>
      <c r="O63" s="3">
        <f>O64+Params!$B$9*Adds!O88</f>
        <v/>
      </c>
      <c r="P63" s="3">
        <f>P64+Params!$B$9*Adds!P88</f>
        <v/>
      </c>
      <c r="Q63" s="3">
        <f>Q64+Params!$B$9*Adds!Q88</f>
        <v/>
      </c>
      <c r="R63" s="3">
        <f>R64+Params!$B$9*Adds!R88</f>
        <v/>
      </c>
      <c r="S63" s="3">
        <f>S64+Params!$B$9*Adds!S88</f>
        <v/>
      </c>
      <c r="T63" s="3">
        <f>T64+Params!$B$9*Adds!T88</f>
        <v/>
      </c>
      <c r="U63" s="3">
        <f>U64+Params!$B$9*Adds!U88</f>
        <v/>
      </c>
      <c r="V63" s="3">
        <f>V64+Params!$B$9*Adds!V88</f>
        <v/>
      </c>
      <c r="W63" s="3">
        <f>W64+Params!$B$9*Adds!W88</f>
        <v/>
      </c>
      <c r="X63" s="3">
        <f>X64+Params!$B$9*Adds!X88</f>
        <v/>
      </c>
      <c r="Y63" s="3">
        <f>Y64+Params!$B$9*Adds!Y88</f>
        <v/>
      </c>
      <c r="Z63" s="3">
        <f>Z64+Params!$B$9*Adds!Z88</f>
        <v/>
      </c>
      <c r="AA63" s="3">
        <f>AA64+Params!$B$9*Adds!AA88</f>
        <v/>
      </c>
      <c r="AB63" s="3">
        <f>AB64+Params!$B$9*Adds!AB88</f>
        <v/>
      </c>
      <c r="AC63" s="3">
        <f>AC64+Params!$B$9*Adds!AC88</f>
        <v/>
      </c>
      <c r="AD63" s="3">
        <f>AD64+Params!$B$9*Adds!AD88</f>
        <v/>
      </c>
      <c r="AE63" s="3">
        <f>AE64+Params!$B$9*Adds!AE88</f>
        <v/>
      </c>
      <c r="AF63" s="3">
        <f>AF64+Params!$B$9*Adds!AF88</f>
        <v/>
      </c>
      <c r="AG63" s="3">
        <f>AG64+Params!$B$9*Adds!AG88</f>
        <v/>
      </c>
      <c r="AH63" s="3">
        <f>AH64+Params!$B$9*Adds!AH88</f>
        <v/>
      </c>
      <c r="AI63" s="3">
        <f>AI64+Params!$B$9*Adds!AI88</f>
        <v/>
      </c>
      <c r="AJ63" s="3">
        <f>AJ64+Params!$B$9*Adds!AJ88</f>
        <v/>
      </c>
      <c r="AK63" s="3">
        <f>AK64+Params!$B$9*Adds!AK88</f>
        <v/>
      </c>
      <c r="AL63" s="3">
        <f>AL64+Params!$B$9*Adds!AL88</f>
        <v/>
      </c>
      <c r="AM63" s="3">
        <f>AM64+Params!$B$9*Adds!AM88</f>
        <v/>
      </c>
      <c r="AN63" s="3">
        <f>AN64+Params!$B$9*Adds!AN88</f>
        <v/>
      </c>
      <c r="AO63" s="3">
        <f>AO64+Params!$B$9*Adds!AO88</f>
        <v/>
      </c>
      <c r="AP63" s="3">
        <f>AP64+Params!$B$9*Adds!AP88</f>
        <v/>
      </c>
      <c r="AQ63" s="3">
        <f>AQ64+Params!$B$9*Adds!AQ88</f>
        <v/>
      </c>
      <c r="AR63" s="3">
        <f>AR64+Params!$B$9*Adds!AR88</f>
        <v/>
      </c>
      <c r="AS63" s="3">
        <f>AS64+Params!$B$9*Adds!AS88</f>
        <v/>
      </c>
      <c r="AT63" s="3">
        <f>AT64+Params!$B$9*Adds!AT88</f>
        <v/>
      </c>
      <c r="AU63" s="3">
        <f>AU64+Params!$B$9*Adds!AU88</f>
        <v/>
      </c>
      <c r="AV63" s="3">
        <f>AV64+Params!$B$9*Adds!AV88</f>
        <v/>
      </c>
      <c r="AW63" s="3">
        <f>AW64+Params!$B$9*Adds!AW88</f>
        <v/>
      </c>
      <c r="AX63" s="3">
        <f>AX64+Params!$B$9*Adds!AX88</f>
        <v/>
      </c>
      <c r="AY63" s="3">
        <f>AY64+Params!$B$9*Adds!AY88</f>
        <v/>
      </c>
      <c r="AZ63" s="3">
        <f>AZ64+Params!$B$9*Adds!AZ88</f>
        <v/>
      </c>
      <c r="BA63" s="3">
        <f>BA64+Params!$B$9*Adds!BA88</f>
        <v/>
      </c>
      <c r="BB63" s="3">
        <f>BB64+Params!$B$9*Adds!BB88</f>
        <v/>
      </c>
      <c r="BC63" s="3">
        <f>BC64+Params!$B$9*Adds!BC88</f>
        <v/>
      </c>
      <c r="BD63" s="3">
        <f>BD64+Params!$B$9*Adds!BD88</f>
        <v/>
      </c>
      <c r="BE63" s="3">
        <f>BE64+Params!$B$9*Adds!BE88</f>
        <v/>
      </c>
      <c r="BF63" s="3">
        <f>BF64+Params!$B$9*Adds!BF88</f>
        <v/>
      </c>
      <c r="BG63" s="3">
        <f>BG64+Params!$B$9*Adds!BG88</f>
        <v/>
      </c>
      <c r="BH63" s="3">
        <f>BH64+Params!$B$9*Adds!BH88</f>
        <v/>
      </c>
      <c r="BI63" s="3">
        <f>BI64+Params!$B$9*Adds!BI88</f>
        <v/>
      </c>
      <c r="BJ63" s="3">
        <f>BJ64+Params!$B$9*Adds!BJ88</f>
        <v/>
      </c>
      <c r="BK63" s="3">
        <f>BK64+Params!$B$9*Adds!BK88</f>
        <v/>
      </c>
      <c r="BL63" s="3">
        <f>BL64+Params!$B$9*Adds!BL88</f>
        <v/>
      </c>
      <c r="BM63" s="3">
        <f>BM64+Params!$B$9*Adds!BM88</f>
        <v/>
      </c>
      <c r="BN63" s="3">
        <f>BN64+Params!$B$9*Adds!BN88</f>
        <v/>
      </c>
      <c r="BO63" s="3">
        <f>BO64+Params!$B$9*Adds!BO88</f>
        <v/>
      </c>
      <c r="BP63" s="3">
        <f>BP64+Params!$B$9*Adds!BP88</f>
        <v/>
      </c>
      <c r="BQ63" s="3">
        <f>BQ64+Params!$B$9*Adds!BQ88</f>
        <v/>
      </c>
      <c r="BR63" s="3">
        <f>BR64+Params!$B$9*Adds!BR88</f>
        <v/>
      </c>
      <c r="BS63" s="3">
        <f>BS64+Params!$B$9*Adds!BS88</f>
        <v/>
      </c>
      <c r="BT63" s="3">
        <f>BT64+Params!$B$9*Adds!BT88</f>
        <v/>
      </c>
      <c r="BU63" s="3">
        <f>BU64+Params!$B$9*Adds!BU88</f>
        <v/>
      </c>
      <c r="BV63" s="3">
        <f>BV64+Params!$B$9*Adds!BV88</f>
        <v/>
      </c>
    </row>
    <row r="64">
      <c r="A64" t="inlineStr">
        <is>
          <t>paying</t>
        </is>
      </c>
      <c r="B64" t="inlineStr">
        <is>
          <t>EUROPE|BASIC_A</t>
        </is>
      </c>
      <c r="C64" s="3">
        <f>Legacy!C34+Paid!C31+React!C55</f>
        <v/>
      </c>
      <c r="D64" s="3">
        <f>Legacy!D34+Paid!D31+React!D55</f>
        <v/>
      </c>
      <c r="E64" s="3">
        <f>Legacy!E34+Paid!E31+React!E55</f>
        <v/>
      </c>
      <c r="F64" s="3">
        <f>Legacy!F34+Paid!F31+React!F55</f>
        <v/>
      </c>
      <c r="G64" s="3">
        <f>Legacy!G34+Paid!G31+React!G55</f>
        <v/>
      </c>
      <c r="H64" s="3">
        <f>Legacy!H34+Paid!H31+React!H55</f>
        <v/>
      </c>
      <c r="I64" s="3">
        <f>Legacy!I34+Paid!I31+React!I55</f>
        <v/>
      </c>
      <c r="J64" s="3">
        <f>Legacy!J34+Paid!J31+React!J55</f>
        <v/>
      </c>
      <c r="K64" s="3">
        <f>Legacy!K34+Paid!K31+React!K55</f>
        <v/>
      </c>
      <c r="L64" s="3">
        <f>Legacy!L34+Paid!L31+React!L55</f>
        <v/>
      </c>
      <c r="M64" s="3">
        <f>Legacy!M34+Paid!M31+React!M55</f>
        <v/>
      </c>
      <c r="N64" s="3">
        <f>Legacy!N34+Paid!N31+React!N55</f>
        <v/>
      </c>
      <c r="O64" s="3">
        <f>Legacy!O34+Paid!O31+React!O55</f>
        <v/>
      </c>
      <c r="P64" s="3">
        <f>Legacy!P34+Paid!P31+React!P55</f>
        <v/>
      </c>
      <c r="Q64" s="3">
        <f>Legacy!Q34+Paid!Q31+React!Q55</f>
        <v/>
      </c>
      <c r="R64" s="3">
        <f>Legacy!R34+Paid!R31+React!R55</f>
        <v/>
      </c>
      <c r="S64" s="3">
        <f>Legacy!S34+Paid!S31+React!S55</f>
        <v/>
      </c>
      <c r="T64" s="3">
        <f>Legacy!T34+Paid!T31+React!T55</f>
        <v/>
      </c>
      <c r="U64" s="3">
        <f>Legacy!U34+Paid!U31+React!U55</f>
        <v/>
      </c>
      <c r="V64" s="3">
        <f>Legacy!V34+Paid!V31+React!V55</f>
        <v/>
      </c>
      <c r="W64" s="3">
        <f>Legacy!W34+Paid!W31+React!W55</f>
        <v/>
      </c>
      <c r="X64" s="3">
        <f>Legacy!X34+Paid!X31+React!X55</f>
        <v/>
      </c>
      <c r="Y64" s="3">
        <f>Legacy!Y34+Paid!Y31+React!Y55</f>
        <v/>
      </c>
      <c r="Z64" s="3">
        <f>Legacy!Z34+Paid!Z31+React!Z55</f>
        <v/>
      </c>
      <c r="AA64" s="3">
        <f>Legacy!AA34+Paid!AA31+React!AA55</f>
        <v/>
      </c>
      <c r="AB64" s="3">
        <f>Legacy!AB34+Paid!AB31+React!AB55</f>
        <v/>
      </c>
      <c r="AC64" s="3">
        <f>Legacy!AC34+Paid!AC31+React!AC55</f>
        <v/>
      </c>
      <c r="AD64" s="3">
        <f>Legacy!AD34+Paid!AD31+React!AD55</f>
        <v/>
      </c>
      <c r="AE64" s="3">
        <f>Legacy!AE34+Paid!AE31+React!AE55</f>
        <v/>
      </c>
      <c r="AF64" s="3">
        <f>Legacy!AF34+Paid!AF31+React!AF55</f>
        <v/>
      </c>
      <c r="AG64" s="3">
        <f>Legacy!AG34+Paid!AG31+React!AG55</f>
        <v/>
      </c>
      <c r="AH64" s="3">
        <f>Legacy!AH34+Paid!AH31+React!AH55</f>
        <v/>
      </c>
      <c r="AI64" s="3">
        <f>Legacy!AI34+Paid!AI31+React!AI55</f>
        <v/>
      </c>
      <c r="AJ64" s="3">
        <f>Legacy!AJ34+Paid!AJ31+React!AJ55</f>
        <v/>
      </c>
      <c r="AK64" s="3">
        <f>Legacy!AK34+Paid!AK31+React!AK55</f>
        <v/>
      </c>
      <c r="AL64" s="3">
        <f>Legacy!AL34+Paid!AL31+React!AL55</f>
        <v/>
      </c>
      <c r="AM64" s="3">
        <f>Legacy!AM34+Paid!AM31+React!AM55</f>
        <v/>
      </c>
      <c r="AN64" s="3">
        <f>Legacy!AN34+Paid!AN31+React!AN55</f>
        <v/>
      </c>
      <c r="AO64" s="3">
        <f>Legacy!AO34+Paid!AO31+React!AO55</f>
        <v/>
      </c>
      <c r="AP64" s="3">
        <f>Legacy!AP34+Paid!AP31+React!AP55</f>
        <v/>
      </c>
      <c r="AQ64" s="3">
        <f>Legacy!AQ34+Paid!AQ31+React!AQ55</f>
        <v/>
      </c>
      <c r="AR64" s="3">
        <f>Legacy!AR34+Paid!AR31+React!AR55</f>
        <v/>
      </c>
      <c r="AS64" s="3">
        <f>Legacy!AS34+Paid!AS31+React!AS55</f>
        <v/>
      </c>
      <c r="AT64" s="3">
        <f>Legacy!AT34+Paid!AT31+React!AT55</f>
        <v/>
      </c>
      <c r="AU64" s="3">
        <f>Legacy!AU34+Paid!AU31+React!AU55</f>
        <v/>
      </c>
      <c r="AV64" s="3">
        <f>Legacy!AV34+Paid!AV31+React!AV55</f>
        <v/>
      </c>
      <c r="AW64" s="3">
        <f>Legacy!AW34+Paid!AW31+React!AW55</f>
        <v/>
      </c>
      <c r="AX64" s="3">
        <f>Legacy!AX34+Paid!AX31+React!AX55</f>
        <v/>
      </c>
      <c r="AY64" s="3">
        <f>Legacy!AY34+Paid!AY31+React!AY55</f>
        <v/>
      </c>
      <c r="AZ64" s="3">
        <f>Legacy!AZ34+Paid!AZ31+React!AZ55</f>
        <v/>
      </c>
      <c r="BA64" s="3">
        <f>Legacy!BA34+Paid!BA31+React!BA55</f>
        <v/>
      </c>
      <c r="BB64" s="3">
        <f>Legacy!BB34+Paid!BB31+React!BB55</f>
        <v/>
      </c>
      <c r="BC64" s="3">
        <f>Legacy!BC34+Paid!BC31+React!BC55</f>
        <v/>
      </c>
      <c r="BD64" s="3">
        <f>Legacy!BD34+Paid!BD31+React!BD55</f>
        <v/>
      </c>
      <c r="BE64" s="3">
        <f>Legacy!BE34+Paid!BE31+React!BE55</f>
        <v/>
      </c>
      <c r="BF64" s="3">
        <f>Legacy!BF34+Paid!BF31+React!BF55</f>
        <v/>
      </c>
      <c r="BG64" s="3">
        <f>Legacy!BG34+Paid!BG31+React!BG55</f>
        <v/>
      </c>
      <c r="BH64" s="3">
        <f>Legacy!BH34+Paid!BH31+React!BH55</f>
        <v/>
      </c>
      <c r="BI64" s="3">
        <f>Legacy!BI34+Paid!BI31+React!BI55</f>
        <v/>
      </c>
      <c r="BJ64" s="3">
        <f>Legacy!BJ34+Paid!BJ31+React!BJ55</f>
        <v/>
      </c>
      <c r="BK64" s="3">
        <f>Legacy!BK34+Paid!BK31+React!BK55</f>
        <v/>
      </c>
      <c r="BL64" s="3">
        <f>Legacy!BL34+Paid!BL31+React!BL55</f>
        <v/>
      </c>
      <c r="BM64" s="3">
        <f>Legacy!BM34+Paid!BM31+React!BM55</f>
        <v/>
      </c>
      <c r="BN64" s="3">
        <f>Legacy!BN34+Paid!BN31+React!BN55</f>
        <v/>
      </c>
      <c r="BO64" s="3">
        <f>Legacy!BO34+Paid!BO31+React!BO55</f>
        <v/>
      </c>
      <c r="BP64" s="3">
        <f>Legacy!BP34+Paid!BP31+React!BP55</f>
        <v/>
      </c>
      <c r="BQ64" s="3">
        <f>Legacy!BQ34+Paid!BQ31+React!BQ55</f>
        <v/>
      </c>
      <c r="BR64" s="3">
        <f>Legacy!BR34+Paid!BR31+React!BR55</f>
        <v/>
      </c>
      <c r="BS64" s="3">
        <f>Legacy!BS34+Paid!BS31+React!BS55</f>
        <v/>
      </c>
      <c r="BT64" s="3">
        <f>Legacy!BT34+Paid!BT31+React!BT55</f>
        <v/>
      </c>
      <c r="BU64" s="3">
        <f>Legacy!BU34+Paid!BU31+React!BU55</f>
        <v/>
      </c>
      <c r="BV64" s="3">
        <f>Legacy!BV34+Paid!BV31+React!BV55</f>
        <v/>
      </c>
    </row>
    <row r="66">
      <c r="A66" t="inlineStr">
        <is>
          <t>opening</t>
        </is>
      </c>
      <c r="B66" t="inlineStr">
        <is>
          <t>LATAM|NITRO_M</t>
        </is>
      </c>
      <c r="C66" s="3">
        <f>Legacy!$C$37</f>
        <v/>
      </c>
      <c r="D66" s="3">
        <f>C70</f>
        <v/>
      </c>
      <c r="E66" s="3">
        <f>D70</f>
        <v/>
      </c>
      <c r="F66" s="3">
        <f>E70</f>
        <v/>
      </c>
      <c r="G66" s="3">
        <f>F70</f>
        <v/>
      </c>
      <c r="H66" s="3">
        <f>G70</f>
        <v/>
      </c>
      <c r="I66" s="3">
        <f>H70</f>
        <v/>
      </c>
      <c r="J66" s="3">
        <f>I70</f>
        <v/>
      </c>
      <c r="K66" s="3">
        <f>J70</f>
        <v/>
      </c>
      <c r="L66" s="3">
        <f>K70</f>
        <v/>
      </c>
      <c r="M66" s="3">
        <f>L70</f>
        <v/>
      </c>
      <c r="N66" s="3">
        <f>M70</f>
        <v/>
      </c>
      <c r="O66" s="3">
        <f>N70</f>
        <v/>
      </c>
      <c r="P66" s="3">
        <f>O70</f>
        <v/>
      </c>
      <c r="Q66" s="3">
        <f>P70</f>
        <v/>
      </c>
      <c r="R66" s="3">
        <f>Q70</f>
        <v/>
      </c>
      <c r="S66" s="3">
        <f>R70</f>
        <v/>
      </c>
      <c r="T66" s="3">
        <f>S70</f>
        <v/>
      </c>
      <c r="U66" s="3">
        <f>T70</f>
        <v/>
      </c>
      <c r="V66" s="3">
        <f>U70</f>
        <v/>
      </c>
      <c r="W66" s="3">
        <f>V70</f>
        <v/>
      </c>
      <c r="X66" s="3">
        <f>W70</f>
        <v/>
      </c>
      <c r="Y66" s="3">
        <f>X70</f>
        <v/>
      </c>
      <c r="Z66" s="3">
        <f>Y70</f>
        <v/>
      </c>
      <c r="AA66" s="3">
        <f>Z70</f>
        <v/>
      </c>
      <c r="AB66" s="3">
        <f>AA70</f>
        <v/>
      </c>
      <c r="AC66" s="3">
        <f>AB70</f>
        <v/>
      </c>
      <c r="AD66" s="3">
        <f>AC70</f>
        <v/>
      </c>
      <c r="AE66" s="3">
        <f>AD70</f>
        <v/>
      </c>
      <c r="AF66" s="3">
        <f>AE70</f>
        <v/>
      </c>
      <c r="AG66" s="3">
        <f>AF70</f>
        <v/>
      </c>
      <c r="AH66" s="3">
        <f>AG70</f>
        <v/>
      </c>
      <c r="AI66" s="3">
        <f>AH70</f>
        <v/>
      </c>
      <c r="AJ66" s="3">
        <f>AI70</f>
        <v/>
      </c>
      <c r="AK66" s="3">
        <f>AJ70</f>
        <v/>
      </c>
      <c r="AL66" s="3">
        <f>AK70</f>
        <v/>
      </c>
      <c r="AM66" s="3">
        <f>AL70</f>
        <v/>
      </c>
      <c r="AN66" s="3">
        <f>AM70</f>
        <v/>
      </c>
      <c r="AO66" s="3">
        <f>AN70</f>
        <v/>
      </c>
      <c r="AP66" s="3">
        <f>AO70</f>
        <v/>
      </c>
      <c r="AQ66" s="3">
        <f>AP70</f>
        <v/>
      </c>
      <c r="AR66" s="3">
        <f>AQ70</f>
        <v/>
      </c>
      <c r="AS66" s="3">
        <f>AR70</f>
        <v/>
      </c>
      <c r="AT66" s="3">
        <f>AS70</f>
        <v/>
      </c>
      <c r="AU66" s="3">
        <f>AT70</f>
        <v/>
      </c>
      <c r="AV66" s="3">
        <f>AU70</f>
        <v/>
      </c>
      <c r="AW66" s="3">
        <f>AV70</f>
        <v/>
      </c>
      <c r="AX66" s="3">
        <f>AW70</f>
        <v/>
      </c>
      <c r="AY66" s="3">
        <f>AX70</f>
        <v/>
      </c>
      <c r="AZ66" s="3">
        <f>AY70</f>
        <v/>
      </c>
      <c r="BA66" s="3">
        <f>AZ70</f>
        <v/>
      </c>
      <c r="BB66" s="3">
        <f>BA70</f>
        <v/>
      </c>
      <c r="BC66" s="3">
        <f>BB70</f>
        <v/>
      </c>
      <c r="BD66" s="3">
        <f>BC70</f>
        <v/>
      </c>
      <c r="BE66" s="3">
        <f>BD70</f>
        <v/>
      </c>
      <c r="BF66" s="3">
        <f>BE70</f>
        <v/>
      </c>
      <c r="BG66" s="3">
        <f>BF70</f>
        <v/>
      </c>
      <c r="BH66" s="3">
        <f>BG70</f>
        <v/>
      </c>
      <c r="BI66" s="3">
        <f>BH70</f>
        <v/>
      </c>
      <c r="BJ66" s="3">
        <f>BI70</f>
        <v/>
      </c>
      <c r="BK66" s="3">
        <f>BJ70</f>
        <v/>
      </c>
      <c r="BL66" s="3">
        <f>BK70</f>
        <v/>
      </c>
      <c r="BM66" s="3">
        <f>BL70</f>
        <v/>
      </c>
      <c r="BN66" s="3">
        <f>BM70</f>
        <v/>
      </c>
      <c r="BO66" s="3">
        <f>BN70</f>
        <v/>
      </c>
      <c r="BP66" s="3">
        <f>BO70</f>
        <v/>
      </c>
      <c r="BQ66" s="3">
        <f>BP70</f>
        <v/>
      </c>
      <c r="BR66" s="3">
        <f>BQ70</f>
        <v/>
      </c>
      <c r="BS66" s="3">
        <f>BR70</f>
        <v/>
      </c>
      <c r="BT66" s="3">
        <f>BS70</f>
        <v/>
      </c>
      <c r="BU66" s="3">
        <f>BT70</f>
        <v/>
      </c>
      <c r="BV66" s="3">
        <f>BU70</f>
        <v/>
      </c>
    </row>
    <row r="67">
      <c r="A67" t="inlineStr">
        <is>
          <t>new</t>
        </is>
      </c>
      <c r="B67" t="inlineStr">
        <is>
          <t>LATAM|NITRO_M</t>
        </is>
      </c>
      <c r="C67" s="3">
        <f>Adds!C93+IF(Params!$B$9=1,Adds!C92,Adds!C95)</f>
        <v/>
      </c>
      <c r="D67" s="3">
        <f>Adds!D93+IF(Params!$B$9=1,Adds!D92,Adds!D95)</f>
        <v/>
      </c>
      <c r="E67" s="3">
        <f>Adds!E93+IF(Params!$B$9=1,Adds!E92,Adds!E95)</f>
        <v/>
      </c>
      <c r="F67" s="3">
        <f>Adds!F93+IF(Params!$B$9=1,Adds!F92,Adds!F95)</f>
        <v/>
      </c>
      <c r="G67" s="3">
        <f>Adds!G93+IF(Params!$B$9=1,Adds!G92,Adds!G95)</f>
        <v/>
      </c>
      <c r="H67" s="3">
        <f>Adds!H93+IF(Params!$B$9=1,Adds!H92,Adds!H95)</f>
        <v/>
      </c>
      <c r="I67" s="3">
        <f>Adds!I93+IF(Params!$B$9=1,Adds!I92,Adds!I95)</f>
        <v/>
      </c>
      <c r="J67" s="3">
        <f>Adds!J93+IF(Params!$B$9=1,Adds!J92,Adds!J95)</f>
        <v/>
      </c>
      <c r="K67" s="3">
        <f>Adds!K93+IF(Params!$B$9=1,Adds!K92,Adds!K95)</f>
        <v/>
      </c>
      <c r="L67" s="3">
        <f>Adds!L93+IF(Params!$B$9=1,Adds!L92,Adds!L95)</f>
        <v/>
      </c>
      <c r="M67" s="3">
        <f>Adds!M93+IF(Params!$B$9=1,Adds!M92,Adds!M95)</f>
        <v/>
      </c>
      <c r="N67" s="3">
        <f>Adds!N93+IF(Params!$B$9=1,Adds!N92,Adds!N95)</f>
        <v/>
      </c>
      <c r="O67" s="3">
        <f>Adds!O93+IF(Params!$B$9=1,Adds!O92,Adds!O95)</f>
        <v/>
      </c>
      <c r="P67" s="3">
        <f>Adds!P93+IF(Params!$B$9=1,Adds!P92,Adds!P95)</f>
        <v/>
      </c>
      <c r="Q67" s="3">
        <f>Adds!Q93+IF(Params!$B$9=1,Adds!Q92,Adds!Q95)</f>
        <v/>
      </c>
      <c r="R67" s="3">
        <f>Adds!R93+IF(Params!$B$9=1,Adds!R92,Adds!R95)</f>
        <v/>
      </c>
      <c r="S67" s="3">
        <f>Adds!S93+IF(Params!$B$9=1,Adds!S92,Adds!S95)</f>
        <v/>
      </c>
      <c r="T67" s="3">
        <f>Adds!T93+IF(Params!$B$9=1,Adds!T92,Adds!T95)</f>
        <v/>
      </c>
      <c r="U67" s="3">
        <f>Adds!U93+IF(Params!$B$9=1,Adds!U92,Adds!U95)</f>
        <v/>
      </c>
      <c r="V67" s="3">
        <f>Adds!V93+IF(Params!$B$9=1,Adds!V92,Adds!V95)</f>
        <v/>
      </c>
      <c r="W67" s="3">
        <f>Adds!W93+IF(Params!$B$9=1,Adds!W92,Adds!W95)</f>
        <v/>
      </c>
      <c r="X67" s="3">
        <f>Adds!X93+IF(Params!$B$9=1,Adds!X92,Adds!X95)</f>
        <v/>
      </c>
      <c r="Y67" s="3">
        <f>Adds!Y93+IF(Params!$B$9=1,Adds!Y92,Adds!Y95)</f>
        <v/>
      </c>
      <c r="Z67" s="3">
        <f>Adds!Z93+IF(Params!$B$9=1,Adds!Z92,Adds!Z95)</f>
        <v/>
      </c>
      <c r="AA67" s="3">
        <f>Adds!AA93+IF(Params!$B$9=1,Adds!AA92,Adds!AA95)</f>
        <v/>
      </c>
      <c r="AB67" s="3">
        <f>Adds!AB93+IF(Params!$B$9=1,Adds!AB92,Adds!AB95)</f>
        <v/>
      </c>
      <c r="AC67" s="3">
        <f>Adds!AC93+IF(Params!$B$9=1,Adds!AC92,Adds!AC95)</f>
        <v/>
      </c>
      <c r="AD67" s="3">
        <f>Adds!AD93+IF(Params!$B$9=1,Adds!AD92,Adds!AD95)</f>
        <v/>
      </c>
      <c r="AE67" s="3">
        <f>Adds!AE93+IF(Params!$B$9=1,Adds!AE92,Adds!AE95)</f>
        <v/>
      </c>
      <c r="AF67" s="3">
        <f>Adds!AF93+IF(Params!$B$9=1,Adds!AF92,Adds!AF95)</f>
        <v/>
      </c>
      <c r="AG67" s="3">
        <f>Adds!AG93+IF(Params!$B$9=1,Adds!AG92,Adds!AG95)</f>
        <v/>
      </c>
      <c r="AH67" s="3">
        <f>Adds!AH93+IF(Params!$B$9=1,Adds!AH92,Adds!AH95)</f>
        <v/>
      </c>
      <c r="AI67" s="3">
        <f>Adds!AI93+IF(Params!$B$9=1,Adds!AI92,Adds!AI95)</f>
        <v/>
      </c>
      <c r="AJ67" s="3">
        <f>Adds!AJ93+IF(Params!$B$9=1,Adds!AJ92,Adds!AJ95)</f>
        <v/>
      </c>
      <c r="AK67" s="3">
        <f>Adds!AK93+IF(Params!$B$9=1,Adds!AK92,Adds!AK95)</f>
        <v/>
      </c>
      <c r="AL67" s="3">
        <f>Adds!AL93+IF(Params!$B$9=1,Adds!AL92,Adds!AL95)</f>
        <v/>
      </c>
      <c r="AM67" s="3">
        <f>Adds!AM93+IF(Params!$B$9=1,Adds!AM92,Adds!AM95)</f>
        <v/>
      </c>
      <c r="AN67" s="3">
        <f>Adds!AN93+IF(Params!$B$9=1,Adds!AN92,Adds!AN95)</f>
        <v/>
      </c>
      <c r="AO67" s="3">
        <f>Adds!AO93+IF(Params!$B$9=1,Adds!AO92,Adds!AO95)</f>
        <v/>
      </c>
      <c r="AP67" s="3">
        <f>Adds!AP93+IF(Params!$B$9=1,Adds!AP92,Adds!AP95)</f>
        <v/>
      </c>
      <c r="AQ67" s="3">
        <f>Adds!AQ93+IF(Params!$B$9=1,Adds!AQ92,Adds!AQ95)</f>
        <v/>
      </c>
      <c r="AR67" s="3">
        <f>Adds!AR93+IF(Params!$B$9=1,Adds!AR92,Adds!AR95)</f>
        <v/>
      </c>
      <c r="AS67" s="3">
        <f>Adds!AS93+IF(Params!$B$9=1,Adds!AS92,Adds!AS95)</f>
        <v/>
      </c>
      <c r="AT67" s="3">
        <f>Adds!AT93+IF(Params!$B$9=1,Adds!AT92,Adds!AT95)</f>
        <v/>
      </c>
      <c r="AU67" s="3">
        <f>Adds!AU93+IF(Params!$B$9=1,Adds!AU92,Adds!AU95)</f>
        <v/>
      </c>
      <c r="AV67" s="3">
        <f>Adds!AV93+IF(Params!$B$9=1,Adds!AV92,Adds!AV95)</f>
        <v/>
      </c>
      <c r="AW67" s="3">
        <f>Adds!AW93+IF(Params!$B$9=1,Adds!AW92,Adds!AW95)</f>
        <v/>
      </c>
      <c r="AX67" s="3">
        <f>Adds!AX93+IF(Params!$B$9=1,Adds!AX92,Adds!AX95)</f>
        <v/>
      </c>
      <c r="AY67" s="3">
        <f>Adds!AY93+IF(Params!$B$9=1,Adds!AY92,Adds!AY95)</f>
        <v/>
      </c>
      <c r="AZ67" s="3">
        <f>Adds!AZ93+IF(Params!$B$9=1,Adds!AZ92,Adds!AZ95)</f>
        <v/>
      </c>
      <c r="BA67" s="3">
        <f>Adds!BA93+IF(Params!$B$9=1,Adds!BA92,Adds!BA95)</f>
        <v/>
      </c>
      <c r="BB67" s="3">
        <f>Adds!BB93+IF(Params!$B$9=1,Adds!BB92,Adds!BB95)</f>
        <v/>
      </c>
      <c r="BC67" s="3">
        <f>Adds!BC93+IF(Params!$B$9=1,Adds!BC92,Adds!BC95)</f>
        <v/>
      </c>
      <c r="BD67" s="3">
        <f>Adds!BD93+IF(Params!$B$9=1,Adds!BD92,Adds!BD95)</f>
        <v/>
      </c>
      <c r="BE67" s="3">
        <f>Adds!BE93+IF(Params!$B$9=1,Adds!BE92,Adds!BE95)</f>
        <v/>
      </c>
      <c r="BF67" s="3">
        <f>Adds!BF93+IF(Params!$B$9=1,Adds!BF92,Adds!BF95)</f>
        <v/>
      </c>
      <c r="BG67" s="3">
        <f>Adds!BG93+IF(Params!$B$9=1,Adds!BG92,Adds!BG95)</f>
        <v/>
      </c>
      <c r="BH67" s="3">
        <f>Adds!BH93+IF(Params!$B$9=1,Adds!BH92,Adds!BH95)</f>
        <v/>
      </c>
      <c r="BI67" s="3">
        <f>Adds!BI93+IF(Params!$B$9=1,Adds!BI92,Adds!BI95)</f>
        <v/>
      </c>
      <c r="BJ67" s="3">
        <f>Adds!BJ93+IF(Params!$B$9=1,Adds!BJ92,Adds!BJ95)</f>
        <v/>
      </c>
      <c r="BK67" s="3">
        <f>Adds!BK93+IF(Params!$B$9=1,Adds!BK92,Adds!BK95)</f>
        <v/>
      </c>
      <c r="BL67" s="3">
        <f>Adds!BL93+IF(Params!$B$9=1,Adds!BL92,Adds!BL95)</f>
        <v/>
      </c>
      <c r="BM67" s="3">
        <f>Adds!BM93+IF(Params!$B$9=1,Adds!BM92,Adds!BM95)</f>
        <v/>
      </c>
      <c r="BN67" s="3">
        <f>Adds!BN93+IF(Params!$B$9=1,Adds!BN92,Adds!BN95)</f>
        <v/>
      </c>
      <c r="BO67" s="3">
        <f>Adds!BO93+IF(Params!$B$9=1,Adds!BO92,Adds!BO95)</f>
        <v/>
      </c>
      <c r="BP67" s="3">
        <f>Adds!BP93+IF(Params!$B$9=1,Adds!BP92,Adds!BP95)</f>
        <v/>
      </c>
      <c r="BQ67" s="3">
        <f>Adds!BQ93+IF(Params!$B$9=1,Adds!BQ92,Adds!BQ95)</f>
        <v/>
      </c>
      <c r="BR67" s="3">
        <f>Adds!BR93+IF(Params!$B$9=1,Adds!BR92,Adds!BR95)</f>
        <v/>
      </c>
      <c r="BS67" s="3">
        <f>Adds!BS93+IF(Params!$B$9=1,Adds!BS92,Adds!BS95)</f>
        <v/>
      </c>
      <c r="BT67" s="3">
        <f>Adds!BT93+IF(Params!$B$9=1,Adds!BT92,Adds!BT95)</f>
        <v/>
      </c>
      <c r="BU67" s="3">
        <f>Adds!BU93+IF(Params!$B$9=1,Adds!BU92,Adds!BU95)</f>
        <v/>
      </c>
      <c r="BV67" s="3">
        <f>Adds!BV93+IF(Params!$B$9=1,Adds!BV92,Adds!BV95)</f>
        <v/>
      </c>
    </row>
    <row r="68">
      <c r="A68" t="inlineStr">
        <is>
          <t>reactivated</t>
        </is>
      </c>
      <c r="B68" t="inlineStr">
        <is>
          <t>LATAM|NITRO_M</t>
        </is>
      </c>
      <c r="C68" s="3">
        <f>React!C61</f>
        <v/>
      </c>
      <c r="D68" s="3">
        <f>React!D61</f>
        <v/>
      </c>
      <c r="E68" s="3">
        <f>React!E61</f>
        <v/>
      </c>
      <c r="F68" s="3">
        <f>React!F61</f>
        <v/>
      </c>
      <c r="G68" s="3">
        <f>React!G61</f>
        <v/>
      </c>
      <c r="H68" s="3">
        <f>React!H61</f>
        <v/>
      </c>
      <c r="I68" s="3">
        <f>React!I61</f>
        <v/>
      </c>
      <c r="J68" s="3">
        <f>React!J61</f>
        <v/>
      </c>
      <c r="K68" s="3">
        <f>React!K61</f>
        <v/>
      </c>
      <c r="L68" s="3">
        <f>React!L61</f>
        <v/>
      </c>
      <c r="M68" s="3">
        <f>React!M61</f>
        <v/>
      </c>
      <c r="N68" s="3">
        <f>React!N61</f>
        <v/>
      </c>
      <c r="O68" s="3">
        <f>React!O61</f>
        <v/>
      </c>
      <c r="P68" s="3">
        <f>React!P61</f>
        <v/>
      </c>
      <c r="Q68" s="3">
        <f>React!Q61</f>
        <v/>
      </c>
      <c r="R68" s="3">
        <f>React!R61</f>
        <v/>
      </c>
      <c r="S68" s="3">
        <f>React!S61</f>
        <v/>
      </c>
      <c r="T68" s="3">
        <f>React!T61</f>
        <v/>
      </c>
      <c r="U68" s="3">
        <f>React!U61</f>
        <v/>
      </c>
      <c r="V68" s="3">
        <f>React!V61</f>
        <v/>
      </c>
      <c r="W68" s="3">
        <f>React!W61</f>
        <v/>
      </c>
      <c r="X68" s="3">
        <f>React!X61</f>
        <v/>
      </c>
      <c r="Y68" s="3">
        <f>React!Y61</f>
        <v/>
      </c>
      <c r="Z68" s="3">
        <f>React!Z61</f>
        <v/>
      </c>
      <c r="AA68" s="3">
        <f>React!AA61</f>
        <v/>
      </c>
      <c r="AB68" s="3">
        <f>React!AB61</f>
        <v/>
      </c>
      <c r="AC68" s="3">
        <f>React!AC61</f>
        <v/>
      </c>
      <c r="AD68" s="3">
        <f>React!AD61</f>
        <v/>
      </c>
      <c r="AE68" s="3">
        <f>React!AE61</f>
        <v/>
      </c>
      <c r="AF68" s="3">
        <f>React!AF61</f>
        <v/>
      </c>
      <c r="AG68" s="3">
        <f>React!AG61</f>
        <v/>
      </c>
      <c r="AH68" s="3">
        <f>React!AH61</f>
        <v/>
      </c>
      <c r="AI68" s="3">
        <f>React!AI61</f>
        <v/>
      </c>
      <c r="AJ68" s="3">
        <f>React!AJ61</f>
        <v/>
      </c>
      <c r="AK68" s="3">
        <f>React!AK61</f>
        <v/>
      </c>
      <c r="AL68" s="3">
        <f>React!AL61</f>
        <v/>
      </c>
      <c r="AM68" s="3">
        <f>React!AM61</f>
        <v/>
      </c>
      <c r="AN68" s="3">
        <f>React!AN61</f>
        <v/>
      </c>
      <c r="AO68" s="3">
        <f>React!AO61</f>
        <v/>
      </c>
      <c r="AP68" s="3">
        <f>React!AP61</f>
        <v/>
      </c>
      <c r="AQ68" s="3">
        <f>React!AQ61</f>
        <v/>
      </c>
      <c r="AR68" s="3">
        <f>React!AR61</f>
        <v/>
      </c>
      <c r="AS68" s="3">
        <f>React!AS61</f>
        <v/>
      </c>
      <c r="AT68" s="3">
        <f>React!AT61</f>
        <v/>
      </c>
      <c r="AU68" s="3">
        <f>React!AU61</f>
        <v/>
      </c>
      <c r="AV68" s="3">
        <f>React!AV61</f>
        <v/>
      </c>
      <c r="AW68" s="3">
        <f>React!AW61</f>
        <v/>
      </c>
      <c r="AX68" s="3">
        <f>React!AX61</f>
        <v/>
      </c>
      <c r="AY68" s="3">
        <f>React!AY61</f>
        <v/>
      </c>
      <c r="AZ68" s="3">
        <f>React!AZ61</f>
        <v/>
      </c>
      <c r="BA68" s="3">
        <f>React!BA61</f>
        <v/>
      </c>
      <c r="BB68" s="3">
        <f>React!BB61</f>
        <v/>
      </c>
      <c r="BC68" s="3">
        <f>React!BC61</f>
        <v/>
      </c>
      <c r="BD68" s="3">
        <f>React!BD61</f>
        <v/>
      </c>
      <c r="BE68" s="3">
        <f>React!BE61</f>
        <v/>
      </c>
      <c r="BF68" s="3">
        <f>React!BF61</f>
        <v/>
      </c>
      <c r="BG68" s="3">
        <f>React!BG61</f>
        <v/>
      </c>
      <c r="BH68" s="3">
        <f>React!BH61</f>
        <v/>
      </c>
      <c r="BI68" s="3">
        <f>React!BI61</f>
        <v/>
      </c>
      <c r="BJ68" s="3">
        <f>React!BJ61</f>
        <v/>
      </c>
      <c r="BK68" s="3">
        <f>React!BK61</f>
        <v/>
      </c>
      <c r="BL68" s="3">
        <f>React!BL61</f>
        <v/>
      </c>
      <c r="BM68" s="3">
        <f>React!BM61</f>
        <v/>
      </c>
      <c r="BN68" s="3">
        <f>React!BN61</f>
        <v/>
      </c>
      <c r="BO68" s="3">
        <f>React!BO61</f>
        <v/>
      </c>
      <c r="BP68" s="3">
        <f>React!BP61</f>
        <v/>
      </c>
      <c r="BQ68" s="3">
        <f>React!BQ61</f>
        <v/>
      </c>
      <c r="BR68" s="3">
        <f>React!BR61</f>
        <v/>
      </c>
      <c r="BS68" s="3">
        <f>React!BS61</f>
        <v/>
      </c>
      <c r="BT68" s="3">
        <f>React!BT61</f>
        <v/>
      </c>
      <c r="BU68" s="3">
        <f>React!BU61</f>
        <v/>
      </c>
      <c r="BV68" s="3">
        <f>React!BV61</f>
        <v/>
      </c>
    </row>
    <row r="69">
      <c r="A69" t="inlineStr">
        <is>
          <t>churned</t>
        </is>
      </c>
      <c r="B69" t="inlineStr">
        <is>
          <t>LATAM|NITRO_M</t>
        </is>
      </c>
      <c r="C69" s="3">
        <f>Legacy!C39+Paid!C37+React!C64+Params!$B$9*Adds!C96</f>
        <v/>
      </c>
      <c r="D69" s="3">
        <f>Legacy!D39+Paid!D37+React!D64+Params!$B$9*Adds!D96</f>
        <v/>
      </c>
      <c r="E69" s="3">
        <f>Legacy!E39+Paid!E37+React!E64+Params!$B$9*Adds!E96</f>
        <v/>
      </c>
      <c r="F69" s="3">
        <f>Legacy!F39+Paid!F37+React!F64+Params!$B$9*Adds!F96</f>
        <v/>
      </c>
      <c r="G69" s="3">
        <f>Legacy!G39+Paid!G37+React!G64+Params!$B$9*Adds!G96</f>
        <v/>
      </c>
      <c r="H69" s="3">
        <f>Legacy!H39+Paid!H37+React!H64+Params!$B$9*Adds!H96</f>
        <v/>
      </c>
      <c r="I69" s="3">
        <f>Legacy!I39+Paid!I37+React!I64+Params!$B$9*Adds!I96</f>
        <v/>
      </c>
      <c r="J69" s="3">
        <f>Legacy!J39+Paid!J37+React!J64+Params!$B$9*Adds!J96</f>
        <v/>
      </c>
      <c r="K69" s="3">
        <f>Legacy!K39+Paid!K37+React!K64+Params!$B$9*Adds!K96</f>
        <v/>
      </c>
      <c r="L69" s="3">
        <f>Legacy!L39+Paid!L37+React!L64+Params!$B$9*Adds!L96</f>
        <v/>
      </c>
      <c r="M69" s="3">
        <f>Legacy!M39+Paid!M37+React!M64+Params!$B$9*Adds!M96</f>
        <v/>
      </c>
      <c r="N69" s="3">
        <f>Legacy!N39+Paid!N37+React!N64+Params!$B$9*Adds!N96</f>
        <v/>
      </c>
      <c r="O69" s="3">
        <f>Legacy!O39+Paid!O37+React!O64+Params!$B$9*Adds!O96</f>
        <v/>
      </c>
      <c r="P69" s="3">
        <f>Legacy!P39+Paid!P37+React!P64+Params!$B$9*Adds!P96</f>
        <v/>
      </c>
      <c r="Q69" s="3">
        <f>Legacy!Q39+Paid!Q37+React!Q64+Params!$B$9*Adds!Q96</f>
        <v/>
      </c>
      <c r="R69" s="3">
        <f>Legacy!R39+Paid!R37+React!R64+Params!$B$9*Adds!R96</f>
        <v/>
      </c>
      <c r="S69" s="3">
        <f>Legacy!S39+Paid!S37+React!S64+Params!$B$9*Adds!S96</f>
        <v/>
      </c>
      <c r="T69" s="3">
        <f>Legacy!T39+Paid!T37+React!T64+Params!$B$9*Adds!T96</f>
        <v/>
      </c>
      <c r="U69" s="3">
        <f>Legacy!U39+Paid!U37+React!U64+Params!$B$9*Adds!U96</f>
        <v/>
      </c>
      <c r="V69" s="3">
        <f>Legacy!V39+Paid!V37+React!V64+Params!$B$9*Adds!V96</f>
        <v/>
      </c>
      <c r="W69" s="3">
        <f>Legacy!W39+Paid!W37+React!W64+Params!$B$9*Adds!W96</f>
        <v/>
      </c>
      <c r="X69" s="3">
        <f>Legacy!X39+Paid!X37+React!X64+Params!$B$9*Adds!X96</f>
        <v/>
      </c>
      <c r="Y69" s="3">
        <f>Legacy!Y39+Paid!Y37+React!Y64+Params!$B$9*Adds!Y96</f>
        <v/>
      </c>
      <c r="Z69" s="3">
        <f>Legacy!Z39+Paid!Z37+React!Z64+Params!$B$9*Adds!Z96</f>
        <v/>
      </c>
      <c r="AA69" s="3">
        <f>Legacy!AA39+Paid!AA37+React!AA64+Params!$B$9*Adds!AA96</f>
        <v/>
      </c>
      <c r="AB69" s="3">
        <f>Legacy!AB39+Paid!AB37+React!AB64+Params!$B$9*Adds!AB96</f>
        <v/>
      </c>
      <c r="AC69" s="3">
        <f>Legacy!AC39+Paid!AC37+React!AC64+Params!$B$9*Adds!AC96</f>
        <v/>
      </c>
      <c r="AD69" s="3">
        <f>Legacy!AD39+Paid!AD37+React!AD64+Params!$B$9*Adds!AD96</f>
        <v/>
      </c>
      <c r="AE69" s="3">
        <f>Legacy!AE39+Paid!AE37+React!AE64+Params!$B$9*Adds!AE96</f>
        <v/>
      </c>
      <c r="AF69" s="3">
        <f>Legacy!AF39+Paid!AF37+React!AF64+Params!$B$9*Adds!AF96</f>
        <v/>
      </c>
      <c r="AG69" s="3">
        <f>Legacy!AG39+Paid!AG37+React!AG64+Params!$B$9*Adds!AG96</f>
        <v/>
      </c>
      <c r="AH69" s="3">
        <f>Legacy!AH39+Paid!AH37+React!AH64+Params!$B$9*Adds!AH96</f>
        <v/>
      </c>
      <c r="AI69" s="3">
        <f>Legacy!AI39+Paid!AI37+React!AI64+Params!$B$9*Adds!AI96</f>
        <v/>
      </c>
      <c r="AJ69" s="3">
        <f>Legacy!AJ39+Paid!AJ37+React!AJ64+Params!$B$9*Adds!AJ96</f>
        <v/>
      </c>
      <c r="AK69" s="3">
        <f>Legacy!AK39+Paid!AK37+React!AK64+Params!$B$9*Adds!AK96</f>
        <v/>
      </c>
      <c r="AL69" s="3">
        <f>Legacy!AL39+Paid!AL37+React!AL64+Params!$B$9*Adds!AL96</f>
        <v/>
      </c>
      <c r="AM69" s="3">
        <f>Legacy!AM39+Paid!AM37+React!AM64+Params!$B$9*Adds!AM96</f>
        <v/>
      </c>
      <c r="AN69" s="3">
        <f>Legacy!AN39+Paid!AN37+React!AN64+Params!$B$9*Adds!AN96</f>
        <v/>
      </c>
      <c r="AO69" s="3">
        <f>Legacy!AO39+Paid!AO37+React!AO64+Params!$B$9*Adds!AO96</f>
        <v/>
      </c>
      <c r="AP69" s="3">
        <f>Legacy!AP39+Paid!AP37+React!AP64+Params!$B$9*Adds!AP96</f>
        <v/>
      </c>
      <c r="AQ69" s="3">
        <f>Legacy!AQ39+Paid!AQ37+React!AQ64+Params!$B$9*Adds!AQ96</f>
        <v/>
      </c>
      <c r="AR69" s="3">
        <f>Legacy!AR39+Paid!AR37+React!AR64+Params!$B$9*Adds!AR96</f>
        <v/>
      </c>
      <c r="AS69" s="3">
        <f>Legacy!AS39+Paid!AS37+React!AS64+Params!$B$9*Adds!AS96</f>
        <v/>
      </c>
      <c r="AT69" s="3">
        <f>Legacy!AT39+Paid!AT37+React!AT64+Params!$B$9*Adds!AT96</f>
        <v/>
      </c>
      <c r="AU69" s="3">
        <f>Legacy!AU39+Paid!AU37+React!AU64+Params!$B$9*Adds!AU96</f>
        <v/>
      </c>
      <c r="AV69" s="3">
        <f>Legacy!AV39+Paid!AV37+React!AV64+Params!$B$9*Adds!AV96</f>
        <v/>
      </c>
      <c r="AW69" s="3">
        <f>Legacy!AW39+Paid!AW37+React!AW64+Params!$B$9*Adds!AW96</f>
        <v/>
      </c>
      <c r="AX69" s="3">
        <f>Legacy!AX39+Paid!AX37+React!AX64+Params!$B$9*Adds!AX96</f>
        <v/>
      </c>
      <c r="AY69" s="3">
        <f>Legacy!AY39+Paid!AY37+React!AY64+Params!$B$9*Adds!AY96</f>
        <v/>
      </c>
      <c r="AZ69" s="3">
        <f>Legacy!AZ39+Paid!AZ37+React!AZ64+Params!$B$9*Adds!AZ96</f>
        <v/>
      </c>
      <c r="BA69" s="3">
        <f>Legacy!BA39+Paid!BA37+React!BA64+Params!$B$9*Adds!BA96</f>
        <v/>
      </c>
      <c r="BB69" s="3">
        <f>Legacy!BB39+Paid!BB37+React!BB64+Params!$B$9*Adds!BB96</f>
        <v/>
      </c>
      <c r="BC69" s="3">
        <f>Legacy!BC39+Paid!BC37+React!BC64+Params!$B$9*Adds!BC96</f>
        <v/>
      </c>
      <c r="BD69" s="3">
        <f>Legacy!BD39+Paid!BD37+React!BD64+Params!$B$9*Adds!BD96</f>
        <v/>
      </c>
      <c r="BE69" s="3">
        <f>Legacy!BE39+Paid!BE37+React!BE64+Params!$B$9*Adds!BE96</f>
        <v/>
      </c>
      <c r="BF69" s="3">
        <f>Legacy!BF39+Paid!BF37+React!BF64+Params!$B$9*Adds!BF96</f>
        <v/>
      </c>
      <c r="BG69" s="3">
        <f>Legacy!BG39+Paid!BG37+React!BG64+Params!$B$9*Adds!BG96</f>
        <v/>
      </c>
      <c r="BH69" s="3">
        <f>Legacy!BH39+Paid!BH37+React!BH64+Params!$B$9*Adds!BH96</f>
        <v/>
      </c>
      <c r="BI69" s="3">
        <f>Legacy!BI39+Paid!BI37+React!BI64+Params!$B$9*Adds!BI96</f>
        <v/>
      </c>
      <c r="BJ69" s="3">
        <f>Legacy!BJ39+Paid!BJ37+React!BJ64+Params!$B$9*Adds!BJ96</f>
        <v/>
      </c>
      <c r="BK69" s="3">
        <f>Legacy!BK39+Paid!BK37+React!BK64+Params!$B$9*Adds!BK96</f>
        <v/>
      </c>
      <c r="BL69" s="3">
        <f>Legacy!BL39+Paid!BL37+React!BL64+Params!$B$9*Adds!BL96</f>
        <v/>
      </c>
      <c r="BM69" s="3">
        <f>Legacy!BM39+Paid!BM37+React!BM64+Params!$B$9*Adds!BM96</f>
        <v/>
      </c>
      <c r="BN69" s="3">
        <f>Legacy!BN39+Paid!BN37+React!BN64+Params!$B$9*Adds!BN96</f>
        <v/>
      </c>
      <c r="BO69" s="3">
        <f>Legacy!BO39+Paid!BO37+React!BO64+Params!$B$9*Adds!BO96</f>
        <v/>
      </c>
      <c r="BP69" s="3">
        <f>Legacy!BP39+Paid!BP37+React!BP64+Params!$B$9*Adds!BP96</f>
        <v/>
      </c>
      <c r="BQ69" s="3">
        <f>Legacy!BQ39+Paid!BQ37+React!BQ64+Params!$B$9*Adds!BQ96</f>
        <v/>
      </c>
      <c r="BR69" s="3">
        <f>Legacy!BR39+Paid!BR37+React!BR64+Params!$B$9*Adds!BR96</f>
        <v/>
      </c>
      <c r="BS69" s="3">
        <f>Legacy!BS39+Paid!BS37+React!BS64+Params!$B$9*Adds!BS96</f>
        <v/>
      </c>
      <c r="BT69" s="3">
        <f>Legacy!BT39+Paid!BT37+React!BT64+Params!$B$9*Adds!BT96</f>
        <v/>
      </c>
      <c r="BU69" s="3">
        <f>Legacy!BU39+Paid!BU37+React!BU64+Params!$B$9*Adds!BU96</f>
        <v/>
      </c>
      <c r="BV69" s="3">
        <f>Legacy!BV39+Paid!BV37+React!BV64+Params!$B$9*Adds!BV96</f>
        <v/>
      </c>
    </row>
    <row r="70">
      <c r="A70" t="inlineStr">
        <is>
          <t>closing</t>
        </is>
      </c>
      <c r="B70" t="inlineStr">
        <is>
          <t>LATAM|NITRO_M</t>
        </is>
      </c>
      <c r="C70" s="3">
        <f>C71+Params!$B$9*Adds!C99</f>
        <v/>
      </c>
      <c r="D70" s="3">
        <f>D71+Params!$B$9*Adds!D99</f>
        <v/>
      </c>
      <c r="E70" s="3">
        <f>E71+Params!$B$9*Adds!E99</f>
        <v/>
      </c>
      <c r="F70" s="3">
        <f>F71+Params!$B$9*Adds!F99</f>
        <v/>
      </c>
      <c r="G70" s="3">
        <f>G71+Params!$B$9*Adds!G99</f>
        <v/>
      </c>
      <c r="H70" s="3">
        <f>H71+Params!$B$9*Adds!H99</f>
        <v/>
      </c>
      <c r="I70" s="3">
        <f>I71+Params!$B$9*Adds!I99</f>
        <v/>
      </c>
      <c r="J70" s="3">
        <f>J71+Params!$B$9*Adds!J99</f>
        <v/>
      </c>
      <c r="K70" s="3">
        <f>K71+Params!$B$9*Adds!K99</f>
        <v/>
      </c>
      <c r="L70" s="3">
        <f>L71+Params!$B$9*Adds!L99</f>
        <v/>
      </c>
      <c r="M70" s="3">
        <f>M71+Params!$B$9*Adds!M99</f>
        <v/>
      </c>
      <c r="N70" s="3">
        <f>N71+Params!$B$9*Adds!N99</f>
        <v/>
      </c>
      <c r="O70" s="3">
        <f>O71+Params!$B$9*Adds!O99</f>
        <v/>
      </c>
      <c r="P70" s="3">
        <f>P71+Params!$B$9*Adds!P99</f>
        <v/>
      </c>
      <c r="Q70" s="3">
        <f>Q71+Params!$B$9*Adds!Q99</f>
        <v/>
      </c>
      <c r="R70" s="3">
        <f>R71+Params!$B$9*Adds!R99</f>
        <v/>
      </c>
      <c r="S70" s="3">
        <f>S71+Params!$B$9*Adds!S99</f>
        <v/>
      </c>
      <c r="T70" s="3">
        <f>T71+Params!$B$9*Adds!T99</f>
        <v/>
      </c>
      <c r="U70" s="3">
        <f>U71+Params!$B$9*Adds!U99</f>
        <v/>
      </c>
      <c r="V70" s="3">
        <f>V71+Params!$B$9*Adds!V99</f>
        <v/>
      </c>
      <c r="W70" s="3">
        <f>W71+Params!$B$9*Adds!W99</f>
        <v/>
      </c>
      <c r="X70" s="3">
        <f>X71+Params!$B$9*Adds!X99</f>
        <v/>
      </c>
      <c r="Y70" s="3">
        <f>Y71+Params!$B$9*Adds!Y99</f>
        <v/>
      </c>
      <c r="Z70" s="3">
        <f>Z71+Params!$B$9*Adds!Z99</f>
        <v/>
      </c>
      <c r="AA70" s="3">
        <f>AA71+Params!$B$9*Adds!AA99</f>
        <v/>
      </c>
      <c r="AB70" s="3">
        <f>AB71+Params!$B$9*Adds!AB99</f>
        <v/>
      </c>
      <c r="AC70" s="3">
        <f>AC71+Params!$B$9*Adds!AC99</f>
        <v/>
      </c>
      <c r="AD70" s="3">
        <f>AD71+Params!$B$9*Adds!AD99</f>
        <v/>
      </c>
      <c r="AE70" s="3">
        <f>AE71+Params!$B$9*Adds!AE99</f>
        <v/>
      </c>
      <c r="AF70" s="3">
        <f>AF71+Params!$B$9*Adds!AF99</f>
        <v/>
      </c>
      <c r="AG70" s="3">
        <f>AG71+Params!$B$9*Adds!AG99</f>
        <v/>
      </c>
      <c r="AH70" s="3">
        <f>AH71+Params!$B$9*Adds!AH99</f>
        <v/>
      </c>
      <c r="AI70" s="3">
        <f>AI71+Params!$B$9*Adds!AI99</f>
        <v/>
      </c>
      <c r="AJ70" s="3">
        <f>AJ71+Params!$B$9*Adds!AJ99</f>
        <v/>
      </c>
      <c r="AK70" s="3">
        <f>AK71+Params!$B$9*Adds!AK99</f>
        <v/>
      </c>
      <c r="AL70" s="3">
        <f>AL71+Params!$B$9*Adds!AL99</f>
        <v/>
      </c>
      <c r="AM70" s="3">
        <f>AM71+Params!$B$9*Adds!AM99</f>
        <v/>
      </c>
      <c r="AN70" s="3">
        <f>AN71+Params!$B$9*Adds!AN99</f>
        <v/>
      </c>
      <c r="AO70" s="3">
        <f>AO71+Params!$B$9*Adds!AO99</f>
        <v/>
      </c>
      <c r="AP70" s="3">
        <f>AP71+Params!$B$9*Adds!AP99</f>
        <v/>
      </c>
      <c r="AQ70" s="3">
        <f>AQ71+Params!$B$9*Adds!AQ99</f>
        <v/>
      </c>
      <c r="AR70" s="3">
        <f>AR71+Params!$B$9*Adds!AR99</f>
        <v/>
      </c>
      <c r="AS70" s="3">
        <f>AS71+Params!$B$9*Adds!AS99</f>
        <v/>
      </c>
      <c r="AT70" s="3">
        <f>AT71+Params!$B$9*Adds!AT99</f>
        <v/>
      </c>
      <c r="AU70" s="3">
        <f>AU71+Params!$B$9*Adds!AU99</f>
        <v/>
      </c>
      <c r="AV70" s="3">
        <f>AV71+Params!$B$9*Adds!AV99</f>
        <v/>
      </c>
      <c r="AW70" s="3">
        <f>AW71+Params!$B$9*Adds!AW99</f>
        <v/>
      </c>
      <c r="AX70" s="3">
        <f>AX71+Params!$B$9*Adds!AX99</f>
        <v/>
      </c>
      <c r="AY70" s="3">
        <f>AY71+Params!$B$9*Adds!AY99</f>
        <v/>
      </c>
      <c r="AZ70" s="3">
        <f>AZ71+Params!$B$9*Adds!AZ99</f>
        <v/>
      </c>
      <c r="BA70" s="3">
        <f>BA71+Params!$B$9*Adds!BA99</f>
        <v/>
      </c>
      <c r="BB70" s="3">
        <f>BB71+Params!$B$9*Adds!BB99</f>
        <v/>
      </c>
      <c r="BC70" s="3">
        <f>BC71+Params!$B$9*Adds!BC99</f>
        <v/>
      </c>
      <c r="BD70" s="3">
        <f>BD71+Params!$B$9*Adds!BD99</f>
        <v/>
      </c>
      <c r="BE70" s="3">
        <f>BE71+Params!$B$9*Adds!BE99</f>
        <v/>
      </c>
      <c r="BF70" s="3">
        <f>BF71+Params!$B$9*Adds!BF99</f>
        <v/>
      </c>
      <c r="BG70" s="3">
        <f>BG71+Params!$B$9*Adds!BG99</f>
        <v/>
      </c>
      <c r="BH70" s="3">
        <f>BH71+Params!$B$9*Adds!BH99</f>
        <v/>
      </c>
      <c r="BI70" s="3">
        <f>BI71+Params!$B$9*Adds!BI99</f>
        <v/>
      </c>
      <c r="BJ70" s="3">
        <f>BJ71+Params!$B$9*Adds!BJ99</f>
        <v/>
      </c>
      <c r="BK70" s="3">
        <f>BK71+Params!$B$9*Adds!BK99</f>
        <v/>
      </c>
      <c r="BL70" s="3">
        <f>BL71+Params!$B$9*Adds!BL99</f>
        <v/>
      </c>
      <c r="BM70" s="3">
        <f>BM71+Params!$B$9*Adds!BM99</f>
        <v/>
      </c>
      <c r="BN70" s="3">
        <f>BN71+Params!$B$9*Adds!BN99</f>
        <v/>
      </c>
      <c r="BO70" s="3">
        <f>BO71+Params!$B$9*Adds!BO99</f>
        <v/>
      </c>
      <c r="BP70" s="3">
        <f>BP71+Params!$B$9*Adds!BP99</f>
        <v/>
      </c>
      <c r="BQ70" s="3">
        <f>BQ71+Params!$B$9*Adds!BQ99</f>
        <v/>
      </c>
      <c r="BR70" s="3">
        <f>BR71+Params!$B$9*Adds!BR99</f>
        <v/>
      </c>
      <c r="BS70" s="3">
        <f>BS71+Params!$B$9*Adds!BS99</f>
        <v/>
      </c>
      <c r="BT70" s="3">
        <f>BT71+Params!$B$9*Adds!BT99</f>
        <v/>
      </c>
      <c r="BU70" s="3">
        <f>BU71+Params!$B$9*Adds!BU99</f>
        <v/>
      </c>
      <c r="BV70" s="3">
        <f>BV71+Params!$B$9*Adds!BV99</f>
        <v/>
      </c>
    </row>
    <row r="71">
      <c r="A71" t="inlineStr">
        <is>
          <t>paying</t>
        </is>
      </c>
      <c r="B71" t="inlineStr">
        <is>
          <t>LATAM|NITRO_M</t>
        </is>
      </c>
      <c r="C71" s="3">
        <f>Legacy!C38+Paid!C35+React!C62</f>
        <v/>
      </c>
      <c r="D71" s="3">
        <f>Legacy!D38+Paid!D35+React!D62</f>
        <v/>
      </c>
      <c r="E71" s="3">
        <f>Legacy!E38+Paid!E35+React!E62</f>
        <v/>
      </c>
      <c r="F71" s="3">
        <f>Legacy!F38+Paid!F35+React!F62</f>
        <v/>
      </c>
      <c r="G71" s="3">
        <f>Legacy!G38+Paid!G35+React!G62</f>
        <v/>
      </c>
      <c r="H71" s="3">
        <f>Legacy!H38+Paid!H35+React!H62</f>
        <v/>
      </c>
      <c r="I71" s="3">
        <f>Legacy!I38+Paid!I35+React!I62</f>
        <v/>
      </c>
      <c r="J71" s="3">
        <f>Legacy!J38+Paid!J35+React!J62</f>
        <v/>
      </c>
      <c r="K71" s="3">
        <f>Legacy!K38+Paid!K35+React!K62</f>
        <v/>
      </c>
      <c r="L71" s="3">
        <f>Legacy!L38+Paid!L35+React!L62</f>
        <v/>
      </c>
      <c r="M71" s="3">
        <f>Legacy!M38+Paid!M35+React!M62</f>
        <v/>
      </c>
      <c r="N71" s="3">
        <f>Legacy!N38+Paid!N35+React!N62</f>
        <v/>
      </c>
      <c r="O71" s="3">
        <f>Legacy!O38+Paid!O35+React!O62</f>
        <v/>
      </c>
      <c r="P71" s="3">
        <f>Legacy!P38+Paid!P35+React!P62</f>
        <v/>
      </c>
      <c r="Q71" s="3">
        <f>Legacy!Q38+Paid!Q35+React!Q62</f>
        <v/>
      </c>
      <c r="R71" s="3">
        <f>Legacy!R38+Paid!R35+React!R62</f>
        <v/>
      </c>
      <c r="S71" s="3">
        <f>Legacy!S38+Paid!S35+React!S62</f>
        <v/>
      </c>
      <c r="T71" s="3">
        <f>Legacy!T38+Paid!T35+React!T62</f>
        <v/>
      </c>
      <c r="U71" s="3">
        <f>Legacy!U38+Paid!U35+React!U62</f>
        <v/>
      </c>
      <c r="V71" s="3">
        <f>Legacy!V38+Paid!V35+React!V62</f>
        <v/>
      </c>
      <c r="W71" s="3">
        <f>Legacy!W38+Paid!W35+React!W62</f>
        <v/>
      </c>
      <c r="X71" s="3">
        <f>Legacy!X38+Paid!X35+React!X62</f>
        <v/>
      </c>
      <c r="Y71" s="3">
        <f>Legacy!Y38+Paid!Y35+React!Y62</f>
        <v/>
      </c>
      <c r="Z71" s="3">
        <f>Legacy!Z38+Paid!Z35+React!Z62</f>
        <v/>
      </c>
      <c r="AA71" s="3">
        <f>Legacy!AA38+Paid!AA35+React!AA62</f>
        <v/>
      </c>
      <c r="AB71" s="3">
        <f>Legacy!AB38+Paid!AB35+React!AB62</f>
        <v/>
      </c>
      <c r="AC71" s="3">
        <f>Legacy!AC38+Paid!AC35+React!AC62</f>
        <v/>
      </c>
      <c r="AD71" s="3">
        <f>Legacy!AD38+Paid!AD35+React!AD62</f>
        <v/>
      </c>
      <c r="AE71" s="3">
        <f>Legacy!AE38+Paid!AE35+React!AE62</f>
        <v/>
      </c>
      <c r="AF71" s="3">
        <f>Legacy!AF38+Paid!AF35+React!AF62</f>
        <v/>
      </c>
      <c r="AG71" s="3">
        <f>Legacy!AG38+Paid!AG35+React!AG62</f>
        <v/>
      </c>
      <c r="AH71" s="3">
        <f>Legacy!AH38+Paid!AH35+React!AH62</f>
        <v/>
      </c>
      <c r="AI71" s="3">
        <f>Legacy!AI38+Paid!AI35+React!AI62</f>
        <v/>
      </c>
      <c r="AJ71" s="3">
        <f>Legacy!AJ38+Paid!AJ35+React!AJ62</f>
        <v/>
      </c>
      <c r="AK71" s="3">
        <f>Legacy!AK38+Paid!AK35+React!AK62</f>
        <v/>
      </c>
      <c r="AL71" s="3">
        <f>Legacy!AL38+Paid!AL35+React!AL62</f>
        <v/>
      </c>
      <c r="AM71" s="3">
        <f>Legacy!AM38+Paid!AM35+React!AM62</f>
        <v/>
      </c>
      <c r="AN71" s="3">
        <f>Legacy!AN38+Paid!AN35+React!AN62</f>
        <v/>
      </c>
      <c r="AO71" s="3">
        <f>Legacy!AO38+Paid!AO35+React!AO62</f>
        <v/>
      </c>
      <c r="AP71" s="3">
        <f>Legacy!AP38+Paid!AP35+React!AP62</f>
        <v/>
      </c>
      <c r="AQ71" s="3">
        <f>Legacy!AQ38+Paid!AQ35+React!AQ62</f>
        <v/>
      </c>
      <c r="AR71" s="3">
        <f>Legacy!AR38+Paid!AR35+React!AR62</f>
        <v/>
      </c>
      <c r="AS71" s="3">
        <f>Legacy!AS38+Paid!AS35+React!AS62</f>
        <v/>
      </c>
      <c r="AT71" s="3">
        <f>Legacy!AT38+Paid!AT35+React!AT62</f>
        <v/>
      </c>
      <c r="AU71" s="3">
        <f>Legacy!AU38+Paid!AU35+React!AU62</f>
        <v/>
      </c>
      <c r="AV71" s="3">
        <f>Legacy!AV38+Paid!AV35+React!AV62</f>
        <v/>
      </c>
      <c r="AW71" s="3">
        <f>Legacy!AW38+Paid!AW35+React!AW62</f>
        <v/>
      </c>
      <c r="AX71" s="3">
        <f>Legacy!AX38+Paid!AX35+React!AX62</f>
        <v/>
      </c>
      <c r="AY71" s="3">
        <f>Legacy!AY38+Paid!AY35+React!AY62</f>
        <v/>
      </c>
      <c r="AZ71" s="3">
        <f>Legacy!AZ38+Paid!AZ35+React!AZ62</f>
        <v/>
      </c>
      <c r="BA71" s="3">
        <f>Legacy!BA38+Paid!BA35+React!BA62</f>
        <v/>
      </c>
      <c r="BB71" s="3">
        <f>Legacy!BB38+Paid!BB35+React!BB62</f>
        <v/>
      </c>
      <c r="BC71" s="3">
        <f>Legacy!BC38+Paid!BC35+React!BC62</f>
        <v/>
      </c>
      <c r="BD71" s="3">
        <f>Legacy!BD38+Paid!BD35+React!BD62</f>
        <v/>
      </c>
      <c r="BE71" s="3">
        <f>Legacy!BE38+Paid!BE35+React!BE62</f>
        <v/>
      </c>
      <c r="BF71" s="3">
        <f>Legacy!BF38+Paid!BF35+React!BF62</f>
        <v/>
      </c>
      <c r="BG71" s="3">
        <f>Legacy!BG38+Paid!BG35+React!BG62</f>
        <v/>
      </c>
      <c r="BH71" s="3">
        <f>Legacy!BH38+Paid!BH35+React!BH62</f>
        <v/>
      </c>
      <c r="BI71" s="3">
        <f>Legacy!BI38+Paid!BI35+React!BI62</f>
        <v/>
      </c>
      <c r="BJ71" s="3">
        <f>Legacy!BJ38+Paid!BJ35+React!BJ62</f>
        <v/>
      </c>
      <c r="BK71" s="3">
        <f>Legacy!BK38+Paid!BK35+React!BK62</f>
        <v/>
      </c>
      <c r="BL71" s="3">
        <f>Legacy!BL38+Paid!BL35+React!BL62</f>
        <v/>
      </c>
      <c r="BM71" s="3">
        <f>Legacy!BM38+Paid!BM35+React!BM62</f>
        <v/>
      </c>
      <c r="BN71" s="3">
        <f>Legacy!BN38+Paid!BN35+React!BN62</f>
        <v/>
      </c>
      <c r="BO71" s="3">
        <f>Legacy!BO38+Paid!BO35+React!BO62</f>
        <v/>
      </c>
      <c r="BP71" s="3">
        <f>Legacy!BP38+Paid!BP35+React!BP62</f>
        <v/>
      </c>
      <c r="BQ71" s="3">
        <f>Legacy!BQ38+Paid!BQ35+React!BQ62</f>
        <v/>
      </c>
      <c r="BR71" s="3">
        <f>Legacy!BR38+Paid!BR35+React!BR62</f>
        <v/>
      </c>
      <c r="BS71" s="3">
        <f>Legacy!BS38+Paid!BS35+React!BS62</f>
        <v/>
      </c>
      <c r="BT71" s="3">
        <f>Legacy!BT38+Paid!BT35+React!BT62</f>
        <v/>
      </c>
      <c r="BU71" s="3">
        <f>Legacy!BU38+Paid!BU35+React!BU62</f>
        <v/>
      </c>
      <c r="BV71" s="3">
        <f>Legacy!BV38+Paid!BV35+React!BV62</f>
        <v/>
      </c>
    </row>
    <row r="73">
      <c r="A73" t="inlineStr">
        <is>
          <t>opening</t>
        </is>
      </c>
      <c r="B73" t="inlineStr">
        <is>
          <t>LATAM|NITRO_A</t>
        </is>
      </c>
      <c r="C73" s="3">
        <f>Legacy!$C$41</f>
        <v/>
      </c>
      <c r="D73" s="3">
        <f>C77</f>
        <v/>
      </c>
      <c r="E73" s="3">
        <f>D77</f>
        <v/>
      </c>
      <c r="F73" s="3">
        <f>E77</f>
        <v/>
      </c>
      <c r="G73" s="3">
        <f>F77</f>
        <v/>
      </c>
      <c r="H73" s="3">
        <f>G77</f>
        <v/>
      </c>
      <c r="I73" s="3">
        <f>H77</f>
        <v/>
      </c>
      <c r="J73" s="3">
        <f>I77</f>
        <v/>
      </c>
      <c r="K73" s="3">
        <f>J77</f>
        <v/>
      </c>
      <c r="L73" s="3">
        <f>K77</f>
        <v/>
      </c>
      <c r="M73" s="3">
        <f>L77</f>
        <v/>
      </c>
      <c r="N73" s="3">
        <f>M77</f>
        <v/>
      </c>
      <c r="O73" s="3">
        <f>N77</f>
        <v/>
      </c>
      <c r="P73" s="3">
        <f>O77</f>
        <v/>
      </c>
      <c r="Q73" s="3">
        <f>P77</f>
        <v/>
      </c>
      <c r="R73" s="3">
        <f>Q77</f>
        <v/>
      </c>
      <c r="S73" s="3">
        <f>R77</f>
        <v/>
      </c>
      <c r="T73" s="3">
        <f>S77</f>
        <v/>
      </c>
      <c r="U73" s="3">
        <f>T77</f>
        <v/>
      </c>
      <c r="V73" s="3">
        <f>U77</f>
        <v/>
      </c>
      <c r="W73" s="3">
        <f>V77</f>
        <v/>
      </c>
      <c r="X73" s="3">
        <f>W77</f>
        <v/>
      </c>
      <c r="Y73" s="3">
        <f>X77</f>
        <v/>
      </c>
      <c r="Z73" s="3">
        <f>Y77</f>
        <v/>
      </c>
      <c r="AA73" s="3">
        <f>Z77</f>
        <v/>
      </c>
      <c r="AB73" s="3">
        <f>AA77</f>
        <v/>
      </c>
      <c r="AC73" s="3">
        <f>AB77</f>
        <v/>
      </c>
      <c r="AD73" s="3">
        <f>AC77</f>
        <v/>
      </c>
      <c r="AE73" s="3">
        <f>AD77</f>
        <v/>
      </c>
      <c r="AF73" s="3">
        <f>AE77</f>
        <v/>
      </c>
      <c r="AG73" s="3">
        <f>AF77</f>
        <v/>
      </c>
      <c r="AH73" s="3">
        <f>AG77</f>
        <v/>
      </c>
      <c r="AI73" s="3">
        <f>AH77</f>
        <v/>
      </c>
      <c r="AJ73" s="3">
        <f>AI77</f>
        <v/>
      </c>
      <c r="AK73" s="3">
        <f>AJ77</f>
        <v/>
      </c>
      <c r="AL73" s="3">
        <f>AK77</f>
        <v/>
      </c>
      <c r="AM73" s="3">
        <f>AL77</f>
        <v/>
      </c>
      <c r="AN73" s="3">
        <f>AM77</f>
        <v/>
      </c>
      <c r="AO73" s="3">
        <f>AN77</f>
        <v/>
      </c>
      <c r="AP73" s="3">
        <f>AO77</f>
        <v/>
      </c>
      <c r="AQ73" s="3">
        <f>AP77</f>
        <v/>
      </c>
      <c r="AR73" s="3">
        <f>AQ77</f>
        <v/>
      </c>
      <c r="AS73" s="3">
        <f>AR77</f>
        <v/>
      </c>
      <c r="AT73" s="3">
        <f>AS77</f>
        <v/>
      </c>
      <c r="AU73" s="3">
        <f>AT77</f>
        <v/>
      </c>
      <c r="AV73" s="3">
        <f>AU77</f>
        <v/>
      </c>
      <c r="AW73" s="3">
        <f>AV77</f>
        <v/>
      </c>
      <c r="AX73" s="3">
        <f>AW77</f>
        <v/>
      </c>
      <c r="AY73" s="3">
        <f>AX77</f>
        <v/>
      </c>
      <c r="AZ73" s="3">
        <f>AY77</f>
        <v/>
      </c>
      <c r="BA73" s="3">
        <f>AZ77</f>
        <v/>
      </c>
      <c r="BB73" s="3">
        <f>BA77</f>
        <v/>
      </c>
      <c r="BC73" s="3">
        <f>BB77</f>
        <v/>
      </c>
      <c r="BD73" s="3">
        <f>BC77</f>
        <v/>
      </c>
      <c r="BE73" s="3">
        <f>BD77</f>
        <v/>
      </c>
      <c r="BF73" s="3">
        <f>BE77</f>
        <v/>
      </c>
      <c r="BG73" s="3">
        <f>BF77</f>
        <v/>
      </c>
      <c r="BH73" s="3">
        <f>BG77</f>
        <v/>
      </c>
      <c r="BI73" s="3">
        <f>BH77</f>
        <v/>
      </c>
      <c r="BJ73" s="3">
        <f>BI77</f>
        <v/>
      </c>
      <c r="BK73" s="3">
        <f>BJ77</f>
        <v/>
      </c>
      <c r="BL73" s="3">
        <f>BK77</f>
        <v/>
      </c>
      <c r="BM73" s="3">
        <f>BL77</f>
        <v/>
      </c>
      <c r="BN73" s="3">
        <f>BM77</f>
        <v/>
      </c>
      <c r="BO73" s="3">
        <f>BN77</f>
        <v/>
      </c>
      <c r="BP73" s="3">
        <f>BO77</f>
        <v/>
      </c>
      <c r="BQ73" s="3">
        <f>BP77</f>
        <v/>
      </c>
      <c r="BR73" s="3">
        <f>BQ77</f>
        <v/>
      </c>
      <c r="BS73" s="3">
        <f>BR77</f>
        <v/>
      </c>
      <c r="BT73" s="3">
        <f>BS77</f>
        <v/>
      </c>
      <c r="BU73" s="3">
        <f>BT77</f>
        <v/>
      </c>
      <c r="BV73" s="3">
        <f>BU77</f>
        <v/>
      </c>
    </row>
    <row r="74">
      <c r="A74" t="inlineStr">
        <is>
          <t>new</t>
        </is>
      </c>
      <c r="B74" t="inlineStr">
        <is>
          <t>LATAM|NITRO_A</t>
        </is>
      </c>
      <c r="C74" s="3">
        <f>Adds!C104+IF(Params!$B$9=1,Adds!C103,Adds!C106)</f>
        <v/>
      </c>
      <c r="D74" s="3">
        <f>Adds!D104+IF(Params!$B$9=1,Adds!D103,Adds!D106)</f>
        <v/>
      </c>
      <c r="E74" s="3">
        <f>Adds!E104+IF(Params!$B$9=1,Adds!E103,Adds!E106)</f>
        <v/>
      </c>
      <c r="F74" s="3">
        <f>Adds!F104+IF(Params!$B$9=1,Adds!F103,Adds!F106)</f>
        <v/>
      </c>
      <c r="G74" s="3">
        <f>Adds!G104+IF(Params!$B$9=1,Adds!G103,Adds!G106)</f>
        <v/>
      </c>
      <c r="H74" s="3">
        <f>Adds!H104+IF(Params!$B$9=1,Adds!H103,Adds!H106)</f>
        <v/>
      </c>
      <c r="I74" s="3">
        <f>Adds!I104+IF(Params!$B$9=1,Adds!I103,Adds!I106)</f>
        <v/>
      </c>
      <c r="J74" s="3">
        <f>Adds!J104+IF(Params!$B$9=1,Adds!J103,Adds!J106)</f>
        <v/>
      </c>
      <c r="K74" s="3">
        <f>Adds!K104+IF(Params!$B$9=1,Adds!K103,Adds!K106)</f>
        <v/>
      </c>
      <c r="L74" s="3">
        <f>Adds!L104+IF(Params!$B$9=1,Adds!L103,Adds!L106)</f>
        <v/>
      </c>
      <c r="M74" s="3">
        <f>Adds!M104+IF(Params!$B$9=1,Adds!M103,Adds!M106)</f>
        <v/>
      </c>
      <c r="N74" s="3">
        <f>Adds!N104+IF(Params!$B$9=1,Adds!N103,Adds!N106)</f>
        <v/>
      </c>
      <c r="O74" s="3">
        <f>Adds!O104+IF(Params!$B$9=1,Adds!O103,Adds!O106)</f>
        <v/>
      </c>
      <c r="P74" s="3">
        <f>Adds!P104+IF(Params!$B$9=1,Adds!P103,Adds!P106)</f>
        <v/>
      </c>
      <c r="Q74" s="3">
        <f>Adds!Q104+IF(Params!$B$9=1,Adds!Q103,Adds!Q106)</f>
        <v/>
      </c>
      <c r="R74" s="3">
        <f>Adds!R104+IF(Params!$B$9=1,Adds!R103,Adds!R106)</f>
        <v/>
      </c>
      <c r="S74" s="3">
        <f>Adds!S104+IF(Params!$B$9=1,Adds!S103,Adds!S106)</f>
        <v/>
      </c>
      <c r="T74" s="3">
        <f>Adds!T104+IF(Params!$B$9=1,Adds!T103,Adds!T106)</f>
        <v/>
      </c>
      <c r="U74" s="3">
        <f>Adds!U104+IF(Params!$B$9=1,Adds!U103,Adds!U106)</f>
        <v/>
      </c>
      <c r="V74" s="3">
        <f>Adds!V104+IF(Params!$B$9=1,Adds!V103,Adds!V106)</f>
        <v/>
      </c>
      <c r="W74" s="3">
        <f>Adds!W104+IF(Params!$B$9=1,Adds!W103,Adds!W106)</f>
        <v/>
      </c>
      <c r="X74" s="3">
        <f>Adds!X104+IF(Params!$B$9=1,Adds!X103,Adds!X106)</f>
        <v/>
      </c>
      <c r="Y74" s="3">
        <f>Adds!Y104+IF(Params!$B$9=1,Adds!Y103,Adds!Y106)</f>
        <v/>
      </c>
      <c r="Z74" s="3">
        <f>Adds!Z104+IF(Params!$B$9=1,Adds!Z103,Adds!Z106)</f>
        <v/>
      </c>
      <c r="AA74" s="3">
        <f>Adds!AA104+IF(Params!$B$9=1,Adds!AA103,Adds!AA106)</f>
        <v/>
      </c>
      <c r="AB74" s="3">
        <f>Adds!AB104+IF(Params!$B$9=1,Adds!AB103,Adds!AB106)</f>
        <v/>
      </c>
      <c r="AC74" s="3">
        <f>Adds!AC104+IF(Params!$B$9=1,Adds!AC103,Adds!AC106)</f>
        <v/>
      </c>
      <c r="AD74" s="3">
        <f>Adds!AD104+IF(Params!$B$9=1,Adds!AD103,Adds!AD106)</f>
        <v/>
      </c>
      <c r="AE74" s="3">
        <f>Adds!AE104+IF(Params!$B$9=1,Adds!AE103,Adds!AE106)</f>
        <v/>
      </c>
      <c r="AF74" s="3">
        <f>Adds!AF104+IF(Params!$B$9=1,Adds!AF103,Adds!AF106)</f>
        <v/>
      </c>
      <c r="AG74" s="3">
        <f>Adds!AG104+IF(Params!$B$9=1,Adds!AG103,Adds!AG106)</f>
        <v/>
      </c>
      <c r="AH74" s="3">
        <f>Adds!AH104+IF(Params!$B$9=1,Adds!AH103,Adds!AH106)</f>
        <v/>
      </c>
      <c r="AI74" s="3">
        <f>Adds!AI104+IF(Params!$B$9=1,Adds!AI103,Adds!AI106)</f>
        <v/>
      </c>
      <c r="AJ74" s="3">
        <f>Adds!AJ104+IF(Params!$B$9=1,Adds!AJ103,Adds!AJ106)</f>
        <v/>
      </c>
      <c r="AK74" s="3">
        <f>Adds!AK104+IF(Params!$B$9=1,Adds!AK103,Adds!AK106)</f>
        <v/>
      </c>
      <c r="AL74" s="3">
        <f>Adds!AL104+IF(Params!$B$9=1,Adds!AL103,Adds!AL106)</f>
        <v/>
      </c>
      <c r="AM74" s="3">
        <f>Adds!AM104+IF(Params!$B$9=1,Adds!AM103,Adds!AM106)</f>
        <v/>
      </c>
      <c r="AN74" s="3">
        <f>Adds!AN104+IF(Params!$B$9=1,Adds!AN103,Adds!AN106)</f>
        <v/>
      </c>
      <c r="AO74" s="3">
        <f>Adds!AO104+IF(Params!$B$9=1,Adds!AO103,Adds!AO106)</f>
        <v/>
      </c>
      <c r="AP74" s="3">
        <f>Adds!AP104+IF(Params!$B$9=1,Adds!AP103,Adds!AP106)</f>
        <v/>
      </c>
      <c r="AQ74" s="3">
        <f>Adds!AQ104+IF(Params!$B$9=1,Adds!AQ103,Adds!AQ106)</f>
        <v/>
      </c>
      <c r="AR74" s="3">
        <f>Adds!AR104+IF(Params!$B$9=1,Adds!AR103,Adds!AR106)</f>
        <v/>
      </c>
      <c r="AS74" s="3">
        <f>Adds!AS104+IF(Params!$B$9=1,Adds!AS103,Adds!AS106)</f>
        <v/>
      </c>
      <c r="AT74" s="3">
        <f>Adds!AT104+IF(Params!$B$9=1,Adds!AT103,Adds!AT106)</f>
        <v/>
      </c>
      <c r="AU74" s="3">
        <f>Adds!AU104+IF(Params!$B$9=1,Adds!AU103,Adds!AU106)</f>
        <v/>
      </c>
      <c r="AV74" s="3">
        <f>Adds!AV104+IF(Params!$B$9=1,Adds!AV103,Adds!AV106)</f>
        <v/>
      </c>
      <c r="AW74" s="3">
        <f>Adds!AW104+IF(Params!$B$9=1,Adds!AW103,Adds!AW106)</f>
        <v/>
      </c>
      <c r="AX74" s="3">
        <f>Adds!AX104+IF(Params!$B$9=1,Adds!AX103,Adds!AX106)</f>
        <v/>
      </c>
      <c r="AY74" s="3">
        <f>Adds!AY104+IF(Params!$B$9=1,Adds!AY103,Adds!AY106)</f>
        <v/>
      </c>
      <c r="AZ74" s="3">
        <f>Adds!AZ104+IF(Params!$B$9=1,Adds!AZ103,Adds!AZ106)</f>
        <v/>
      </c>
      <c r="BA74" s="3">
        <f>Adds!BA104+IF(Params!$B$9=1,Adds!BA103,Adds!BA106)</f>
        <v/>
      </c>
      <c r="BB74" s="3">
        <f>Adds!BB104+IF(Params!$B$9=1,Adds!BB103,Adds!BB106)</f>
        <v/>
      </c>
      <c r="BC74" s="3">
        <f>Adds!BC104+IF(Params!$B$9=1,Adds!BC103,Adds!BC106)</f>
        <v/>
      </c>
      <c r="BD74" s="3">
        <f>Adds!BD104+IF(Params!$B$9=1,Adds!BD103,Adds!BD106)</f>
        <v/>
      </c>
      <c r="BE74" s="3">
        <f>Adds!BE104+IF(Params!$B$9=1,Adds!BE103,Adds!BE106)</f>
        <v/>
      </c>
      <c r="BF74" s="3">
        <f>Adds!BF104+IF(Params!$B$9=1,Adds!BF103,Adds!BF106)</f>
        <v/>
      </c>
      <c r="BG74" s="3">
        <f>Adds!BG104+IF(Params!$B$9=1,Adds!BG103,Adds!BG106)</f>
        <v/>
      </c>
      <c r="BH74" s="3">
        <f>Adds!BH104+IF(Params!$B$9=1,Adds!BH103,Adds!BH106)</f>
        <v/>
      </c>
      <c r="BI74" s="3">
        <f>Adds!BI104+IF(Params!$B$9=1,Adds!BI103,Adds!BI106)</f>
        <v/>
      </c>
      <c r="BJ74" s="3">
        <f>Adds!BJ104+IF(Params!$B$9=1,Adds!BJ103,Adds!BJ106)</f>
        <v/>
      </c>
      <c r="BK74" s="3">
        <f>Adds!BK104+IF(Params!$B$9=1,Adds!BK103,Adds!BK106)</f>
        <v/>
      </c>
      <c r="BL74" s="3">
        <f>Adds!BL104+IF(Params!$B$9=1,Adds!BL103,Adds!BL106)</f>
        <v/>
      </c>
      <c r="BM74" s="3">
        <f>Adds!BM104+IF(Params!$B$9=1,Adds!BM103,Adds!BM106)</f>
        <v/>
      </c>
      <c r="BN74" s="3">
        <f>Adds!BN104+IF(Params!$B$9=1,Adds!BN103,Adds!BN106)</f>
        <v/>
      </c>
      <c r="BO74" s="3">
        <f>Adds!BO104+IF(Params!$B$9=1,Adds!BO103,Adds!BO106)</f>
        <v/>
      </c>
      <c r="BP74" s="3">
        <f>Adds!BP104+IF(Params!$B$9=1,Adds!BP103,Adds!BP106)</f>
        <v/>
      </c>
      <c r="BQ74" s="3">
        <f>Adds!BQ104+IF(Params!$B$9=1,Adds!BQ103,Adds!BQ106)</f>
        <v/>
      </c>
      <c r="BR74" s="3">
        <f>Adds!BR104+IF(Params!$B$9=1,Adds!BR103,Adds!BR106)</f>
        <v/>
      </c>
      <c r="BS74" s="3">
        <f>Adds!BS104+IF(Params!$B$9=1,Adds!BS103,Adds!BS106)</f>
        <v/>
      </c>
      <c r="BT74" s="3">
        <f>Adds!BT104+IF(Params!$B$9=1,Adds!BT103,Adds!BT106)</f>
        <v/>
      </c>
      <c r="BU74" s="3">
        <f>Adds!BU104+IF(Params!$B$9=1,Adds!BU103,Adds!BU106)</f>
        <v/>
      </c>
      <c r="BV74" s="3">
        <f>Adds!BV104+IF(Params!$B$9=1,Adds!BV103,Adds!BV106)</f>
        <v/>
      </c>
    </row>
    <row r="75">
      <c r="A75" t="inlineStr">
        <is>
          <t>reactivated</t>
        </is>
      </c>
      <c r="B75" t="inlineStr">
        <is>
          <t>LATAM|NITRO_A</t>
        </is>
      </c>
      <c r="C75" s="3">
        <f>React!C68</f>
        <v/>
      </c>
      <c r="D75" s="3">
        <f>React!D68</f>
        <v/>
      </c>
      <c r="E75" s="3">
        <f>React!E68</f>
        <v/>
      </c>
      <c r="F75" s="3">
        <f>React!F68</f>
        <v/>
      </c>
      <c r="G75" s="3">
        <f>React!G68</f>
        <v/>
      </c>
      <c r="H75" s="3">
        <f>React!H68</f>
        <v/>
      </c>
      <c r="I75" s="3">
        <f>React!I68</f>
        <v/>
      </c>
      <c r="J75" s="3">
        <f>React!J68</f>
        <v/>
      </c>
      <c r="K75" s="3">
        <f>React!K68</f>
        <v/>
      </c>
      <c r="L75" s="3">
        <f>React!L68</f>
        <v/>
      </c>
      <c r="M75" s="3">
        <f>React!M68</f>
        <v/>
      </c>
      <c r="N75" s="3">
        <f>React!N68</f>
        <v/>
      </c>
      <c r="O75" s="3">
        <f>React!O68</f>
        <v/>
      </c>
      <c r="P75" s="3">
        <f>React!P68</f>
        <v/>
      </c>
      <c r="Q75" s="3">
        <f>React!Q68</f>
        <v/>
      </c>
      <c r="R75" s="3">
        <f>React!R68</f>
        <v/>
      </c>
      <c r="S75" s="3">
        <f>React!S68</f>
        <v/>
      </c>
      <c r="T75" s="3">
        <f>React!T68</f>
        <v/>
      </c>
      <c r="U75" s="3">
        <f>React!U68</f>
        <v/>
      </c>
      <c r="V75" s="3">
        <f>React!V68</f>
        <v/>
      </c>
      <c r="W75" s="3">
        <f>React!W68</f>
        <v/>
      </c>
      <c r="X75" s="3">
        <f>React!X68</f>
        <v/>
      </c>
      <c r="Y75" s="3">
        <f>React!Y68</f>
        <v/>
      </c>
      <c r="Z75" s="3">
        <f>React!Z68</f>
        <v/>
      </c>
      <c r="AA75" s="3">
        <f>React!AA68</f>
        <v/>
      </c>
      <c r="AB75" s="3">
        <f>React!AB68</f>
        <v/>
      </c>
      <c r="AC75" s="3">
        <f>React!AC68</f>
        <v/>
      </c>
      <c r="AD75" s="3">
        <f>React!AD68</f>
        <v/>
      </c>
      <c r="AE75" s="3">
        <f>React!AE68</f>
        <v/>
      </c>
      <c r="AF75" s="3">
        <f>React!AF68</f>
        <v/>
      </c>
      <c r="AG75" s="3">
        <f>React!AG68</f>
        <v/>
      </c>
      <c r="AH75" s="3">
        <f>React!AH68</f>
        <v/>
      </c>
      <c r="AI75" s="3">
        <f>React!AI68</f>
        <v/>
      </c>
      <c r="AJ75" s="3">
        <f>React!AJ68</f>
        <v/>
      </c>
      <c r="AK75" s="3">
        <f>React!AK68</f>
        <v/>
      </c>
      <c r="AL75" s="3">
        <f>React!AL68</f>
        <v/>
      </c>
      <c r="AM75" s="3">
        <f>React!AM68</f>
        <v/>
      </c>
      <c r="AN75" s="3">
        <f>React!AN68</f>
        <v/>
      </c>
      <c r="AO75" s="3">
        <f>React!AO68</f>
        <v/>
      </c>
      <c r="AP75" s="3">
        <f>React!AP68</f>
        <v/>
      </c>
      <c r="AQ75" s="3">
        <f>React!AQ68</f>
        <v/>
      </c>
      <c r="AR75" s="3">
        <f>React!AR68</f>
        <v/>
      </c>
      <c r="AS75" s="3">
        <f>React!AS68</f>
        <v/>
      </c>
      <c r="AT75" s="3">
        <f>React!AT68</f>
        <v/>
      </c>
      <c r="AU75" s="3">
        <f>React!AU68</f>
        <v/>
      </c>
      <c r="AV75" s="3">
        <f>React!AV68</f>
        <v/>
      </c>
      <c r="AW75" s="3">
        <f>React!AW68</f>
        <v/>
      </c>
      <c r="AX75" s="3">
        <f>React!AX68</f>
        <v/>
      </c>
      <c r="AY75" s="3">
        <f>React!AY68</f>
        <v/>
      </c>
      <c r="AZ75" s="3">
        <f>React!AZ68</f>
        <v/>
      </c>
      <c r="BA75" s="3">
        <f>React!BA68</f>
        <v/>
      </c>
      <c r="BB75" s="3">
        <f>React!BB68</f>
        <v/>
      </c>
      <c r="BC75" s="3">
        <f>React!BC68</f>
        <v/>
      </c>
      <c r="BD75" s="3">
        <f>React!BD68</f>
        <v/>
      </c>
      <c r="BE75" s="3">
        <f>React!BE68</f>
        <v/>
      </c>
      <c r="BF75" s="3">
        <f>React!BF68</f>
        <v/>
      </c>
      <c r="BG75" s="3">
        <f>React!BG68</f>
        <v/>
      </c>
      <c r="BH75" s="3">
        <f>React!BH68</f>
        <v/>
      </c>
      <c r="BI75" s="3">
        <f>React!BI68</f>
        <v/>
      </c>
      <c r="BJ75" s="3">
        <f>React!BJ68</f>
        <v/>
      </c>
      <c r="BK75" s="3">
        <f>React!BK68</f>
        <v/>
      </c>
      <c r="BL75" s="3">
        <f>React!BL68</f>
        <v/>
      </c>
      <c r="BM75" s="3">
        <f>React!BM68</f>
        <v/>
      </c>
      <c r="BN75" s="3">
        <f>React!BN68</f>
        <v/>
      </c>
      <c r="BO75" s="3">
        <f>React!BO68</f>
        <v/>
      </c>
      <c r="BP75" s="3">
        <f>React!BP68</f>
        <v/>
      </c>
      <c r="BQ75" s="3">
        <f>React!BQ68</f>
        <v/>
      </c>
      <c r="BR75" s="3">
        <f>React!BR68</f>
        <v/>
      </c>
      <c r="BS75" s="3">
        <f>React!BS68</f>
        <v/>
      </c>
      <c r="BT75" s="3">
        <f>React!BT68</f>
        <v/>
      </c>
      <c r="BU75" s="3">
        <f>React!BU68</f>
        <v/>
      </c>
      <c r="BV75" s="3">
        <f>React!BV68</f>
        <v/>
      </c>
    </row>
    <row r="76">
      <c r="A76" t="inlineStr">
        <is>
          <t>churned</t>
        </is>
      </c>
      <c r="B76" t="inlineStr">
        <is>
          <t>LATAM|NITRO_A</t>
        </is>
      </c>
      <c r="C76" s="3">
        <f>Legacy!C43+Paid!C41+React!C71+Params!$B$9*Adds!C107</f>
        <v/>
      </c>
      <c r="D76" s="3">
        <f>Legacy!D43+Paid!D41+React!D71+Params!$B$9*Adds!D107</f>
        <v/>
      </c>
      <c r="E76" s="3">
        <f>Legacy!E43+Paid!E41+React!E71+Params!$B$9*Adds!E107</f>
        <v/>
      </c>
      <c r="F76" s="3">
        <f>Legacy!F43+Paid!F41+React!F71+Params!$B$9*Adds!F107</f>
        <v/>
      </c>
      <c r="G76" s="3">
        <f>Legacy!G43+Paid!G41+React!G71+Params!$B$9*Adds!G107</f>
        <v/>
      </c>
      <c r="H76" s="3">
        <f>Legacy!H43+Paid!H41+React!H71+Params!$B$9*Adds!H107</f>
        <v/>
      </c>
      <c r="I76" s="3">
        <f>Legacy!I43+Paid!I41+React!I71+Params!$B$9*Adds!I107</f>
        <v/>
      </c>
      <c r="J76" s="3">
        <f>Legacy!J43+Paid!J41+React!J71+Params!$B$9*Adds!J107</f>
        <v/>
      </c>
      <c r="K76" s="3">
        <f>Legacy!K43+Paid!K41+React!K71+Params!$B$9*Adds!K107</f>
        <v/>
      </c>
      <c r="L76" s="3">
        <f>Legacy!L43+Paid!L41+React!L71+Params!$B$9*Adds!L107</f>
        <v/>
      </c>
      <c r="M76" s="3">
        <f>Legacy!M43+Paid!M41+React!M71+Params!$B$9*Adds!M107</f>
        <v/>
      </c>
      <c r="N76" s="3">
        <f>Legacy!N43+Paid!N41+React!N71+Params!$B$9*Adds!N107</f>
        <v/>
      </c>
      <c r="O76" s="3">
        <f>Legacy!O43+Paid!O41+React!O71+Params!$B$9*Adds!O107</f>
        <v/>
      </c>
      <c r="P76" s="3">
        <f>Legacy!P43+Paid!P41+React!P71+Params!$B$9*Adds!P107</f>
        <v/>
      </c>
      <c r="Q76" s="3">
        <f>Legacy!Q43+Paid!Q41+React!Q71+Params!$B$9*Adds!Q107</f>
        <v/>
      </c>
      <c r="R76" s="3">
        <f>Legacy!R43+Paid!R41+React!R71+Params!$B$9*Adds!R107</f>
        <v/>
      </c>
      <c r="S76" s="3">
        <f>Legacy!S43+Paid!S41+React!S71+Params!$B$9*Adds!S107</f>
        <v/>
      </c>
      <c r="T76" s="3">
        <f>Legacy!T43+Paid!T41+React!T71+Params!$B$9*Adds!T107</f>
        <v/>
      </c>
      <c r="U76" s="3">
        <f>Legacy!U43+Paid!U41+React!U71+Params!$B$9*Adds!U107</f>
        <v/>
      </c>
      <c r="V76" s="3">
        <f>Legacy!V43+Paid!V41+React!V71+Params!$B$9*Adds!V107</f>
        <v/>
      </c>
      <c r="W76" s="3">
        <f>Legacy!W43+Paid!W41+React!W71+Params!$B$9*Adds!W107</f>
        <v/>
      </c>
      <c r="X76" s="3">
        <f>Legacy!X43+Paid!X41+React!X71+Params!$B$9*Adds!X107</f>
        <v/>
      </c>
      <c r="Y76" s="3">
        <f>Legacy!Y43+Paid!Y41+React!Y71+Params!$B$9*Adds!Y107</f>
        <v/>
      </c>
      <c r="Z76" s="3">
        <f>Legacy!Z43+Paid!Z41+React!Z71+Params!$B$9*Adds!Z107</f>
        <v/>
      </c>
      <c r="AA76" s="3">
        <f>Legacy!AA43+Paid!AA41+React!AA71+Params!$B$9*Adds!AA107</f>
        <v/>
      </c>
      <c r="AB76" s="3">
        <f>Legacy!AB43+Paid!AB41+React!AB71+Params!$B$9*Adds!AB107</f>
        <v/>
      </c>
      <c r="AC76" s="3">
        <f>Legacy!AC43+Paid!AC41+React!AC71+Params!$B$9*Adds!AC107</f>
        <v/>
      </c>
      <c r="AD76" s="3">
        <f>Legacy!AD43+Paid!AD41+React!AD71+Params!$B$9*Adds!AD107</f>
        <v/>
      </c>
      <c r="AE76" s="3">
        <f>Legacy!AE43+Paid!AE41+React!AE71+Params!$B$9*Adds!AE107</f>
        <v/>
      </c>
      <c r="AF76" s="3">
        <f>Legacy!AF43+Paid!AF41+React!AF71+Params!$B$9*Adds!AF107</f>
        <v/>
      </c>
      <c r="AG76" s="3">
        <f>Legacy!AG43+Paid!AG41+React!AG71+Params!$B$9*Adds!AG107</f>
        <v/>
      </c>
      <c r="AH76" s="3">
        <f>Legacy!AH43+Paid!AH41+React!AH71+Params!$B$9*Adds!AH107</f>
        <v/>
      </c>
      <c r="AI76" s="3">
        <f>Legacy!AI43+Paid!AI41+React!AI71+Params!$B$9*Adds!AI107</f>
        <v/>
      </c>
      <c r="AJ76" s="3">
        <f>Legacy!AJ43+Paid!AJ41+React!AJ71+Params!$B$9*Adds!AJ107</f>
        <v/>
      </c>
      <c r="AK76" s="3">
        <f>Legacy!AK43+Paid!AK41+React!AK71+Params!$B$9*Adds!AK107</f>
        <v/>
      </c>
      <c r="AL76" s="3">
        <f>Legacy!AL43+Paid!AL41+React!AL71+Params!$B$9*Adds!AL107</f>
        <v/>
      </c>
      <c r="AM76" s="3">
        <f>Legacy!AM43+Paid!AM41+React!AM71+Params!$B$9*Adds!AM107</f>
        <v/>
      </c>
      <c r="AN76" s="3">
        <f>Legacy!AN43+Paid!AN41+React!AN71+Params!$B$9*Adds!AN107</f>
        <v/>
      </c>
      <c r="AO76" s="3">
        <f>Legacy!AO43+Paid!AO41+React!AO71+Params!$B$9*Adds!AO107</f>
        <v/>
      </c>
      <c r="AP76" s="3">
        <f>Legacy!AP43+Paid!AP41+React!AP71+Params!$B$9*Adds!AP107</f>
        <v/>
      </c>
      <c r="AQ76" s="3">
        <f>Legacy!AQ43+Paid!AQ41+React!AQ71+Params!$B$9*Adds!AQ107</f>
        <v/>
      </c>
      <c r="AR76" s="3">
        <f>Legacy!AR43+Paid!AR41+React!AR71+Params!$B$9*Adds!AR107</f>
        <v/>
      </c>
      <c r="AS76" s="3">
        <f>Legacy!AS43+Paid!AS41+React!AS71+Params!$B$9*Adds!AS107</f>
        <v/>
      </c>
      <c r="AT76" s="3">
        <f>Legacy!AT43+Paid!AT41+React!AT71+Params!$B$9*Adds!AT107</f>
        <v/>
      </c>
      <c r="AU76" s="3">
        <f>Legacy!AU43+Paid!AU41+React!AU71+Params!$B$9*Adds!AU107</f>
        <v/>
      </c>
      <c r="AV76" s="3">
        <f>Legacy!AV43+Paid!AV41+React!AV71+Params!$B$9*Adds!AV107</f>
        <v/>
      </c>
      <c r="AW76" s="3">
        <f>Legacy!AW43+Paid!AW41+React!AW71+Params!$B$9*Adds!AW107</f>
        <v/>
      </c>
      <c r="AX76" s="3">
        <f>Legacy!AX43+Paid!AX41+React!AX71+Params!$B$9*Adds!AX107</f>
        <v/>
      </c>
      <c r="AY76" s="3">
        <f>Legacy!AY43+Paid!AY41+React!AY71+Params!$B$9*Adds!AY107</f>
        <v/>
      </c>
      <c r="AZ76" s="3">
        <f>Legacy!AZ43+Paid!AZ41+React!AZ71+Params!$B$9*Adds!AZ107</f>
        <v/>
      </c>
      <c r="BA76" s="3">
        <f>Legacy!BA43+Paid!BA41+React!BA71+Params!$B$9*Adds!BA107</f>
        <v/>
      </c>
      <c r="BB76" s="3">
        <f>Legacy!BB43+Paid!BB41+React!BB71+Params!$B$9*Adds!BB107</f>
        <v/>
      </c>
      <c r="BC76" s="3">
        <f>Legacy!BC43+Paid!BC41+React!BC71+Params!$B$9*Adds!BC107</f>
        <v/>
      </c>
      <c r="BD76" s="3">
        <f>Legacy!BD43+Paid!BD41+React!BD71+Params!$B$9*Adds!BD107</f>
        <v/>
      </c>
      <c r="BE76" s="3">
        <f>Legacy!BE43+Paid!BE41+React!BE71+Params!$B$9*Adds!BE107</f>
        <v/>
      </c>
      <c r="BF76" s="3">
        <f>Legacy!BF43+Paid!BF41+React!BF71+Params!$B$9*Adds!BF107</f>
        <v/>
      </c>
      <c r="BG76" s="3">
        <f>Legacy!BG43+Paid!BG41+React!BG71+Params!$B$9*Adds!BG107</f>
        <v/>
      </c>
      <c r="BH76" s="3">
        <f>Legacy!BH43+Paid!BH41+React!BH71+Params!$B$9*Adds!BH107</f>
        <v/>
      </c>
      <c r="BI76" s="3">
        <f>Legacy!BI43+Paid!BI41+React!BI71+Params!$B$9*Adds!BI107</f>
        <v/>
      </c>
      <c r="BJ76" s="3">
        <f>Legacy!BJ43+Paid!BJ41+React!BJ71+Params!$B$9*Adds!BJ107</f>
        <v/>
      </c>
      <c r="BK76" s="3">
        <f>Legacy!BK43+Paid!BK41+React!BK71+Params!$B$9*Adds!BK107</f>
        <v/>
      </c>
      <c r="BL76" s="3">
        <f>Legacy!BL43+Paid!BL41+React!BL71+Params!$B$9*Adds!BL107</f>
        <v/>
      </c>
      <c r="BM76" s="3">
        <f>Legacy!BM43+Paid!BM41+React!BM71+Params!$B$9*Adds!BM107</f>
        <v/>
      </c>
      <c r="BN76" s="3">
        <f>Legacy!BN43+Paid!BN41+React!BN71+Params!$B$9*Adds!BN107</f>
        <v/>
      </c>
      <c r="BO76" s="3">
        <f>Legacy!BO43+Paid!BO41+React!BO71+Params!$B$9*Adds!BO107</f>
        <v/>
      </c>
      <c r="BP76" s="3">
        <f>Legacy!BP43+Paid!BP41+React!BP71+Params!$B$9*Adds!BP107</f>
        <v/>
      </c>
      <c r="BQ76" s="3">
        <f>Legacy!BQ43+Paid!BQ41+React!BQ71+Params!$B$9*Adds!BQ107</f>
        <v/>
      </c>
      <c r="BR76" s="3">
        <f>Legacy!BR43+Paid!BR41+React!BR71+Params!$B$9*Adds!BR107</f>
        <v/>
      </c>
      <c r="BS76" s="3">
        <f>Legacy!BS43+Paid!BS41+React!BS71+Params!$B$9*Adds!BS107</f>
        <v/>
      </c>
      <c r="BT76" s="3">
        <f>Legacy!BT43+Paid!BT41+React!BT71+Params!$B$9*Adds!BT107</f>
        <v/>
      </c>
      <c r="BU76" s="3">
        <f>Legacy!BU43+Paid!BU41+React!BU71+Params!$B$9*Adds!BU107</f>
        <v/>
      </c>
      <c r="BV76" s="3">
        <f>Legacy!BV43+Paid!BV41+React!BV71+Params!$B$9*Adds!BV107</f>
        <v/>
      </c>
    </row>
    <row r="77">
      <c r="A77" t="inlineStr">
        <is>
          <t>closing</t>
        </is>
      </c>
      <c r="B77" t="inlineStr">
        <is>
          <t>LATAM|NITRO_A</t>
        </is>
      </c>
      <c r="C77" s="3">
        <f>C78+Params!$B$9*Adds!C110</f>
        <v/>
      </c>
      <c r="D77" s="3">
        <f>D78+Params!$B$9*Adds!D110</f>
        <v/>
      </c>
      <c r="E77" s="3">
        <f>E78+Params!$B$9*Adds!E110</f>
        <v/>
      </c>
      <c r="F77" s="3">
        <f>F78+Params!$B$9*Adds!F110</f>
        <v/>
      </c>
      <c r="G77" s="3">
        <f>G78+Params!$B$9*Adds!G110</f>
        <v/>
      </c>
      <c r="H77" s="3">
        <f>H78+Params!$B$9*Adds!H110</f>
        <v/>
      </c>
      <c r="I77" s="3">
        <f>I78+Params!$B$9*Adds!I110</f>
        <v/>
      </c>
      <c r="J77" s="3">
        <f>J78+Params!$B$9*Adds!J110</f>
        <v/>
      </c>
      <c r="K77" s="3">
        <f>K78+Params!$B$9*Adds!K110</f>
        <v/>
      </c>
      <c r="L77" s="3">
        <f>L78+Params!$B$9*Adds!L110</f>
        <v/>
      </c>
      <c r="M77" s="3">
        <f>M78+Params!$B$9*Adds!M110</f>
        <v/>
      </c>
      <c r="N77" s="3">
        <f>N78+Params!$B$9*Adds!N110</f>
        <v/>
      </c>
      <c r="O77" s="3">
        <f>O78+Params!$B$9*Adds!O110</f>
        <v/>
      </c>
      <c r="P77" s="3">
        <f>P78+Params!$B$9*Adds!P110</f>
        <v/>
      </c>
      <c r="Q77" s="3">
        <f>Q78+Params!$B$9*Adds!Q110</f>
        <v/>
      </c>
      <c r="R77" s="3">
        <f>R78+Params!$B$9*Adds!R110</f>
        <v/>
      </c>
      <c r="S77" s="3">
        <f>S78+Params!$B$9*Adds!S110</f>
        <v/>
      </c>
      <c r="T77" s="3">
        <f>T78+Params!$B$9*Adds!T110</f>
        <v/>
      </c>
      <c r="U77" s="3">
        <f>U78+Params!$B$9*Adds!U110</f>
        <v/>
      </c>
      <c r="V77" s="3">
        <f>V78+Params!$B$9*Adds!V110</f>
        <v/>
      </c>
      <c r="W77" s="3">
        <f>W78+Params!$B$9*Adds!W110</f>
        <v/>
      </c>
      <c r="X77" s="3">
        <f>X78+Params!$B$9*Adds!X110</f>
        <v/>
      </c>
      <c r="Y77" s="3">
        <f>Y78+Params!$B$9*Adds!Y110</f>
        <v/>
      </c>
      <c r="Z77" s="3">
        <f>Z78+Params!$B$9*Adds!Z110</f>
        <v/>
      </c>
      <c r="AA77" s="3">
        <f>AA78+Params!$B$9*Adds!AA110</f>
        <v/>
      </c>
      <c r="AB77" s="3">
        <f>AB78+Params!$B$9*Adds!AB110</f>
        <v/>
      </c>
      <c r="AC77" s="3">
        <f>AC78+Params!$B$9*Adds!AC110</f>
        <v/>
      </c>
      <c r="AD77" s="3">
        <f>AD78+Params!$B$9*Adds!AD110</f>
        <v/>
      </c>
      <c r="AE77" s="3">
        <f>AE78+Params!$B$9*Adds!AE110</f>
        <v/>
      </c>
      <c r="AF77" s="3">
        <f>AF78+Params!$B$9*Adds!AF110</f>
        <v/>
      </c>
      <c r="AG77" s="3">
        <f>AG78+Params!$B$9*Adds!AG110</f>
        <v/>
      </c>
      <c r="AH77" s="3">
        <f>AH78+Params!$B$9*Adds!AH110</f>
        <v/>
      </c>
      <c r="AI77" s="3">
        <f>AI78+Params!$B$9*Adds!AI110</f>
        <v/>
      </c>
      <c r="AJ77" s="3">
        <f>AJ78+Params!$B$9*Adds!AJ110</f>
        <v/>
      </c>
      <c r="AK77" s="3">
        <f>AK78+Params!$B$9*Adds!AK110</f>
        <v/>
      </c>
      <c r="AL77" s="3">
        <f>AL78+Params!$B$9*Adds!AL110</f>
        <v/>
      </c>
      <c r="AM77" s="3">
        <f>AM78+Params!$B$9*Adds!AM110</f>
        <v/>
      </c>
      <c r="AN77" s="3">
        <f>AN78+Params!$B$9*Adds!AN110</f>
        <v/>
      </c>
      <c r="AO77" s="3">
        <f>AO78+Params!$B$9*Adds!AO110</f>
        <v/>
      </c>
      <c r="AP77" s="3">
        <f>AP78+Params!$B$9*Adds!AP110</f>
        <v/>
      </c>
      <c r="AQ77" s="3">
        <f>AQ78+Params!$B$9*Adds!AQ110</f>
        <v/>
      </c>
      <c r="AR77" s="3">
        <f>AR78+Params!$B$9*Adds!AR110</f>
        <v/>
      </c>
      <c r="AS77" s="3">
        <f>AS78+Params!$B$9*Adds!AS110</f>
        <v/>
      </c>
      <c r="AT77" s="3">
        <f>AT78+Params!$B$9*Adds!AT110</f>
        <v/>
      </c>
      <c r="AU77" s="3">
        <f>AU78+Params!$B$9*Adds!AU110</f>
        <v/>
      </c>
      <c r="AV77" s="3">
        <f>AV78+Params!$B$9*Adds!AV110</f>
        <v/>
      </c>
      <c r="AW77" s="3">
        <f>AW78+Params!$B$9*Adds!AW110</f>
        <v/>
      </c>
      <c r="AX77" s="3">
        <f>AX78+Params!$B$9*Adds!AX110</f>
        <v/>
      </c>
      <c r="AY77" s="3">
        <f>AY78+Params!$B$9*Adds!AY110</f>
        <v/>
      </c>
      <c r="AZ77" s="3">
        <f>AZ78+Params!$B$9*Adds!AZ110</f>
        <v/>
      </c>
      <c r="BA77" s="3">
        <f>BA78+Params!$B$9*Adds!BA110</f>
        <v/>
      </c>
      <c r="BB77" s="3">
        <f>BB78+Params!$B$9*Adds!BB110</f>
        <v/>
      </c>
      <c r="BC77" s="3">
        <f>BC78+Params!$B$9*Adds!BC110</f>
        <v/>
      </c>
      <c r="BD77" s="3">
        <f>BD78+Params!$B$9*Adds!BD110</f>
        <v/>
      </c>
      <c r="BE77" s="3">
        <f>BE78+Params!$B$9*Adds!BE110</f>
        <v/>
      </c>
      <c r="BF77" s="3">
        <f>BF78+Params!$B$9*Adds!BF110</f>
        <v/>
      </c>
      <c r="BG77" s="3">
        <f>BG78+Params!$B$9*Adds!BG110</f>
        <v/>
      </c>
      <c r="BH77" s="3">
        <f>BH78+Params!$B$9*Adds!BH110</f>
        <v/>
      </c>
      <c r="BI77" s="3">
        <f>BI78+Params!$B$9*Adds!BI110</f>
        <v/>
      </c>
      <c r="BJ77" s="3">
        <f>BJ78+Params!$B$9*Adds!BJ110</f>
        <v/>
      </c>
      <c r="BK77" s="3">
        <f>BK78+Params!$B$9*Adds!BK110</f>
        <v/>
      </c>
      <c r="BL77" s="3">
        <f>BL78+Params!$B$9*Adds!BL110</f>
        <v/>
      </c>
      <c r="BM77" s="3">
        <f>BM78+Params!$B$9*Adds!BM110</f>
        <v/>
      </c>
      <c r="BN77" s="3">
        <f>BN78+Params!$B$9*Adds!BN110</f>
        <v/>
      </c>
      <c r="BO77" s="3">
        <f>BO78+Params!$B$9*Adds!BO110</f>
        <v/>
      </c>
      <c r="BP77" s="3">
        <f>BP78+Params!$B$9*Adds!BP110</f>
        <v/>
      </c>
      <c r="BQ77" s="3">
        <f>BQ78+Params!$B$9*Adds!BQ110</f>
        <v/>
      </c>
      <c r="BR77" s="3">
        <f>BR78+Params!$B$9*Adds!BR110</f>
        <v/>
      </c>
      <c r="BS77" s="3">
        <f>BS78+Params!$B$9*Adds!BS110</f>
        <v/>
      </c>
      <c r="BT77" s="3">
        <f>BT78+Params!$B$9*Adds!BT110</f>
        <v/>
      </c>
      <c r="BU77" s="3">
        <f>BU78+Params!$B$9*Adds!BU110</f>
        <v/>
      </c>
      <c r="BV77" s="3">
        <f>BV78+Params!$B$9*Adds!BV110</f>
        <v/>
      </c>
    </row>
    <row r="78">
      <c r="A78" t="inlineStr">
        <is>
          <t>paying</t>
        </is>
      </c>
      <c r="B78" t="inlineStr">
        <is>
          <t>LATAM|NITRO_A</t>
        </is>
      </c>
      <c r="C78" s="3">
        <f>Legacy!C42+Paid!C39+React!C69</f>
        <v/>
      </c>
      <c r="D78" s="3">
        <f>Legacy!D42+Paid!D39+React!D69</f>
        <v/>
      </c>
      <c r="E78" s="3">
        <f>Legacy!E42+Paid!E39+React!E69</f>
        <v/>
      </c>
      <c r="F78" s="3">
        <f>Legacy!F42+Paid!F39+React!F69</f>
        <v/>
      </c>
      <c r="G78" s="3">
        <f>Legacy!G42+Paid!G39+React!G69</f>
        <v/>
      </c>
      <c r="H78" s="3">
        <f>Legacy!H42+Paid!H39+React!H69</f>
        <v/>
      </c>
      <c r="I78" s="3">
        <f>Legacy!I42+Paid!I39+React!I69</f>
        <v/>
      </c>
      <c r="J78" s="3">
        <f>Legacy!J42+Paid!J39+React!J69</f>
        <v/>
      </c>
      <c r="K78" s="3">
        <f>Legacy!K42+Paid!K39+React!K69</f>
        <v/>
      </c>
      <c r="L78" s="3">
        <f>Legacy!L42+Paid!L39+React!L69</f>
        <v/>
      </c>
      <c r="M78" s="3">
        <f>Legacy!M42+Paid!M39+React!M69</f>
        <v/>
      </c>
      <c r="N78" s="3">
        <f>Legacy!N42+Paid!N39+React!N69</f>
        <v/>
      </c>
      <c r="O78" s="3">
        <f>Legacy!O42+Paid!O39+React!O69</f>
        <v/>
      </c>
      <c r="P78" s="3">
        <f>Legacy!P42+Paid!P39+React!P69</f>
        <v/>
      </c>
      <c r="Q78" s="3">
        <f>Legacy!Q42+Paid!Q39+React!Q69</f>
        <v/>
      </c>
      <c r="R78" s="3">
        <f>Legacy!R42+Paid!R39+React!R69</f>
        <v/>
      </c>
      <c r="S78" s="3">
        <f>Legacy!S42+Paid!S39+React!S69</f>
        <v/>
      </c>
      <c r="T78" s="3">
        <f>Legacy!T42+Paid!T39+React!T69</f>
        <v/>
      </c>
      <c r="U78" s="3">
        <f>Legacy!U42+Paid!U39+React!U69</f>
        <v/>
      </c>
      <c r="V78" s="3">
        <f>Legacy!V42+Paid!V39+React!V69</f>
        <v/>
      </c>
      <c r="W78" s="3">
        <f>Legacy!W42+Paid!W39+React!W69</f>
        <v/>
      </c>
      <c r="X78" s="3">
        <f>Legacy!X42+Paid!X39+React!X69</f>
        <v/>
      </c>
      <c r="Y78" s="3">
        <f>Legacy!Y42+Paid!Y39+React!Y69</f>
        <v/>
      </c>
      <c r="Z78" s="3">
        <f>Legacy!Z42+Paid!Z39+React!Z69</f>
        <v/>
      </c>
      <c r="AA78" s="3">
        <f>Legacy!AA42+Paid!AA39+React!AA69</f>
        <v/>
      </c>
      <c r="AB78" s="3">
        <f>Legacy!AB42+Paid!AB39+React!AB69</f>
        <v/>
      </c>
      <c r="AC78" s="3">
        <f>Legacy!AC42+Paid!AC39+React!AC69</f>
        <v/>
      </c>
      <c r="AD78" s="3">
        <f>Legacy!AD42+Paid!AD39+React!AD69</f>
        <v/>
      </c>
      <c r="AE78" s="3">
        <f>Legacy!AE42+Paid!AE39+React!AE69</f>
        <v/>
      </c>
      <c r="AF78" s="3">
        <f>Legacy!AF42+Paid!AF39+React!AF69</f>
        <v/>
      </c>
      <c r="AG78" s="3">
        <f>Legacy!AG42+Paid!AG39+React!AG69</f>
        <v/>
      </c>
      <c r="AH78" s="3">
        <f>Legacy!AH42+Paid!AH39+React!AH69</f>
        <v/>
      </c>
      <c r="AI78" s="3">
        <f>Legacy!AI42+Paid!AI39+React!AI69</f>
        <v/>
      </c>
      <c r="AJ78" s="3">
        <f>Legacy!AJ42+Paid!AJ39+React!AJ69</f>
        <v/>
      </c>
      <c r="AK78" s="3">
        <f>Legacy!AK42+Paid!AK39+React!AK69</f>
        <v/>
      </c>
      <c r="AL78" s="3">
        <f>Legacy!AL42+Paid!AL39+React!AL69</f>
        <v/>
      </c>
      <c r="AM78" s="3">
        <f>Legacy!AM42+Paid!AM39+React!AM69</f>
        <v/>
      </c>
      <c r="AN78" s="3">
        <f>Legacy!AN42+Paid!AN39+React!AN69</f>
        <v/>
      </c>
      <c r="AO78" s="3">
        <f>Legacy!AO42+Paid!AO39+React!AO69</f>
        <v/>
      </c>
      <c r="AP78" s="3">
        <f>Legacy!AP42+Paid!AP39+React!AP69</f>
        <v/>
      </c>
      <c r="AQ78" s="3">
        <f>Legacy!AQ42+Paid!AQ39+React!AQ69</f>
        <v/>
      </c>
      <c r="AR78" s="3">
        <f>Legacy!AR42+Paid!AR39+React!AR69</f>
        <v/>
      </c>
      <c r="AS78" s="3">
        <f>Legacy!AS42+Paid!AS39+React!AS69</f>
        <v/>
      </c>
      <c r="AT78" s="3">
        <f>Legacy!AT42+Paid!AT39+React!AT69</f>
        <v/>
      </c>
      <c r="AU78" s="3">
        <f>Legacy!AU42+Paid!AU39+React!AU69</f>
        <v/>
      </c>
      <c r="AV78" s="3">
        <f>Legacy!AV42+Paid!AV39+React!AV69</f>
        <v/>
      </c>
      <c r="AW78" s="3">
        <f>Legacy!AW42+Paid!AW39+React!AW69</f>
        <v/>
      </c>
      <c r="AX78" s="3">
        <f>Legacy!AX42+Paid!AX39+React!AX69</f>
        <v/>
      </c>
      <c r="AY78" s="3">
        <f>Legacy!AY42+Paid!AY39+React!AY69</f>
        <v/>
      </c>
      <c r="AZ78" s="3">
        <f>Legacy!AZ42+Paid!AZ39+React!AZ69</f>
        <v/>
      </c>
      <c r="BA78" s="3">
        <f>Legacy!BA42+Paid!BA39+React!BA69</f>
        <v/>
      </c>
      <c r="BB78" s="3">
        <f>Legacy!BB42+Paid!BB39+React!BB69</f>
        <v/>
      </c>
      <c r="BC78" s="3">
        <f>Legacy!BC42+Paid!BC39+React!BC69</f>
        <v/>
      </c>
      <c r="BD78" s="3">
        <f>Legacy!BD42+Paid!BD39+React!BD69</f>
        <v/>
      </c>
      <c r="BE78" s="3">
        <f>Legacy!BE42+Paid!BE39+React!BE69</f>
        <v/>
      </c>
      <c r="BF78" s="3">
        <f>Legacy!BF42+Paid!BF39+React!BF69</f>
        <v/>
      </c>
      <c r="BG78" s="3">
        <f>Legacy!BG42+Paid!BG39+React!BG69</f>
        <v/>
      </c>
      <c r="BH78" s="3">
        <f>Legacy!BH42+Paid!BH39+React!BH69</f>
        <v/>
      </c>
      <c r="BI78" s="3">
        <f>Legacy!BI42+Paid!BI39+React!BI69</f>
        <v/>
      </c>
      <c r="BJ78" s="3">
        <f>Legacy!BJ42+Paid!BJ39+React!BJ69</f>
        <v/>
      </c>
      <c r="BK78" s="3">
        <f>Legacy!BK42+Paid!BK39+React!BK69</f>
        <v/>
      </c>
      <c r="BL78" s="3">
        <f>Legacy!BL42+Paid!BL39+React!BL69</f>
        <v/>
      </c>
      <c r="BM78" s="3">
        <f>Legacy!BM42+Paid!BM39+React!BM69</f>
        <v/>
      </c>
      <c r="BN78" s="3">
        <f>Legacy!BN42+Paid!BN39+React!BN69</f>
        <v/>
      </c>
      <c r="BO78" s="3">
        <f>Legacy!BO42+Paid!BO39+React!BO69</f>
        <v/>
      </c>
      <c r="BP78" s="3">
        <f>Legacy!BP42+Paid!BP39+React!BP69</f>
        <v/>
      </c>
      <c r="BQ78" s="3">
        <f>Legacy!BQ42+Paid!BQ39+React!BQ69</f>
        <v/>
      </c>
      <c r="BR78" s="3">
        <f>Legacy!BR42+Paid!BR39+React!BR69</f>
        <v/>
      </c>
      <c r="BS78" s="3">
        <f>Legacy!BS42+Paid!BS39+React!BS69</f>
        <v/>
      </c>
      <c r="BT78" s="3">
        <f>Legacy!BT42+Paid!BT39+React!BT69</f>
        <v/>
      </c>
      <c r="BU78" s="3">
        <f>Legacy!BU42+Paid!BU39+React!BU69</f>
        <v/>
      </c>
      <c r="BV78" s="3">
        <f>Legacy!BV42+Paid!BV39+React!BV69</f>
        <v/>
      </c>
    </row>
    <row r="80">
      <c r="A80" t="inlineStr">
        <is>
          <t>opening</t>
        </is>
      </c>
      <c r="B80" t="inlineStr">
        <is>
          <t>LATAM|BASIC_M</t>
        </is>
      </c>
      <c r="C80" s="3">
        <f>Legacy!$C$45</f>
        <v/>
      </c>
      <c r="D80" s="3">
        <f>C84</f>
        <v/>
      </c>
      <c r="E80" s="3">
        <f>D84</f>
        <v/>
      </c>
      <c r="F80" s="3">
        <f>E84</f>
        <v/>
      </c>
      <c r="G80" s="3">
        <f>F84</f>
        <v/>
      </c>
      <c r="H80" s="3">
        <f>G84</f>
        <v/>
      </c>
      <c r="I80" s="3">
        <f>H84</f>
        <v/>
      </c>
      <c r="J80" s="3">
        <f>I84</f>
        <v/>
      </c>
      <c r="K80" s="3">
        <f>J84</f>
        <v/>
      </c>
      <c r="L80" s="3">
        <f>K84</f>
        <v/>
      </c>
      <c r="M80" s="3">
        <f>L84</f>
        <v/>
      </c>
      <c r="N80" s="3">
        <f>M84</f>
        <v/>
      </c>
      <c r="O80" s="3">
        <f>N84</f>
        <v/>
      </c>
      <c r="P80" s="3">
        <f>O84</f>
        <v/>
      </c>
      <c r="Q80" s="3">
        <f>P84</f>
        <v/>
      </c>
      <c r="R80" s="3">
        <f>Q84</f>
        <v/>
      </c>
      <c r="S80" s="3">
        <f>R84</f>
        <v/>
      </c>
      <c r="T80" s="3">
        <f>S84</f>
        <v/>
      </c>
      <c r="U80" s="3">
        <f>T84</f>
        <v/>
      </c>
      <c r="V80" s="3">
        <f>U84</f>
        <v/>
      </c>
      <c r="W80" s="3">
        <f>V84</f>
        <v/>
      </c>
      <c r="X80" s="3">
        <f>W84</f>
        <v/>
      </c>
      <c r="Y80" s="3">
        <f>X84</f>
        <v/>
      </c>
      <c r="Z80" s="3">
        <f>Y84</f>
        <v/>
      </c>
      <c r="AA80" s="3">
        <f>Z84</f>
        <v/>
      </c>
      <c r="AB80" s="3">
        <f>AA84</f>
        <v/>
      </c>
      <c r="AC80" s="3">
        <f>AB84</f>
        <v/>
      </c>
      <c r="AD80" s="3">
        <f>AC84</f>
        <v/>
      </c>
      <c r="AE80" s="3">
        <f>AD84</f>
        <v/>
      </c>
      <c r="AF80" s="3">
        <f>AE84</f>
        <v/>
      </c>
      <c r="AG80" s="3">
        <f>AF84</f>
        <v/>
      </c>
      <c r="AH80" s="3">
        <f>AG84</f>
        <v/>
      </c>
      <c r="AI80" s="3">
        <f>AH84</f>
        <v/>
      </c>
      <c r="AJ80" s="3">
        <f>AI84</f>
        <v/>
      </c>
      <c r="AK80" s="3">
        <f>AJ84</f>
        <v/>
      </c>
      <c r="AL80" s="3">
        <f>AK84</f>
        <v/>
      </c>
      <c r="AM80" s="3">
        <f>AL84</f>
        <v/>
      </c>
      <c r="AN80" s="3">
        <f>AM84</f>
        <v/>
      </c>
      <c r="AO80" s="3">
        <f>AN84</f>
        <v/>
      </c>
      <c r="AP80" s="3">
        <f>AO84</f>
        <v/>
      </c>
      <c r="AQ80" s="3">
        <f>AP84</f>
        <v/>
      </c>
      <c r="AR80" s="3">
        <f>AQ84</f>
        <v/>
      </c>
      <c r="AS80" s="3">
        <f>AR84</f>
        <v/>
      </c>
      <c r="AT80" s="3">
        <f>AS84</f>
        <v/>
      </c>
      <c r="AU80" s="3">
        <f>AT84</f>
        <v/>
      </c>
      <c r="AV80" s="3">
        <f>AU84</f>
        <v/>
      </c>
      <c r="AW80" s="3">
        <f>AV84</f>
        <v/>
      </c>
      <c r="AX80" s="3">
        <f>AW84</f>
        <v/>
      </c>
      <c r="AY80" s="3">
        <f>AX84</f>
        <v/>
      </c>
      <c r="AZ80" s="3">
        <f>AY84</f>
        <v/>
      </c>
      <c r="BA80" s="3">
        <f>AZ84</f>
        <v/>
      </c>
      <c r="BB80" s="3">
        <f>BA84</f>
        <v/>
      </c>
      <c r="BC80" s="3">
        <f>BB84</f>
        <v/>
      </c>
      <c r="BD80" s="3">
        <f>BC84</f>
        <v/>
      </c>
      <c r="BE80" s="3">
        <f>BD84</f>
        <v/>
      </c>
      <c r="BF80" s="3">
        <f>BE84</f>
        <v/>
      </c>
      <c r="BG80" s="3">
        <f>BF84</f>
        <v/>
      </c>
      <c r="BH80" s="3">
        <f>BG84</f>
        <v/>
      </c>
      <c r="BI80" s="3">
        <f>BH84</f>
        <v/>
      </c>
      <c r="BJ80" s="3">
        <f>BI84</f>
        <v/>
      </c>
      <c r="BK80" s="3">
        <f>BJ84</f>
        <v/>
      </c>
      <c r="BL80" s="3">
        <f>BK84</f>
        <v/>
      </c>
      <c r="BM80" s="3">
        <f>BL84</f>
        <v/>
      </c>
      <c r="BN80" s="3">
        <f>BM84</f>
        <v/>
      </c>
      <c r="BO80" s="3">
        <f>BN84</f>
        <v/>
      </c>
      <c r="BP80" s="3">
        <f>BO84</f>
        <v/>
      </c>
      <c r="BQ80" s="3">
        <f>BP84</f>
        <v/>
      </c>
      <c r="BR80" s="3">
        <f>BQ84</f>
        <v/>
      </c>
      <c r="BS80" s="3">
        <f>BR84</f>
        <v/>
      </c>
      <c r="BT80" s="3">
        <f>BS84</f>
        <v/>
      </c>
      <c r="BU80" s="3">
        <f>BT84</f>
        <v/>
      </c>
      <c r="BV80" s="3">
        <f>BU84</f>
        <v/>
      </c>
    </row>
    <row r="81">
      <c r="A81" t="inlineStr">
        <is>
          <t>new</t>
        </is>
      </c>
      <c r="B81" t="inlineStr">
        <is>
          <t>LATAM|BASIC_M</t>
        </is>
      </c>
      <c r="C81" s="3">
        <f>Adds!C115+IF(Params!$B$9=1,Adds!C114,Adds!C117)</f>
        <v/>
      </c>
      <c r="D81" s="3">
        <f>Adds!D115+IF(Params!$B$9=1,Adds!D114,Adds!D117)</f>
        <v/>
      </c>
      <c r="E81" s="3">
        <f>Adds!E115+IF(Params!$B$9=1,Adds!E114,Adds!E117)</f>
        <v/>
      </c>
      <c r="F81" s="3">
        <f>Adds!F115+IF(Params!$B$9=1,Adds!F114,Adds!F117)</f>
        <v/>
      </c>
      <c r="G81" s="3">
        <f>Adds!G115+IF(Params!$B$9=1,Adds!G114,Adds!G117)</f>
        <v/>
      </c>
      <c r="H81" s="3">
        <f>Adds!H115+IF(Params!$B$9=1,Adds!H114,Adds!H117)</f>
        <v/>
      </c>
      <c r="I81" s="3">
        <f>Adds!I115+IF(Params!$B$9=1,Adds!I114,Adds!I117)</f>
        <v/>
      </c>
      <c r="J81" s="3">
        <f>Adds!J115+IF(Params!$B$9=1,Adds!J114,Adds!J117)</f>
        <v/>
      </c>
      <c r="K81" s="3">
        <f>Adds!K115+IF(Params!$B$9=1,Adds!K114,Adds!K117)</f>
        <v/>
      </c>
      <c r="L81" s="3">
        <f>Adds!L115+IF(Params!$B$9=1,Adds!L114,Adds!L117)</f>
        <v/>
      </c>
      <c r="M81" s="3">
        <f>Adds!M115+IF(Params!$B$9=1,Adds!M114,Adds!M117)</f>
        <v/>
      </c>
      <c r="N81" s="3">
        <f>Adds!N115+IF(Params!$B$9=1,Adds!N114,Adds!N117)</f>
        <v/>
      </c>
      <c r="O81" s="3">
        <f>Adds!O115+IF(Params!$B$9=1,Adds!O114,Adds!O117)</f>
        <v/>
      </c>
      <c r="P81" s="3">
        <f>Adds!P115+IF(Params!$B$9=1,Adds!P114,Adds!P117)</f>
        <v/>
      </c>
      <c r="Q81" s="3">
        <f>Adds!Q115+IF(Params!$B$9=1,Adds!Q114,Adds!Q117)</f>
        <v/>
      </c>
      <c r="R81" s="3">
        <f>Adds!R115+IF(Params!$B$9=1,Adds!R114,Adds!R117)</f>
        <v/>
      </c>
      <c r="S81" s="3">
        <f>Adds!S115+IF(Params!$B$9=1,Adds!S114,Adds!S117)</f>
        <v/>
      </c>
      <c r="T81" s="3">
        <f>Adds!T115+IF(Params!$B$9=1,Adds!T114,Adds!T117)</f>
        <v/>
      </c>
      <c r="U81" s="3">
        <f>Adds!U115+IF(Params!$B$9=1,Adds!U114,Adds!U117)</f>
        <v/>
      </c>
      <c r="V81" s="3">
        <f>Adds!V115+IF(Params!$B$9=1,Adds!V114,Adds!V117)</f>
        <v/>
      </c>
      <c r="W81" s="3">
        <f>Adds!W115+IF(Params!$B$9=1,Adds!W114,Adds!W117)</f>
        <v/>
      </c>
      <c r="X81" s="3">
        <f>Adds!X115+IF(Params!$B$9=1,Adds!X114,Adds!X117)</f>
        <v/>
      </c>
      <c r="Y81" s="3">
        <f>Adds!Y115+IF(Params!$B$9=1,Adds!Y114,Adds!Y117)</f>
        <v/>
      </c>
      <c r="Z81" s="3">
        <f>Adds!Z115+IF(Params!$B$9=1,Adds!Z114,Adds!Z117)</f>
        <v/>
      </c>
      <c r="AA81" s="3">
        <f>Adds!AA115+IF(Params!$B$9=1,Adds!AA114,Adds!AA117)</f>
        <v/>
      </c>
      <c r="AB81" s="3">
        <f>Adds!AB115+IF(Params!$B$9=1,Adds!AB114,Adds!AB117)</f>
        <v/>
      </c>
      <c r="AC81" s="3">
        <f>Adds!AC115+IF(Params!$B$9=1,Adds!AC114,Adds!AC117)</f>
        <v/>
      </c>
      <c r="AD81" s="3">
        <f>Adds!AD115+IF(Params!$B$9=1,Adds!AD114,Adds!AD117)</f>
        <v/>
      </c>
      <c r="AE81" s="3">
        <f>Adds!AE115+IF(Params!$B$9=1,Adds!AE114,Adds!AE117)</f>
        <v/>
      </c>
      <c r="AF81" s="3">
        <f>Adds!AF115+IF(Params!$B$9=1,Adds!AF114,Adds!AF117)</f>
        <v/>
      </c>
      <c r="AG81" s="3">
        <f>Adds!AG115+IF(Params!$B$9=1,Adds!AG114,Adds!AG117)</f>
        <v/>
      </c>
      <c r="AH81" s="3">
        <f>Adds!AH115+IF(Params!$B$9=1,Adds!AH114,Adds!AH117)</f>
        <v/>
      </c>
      <c r="AI81" s="3">
        <f>Adds!AI115+IF(Params!$B$9=1,Adds!AI114,Adds!AI117)</f>
        <v/>
      </c>
      <c r="AJ81" s="3">
        <f>Adds!AJ115+IF(Params!$B$9=1,Adds!AJ114,Adds!AJ117)</f>
        <v/>
      </c>
      <c r="AK81" s="3">
        <f>Adds!AK115+IF(Params!$B$9=1,Adds!AK114,Adds!AK117)</f>
        <v/>
      </c>
      <c r="AL81" s="3">
        <f>Adds!AL115+IF(Params!$B$9=1,Adds!AL114,Adds!AL117)</f>
        <v/>
      </c>
      <c r="AM81" s="3">
        <f>Adds!AM115+IF(Params!$B$9=1,Adds!AM114,Adds!AM117)</f>
        <v/>
      </c>
      <c r="AN81" s="3">
        <f>Adds!AN115+IF(Params!$B$9=1,Adds!AN114,Adds!AN117)</f>
        <v/>
      </c>
      <c r="AO81" s="3">
        <f>Adds!AO115+IF(Params!$B$9=1,Adds!AO114,Adds!AO117)</f>
        <v/>
      </c>
      <c r="AP81" s="3">
        <f>Adds!AP115+IF(Params!$B$9=1,Adds!AP114,Adds!AP117)</f>
        <v/>
      </c>
      <c r="AQ81" s="3">
        <f>Adds!AQ115+IF(Params!$B$9=1,Adds!AQ114,Adds!AQ117)</f>
        <v/>
      </c>
      <c r="AR81" s="3">
        <f>Adds!AR115+IF(Params!$B$9=1,Adds!AR114,Adds!AR117)</f>
        <v/>
      </c>
      <c r="AS81" s="3">
        <f>Adds!AS115+IF(Params!$B$9=1,Adds!AS114,Adds!AS117)</f>
        <v/>
      </c>
      <c r="AT81" s="3">
        <f>Adds!AT115+IF(Params!$B$9=1,Adds!AT114,Adds!AT117)</f>
        <v/>
      </c>
      <c r="AU81" s="3">
        <f>Adds!AU115+IF(Params!$B$9=1,Adds!AU114,Adds!AU117)</f>
        <v/>
      </c>
      <c r="AV81" s="3">
        <f>Adds!AV115+IF(Params!$B$9=1,Adds!AV114,Adds!AV117)</f>
        <v/>
      </c>
      <c r="AW81" s="3">
        <f>Adds!AW115+IF(Params!$B$9=1,Adds!AW114,Adds!AW117)</f>
        <v/>
      </c>
      <c r="AX81" s="3">
        <f>Adds!AX115+IF(Params!$B$9=1,Adds!AX114,Adds!AX117)</f>
        <v/>
      </c>
      <c r="AY81" s="3">
        <f>Adds!AY115+IF(Params!$B$9=1,Adds!AY114,Adds!AY117)</f>
        <v/>
      </c>
      <c r="AZ81" s="3">
        <f>Adds!AZ115+IF(Params!$B$9=1,Adds!AZ114,Adds!AZ117)</f>
        <v/>
      </c>
      <c r="BA81" s="3">
        <f>Adds!BA115+IF(Params!$B$9=1,Adds!BA114,Adds!BA117)</f>
        <v/>
      </c>
      <c r="BB81" s="3">
        <f>Adds!BB115+IF(Params!$B$9=1,Adds!BB114,Adds!BB117)</f>
        <v/>
      </c>
      <c r="BC81" s="3">
        <f>Adds!BC115+IF(Params!$B$9=1,Adds!BC114,Adds!BC117)</f>
        <v/>
      </c>
      <c r="BD81" s="3">
        <f>Adds!BD115+IF(Params!$B$9=1,Adds!BD114,Adds!BD117)</f>
        <v/>
      </c>
      <c r="BE81" s="3">
        <f>Adds!BE115+IF(Params!$B$9=1,Adds!BE114,Adds!BE117)</f>
        <v/>
      </c>
      <c r="BF81" s="3">
        <f>Adds!BF115+IF(Params!$B$9=1,Adds!BF114,Adds!BF117)</f>
        <v/>
      </c>
      <c r="BG81" s="3">
        <f>Adds!BG115+IF(Params!$B$9=1,Adds!BG114,Adds!BG117)</f>
        <v/>
      </c>
      <c r="BH81" s="3">
        <f>Adds!BH115+IF(Params!$B$9=1,Adds!BH114,Adds!BH117)</f>
        <v/>
      </c>
      <c r="BI81" s="3">
        <f>Adds!BI115+IF(Params!$B$9=1,Adds!BI114,Adds!BI117)</f>
        <v/>
      </c>
      <c r="BJ81" s="3">
        <f>Adds!BJ115+IF(Params!$B$9=1,Adds!BJ114,Adds!BJ117)</f>
        <v/>
      </c>
      <c r="BK81" s="3">
        <f>Adds!BK115+IF(Params!$B$9=1,Adds!BK114,Adds!BK117)</f>
        <v/>
      </c>
      <c r="BL81" s="3">
        <f>Adds!BL115+IF(Params!$B$9=1,Adds!BL114,Adds!BL117)</f>
        <v/>
      </c>
      <c r="BM81" s="3">
        <f>Adds!BM115+IF(Params!$B$9=1,Adds!BM114,Adds!BM117)</f>
        <v/>
      </c>
      <c r="BN81" s="3">
        <f>Adds!BN115+IF(Params!$B$9=1,Adds!BN114,Adds!BN117)</f>
        <v/>
      </c>
      <c r="BO81" s="3">
        <f>Adds!BO115+IF(Params!$B$9=1,Adds!BO114,Adds!BO117)</f>
        <v/>
      </c>
      <c r="BP81" s="3">
        <f>Adds!BP115+IF(Params!$B$9=1,Adds!BP114,Adds!BP117)</f>
        <v/>
      </c>
      <c r="BQ81" s="3">
        <f>Adds!BQ115+IF(Params!$B$9=1,Adds!BQ114,Adds!BQ117)</f>
        <v/>
      </c>
      <c r="BR81" s="3">
        <f>Adds!BR115+IF(Params!$B$9=1,Adds!BR114,Adds!BR117)</f>
        <v/>
      </c>
      <c r="BS81" s="3">
        <f>Adds!BS115+IF(Params!$B$9=1,Adds!BS114,Adds!BS117)</f>
        <v/>
      </c>
      <c r="BT81" s="3">
        <f>Adds!BT115+IF(Params!$B$9=1,Adds!BT114,Adds!BT117)</f>
        <v/>
      </c>
      <c r="BU81" s="3">
        <f>Adds!BU115+IF(Params!$B$9=1,Adds!BU114,Adds!BU117)</f>
        <v/>
      </c>
      <c r="BV81" s="3">
        <f>Adds!BV115+IF(Params!$B$9=1,Adds!BV114,Adds!BV117)</f>
        <v/>
      </c>
    </row>
    <row r="82">
      <c r="A82" t="inlineStr">
        <is>
          <t>reactivated</t>
        </is>
      </c>
      <c r="B82" t="inlineStr">
        <is>
          <t>LATAM|BASIC_M</t>
        </is>
      </c>
      <c r="C82" s="3">
        <f>React!C75</f>
        <v/>
      </c>
      <c r="D82" s="3">
        <f>React!D75</f>
        <v/>
      </c>
      <c r="E82" s="3">
        <f>React!E75</f>
        <v/>
      </c>
      <c r="F82" s="3">
        <f>React!F75</f>
        <v/>
      </c>
      <c r="G82" s="3">
        <f>React!G75</f>
        <v/>
      </c>
      <c r="H82" s="3">
        <f>React!H75</f>
        <v/>
      </c>
      <c r="I82" s="3">
        <f>React!I75</f>
        <v/>
      </c>
      <c r="J82" s="3">
        <f>React!J75</f>
        <v/>
      </c>
      <c r="K82" s="3">
        <f>React!K75</f>
        <v/>
      </c>
      <c r="L82" s="3">
        <f>React!L75</f>
        <v/>
      </c>
      <c r="M82" s="3">
        <f>React!M75</f>
        <v/>
      </c>
      <c r="N82" s="3">
        <f>React!N75</f>
        <v/>
      </c>
      <c r="O82" s="3">
        <f>React!O75</f>
        <v/>
      </c>
      <c r="P82" s="3">
        <f>React!P75</f>
        <v/>
      </c>
      <c r="Q82" s="3">
        <f>React!Q75</f>
        <v/>
      </c>
      <c r="R82" s="3">
        <f>React!R75</f>
        <v/>
      </c>
      <c r="S82" s="3">
        <f>React!S75</f>
        <v/>
      </c>
      <c r="T82" s="3">
        <f>React!T75</f>
        <v/>
      </c>
      <c r="U82" s="3">
        <f>React!U75</f>
        <v/>
      </c>
      <c r="V82" s="3">
        <f>React!V75</f>
        <v/>
      </c>
      <c r="W82" s="3">
        <f>React!W75</f>
        <v/>
      </c>
      <c r="X82" s="3">
        <f>React!X75</f>
        <v/>
      </c>
      <c r="Y82" s="3">
        <f>React!Y75</f>
        <v/>
      </c>
      <c r="Z82" s="3">
        <f>React!Z75</f>
        <v/>
      </c>
      <c r="AA82" s="3">
        <f>React!AA75</f>
        <v/>
      </c>
      <c r="AB82" s="3">
        <f>React!AB75</f>
        <v/>
      </c>
      <c r="AC82" s="3">
        <f>React!AC75</f>
        <v/>
      </c>
      <c r="AD82" s="3">
        <f>React!AD75</f>
        <v/>
      </c>
      <c r="AE82" s="3">
        <f>React!AE75</f>
        <v/>
      </c>
      <c r="AF82" s="3">
        <f>React!AF75</f>
        <v/>
      </c>
      <c r="AG82" s="3">
        <f>React!AG75</f>
        <v/>
      </c>
      <c r="AH82" s="3">
        <f>React!AH75</f>
        <v/>
      </c>
      <c r="AI82" s="3">
        <f>React!AI75</f>
        <v/>
      </c>
      <c r="AJ82" s="3">
        <f>React!AJ75</f>
        <v/>
      </c>
      <c r="AK82" s="3">
        <f>React!AK75</f>
        <v/>
      </c>
      <c r="AL82" s="3">
        <f>React!AL75</f>
        <v/>
      </c>
      <c r="AM82" s="3">
        <f>React!AM75</f>
        <v/>
      </c>
      <c r="AN82" s="3">
        <f>React!AN75</f>
        <v/>
      </c>
      <c r="AO82" s="3">
        <f>React!AO75</f>
        <v/>
      </c>
      <c r="AP82" s="3">
        <f>React!AP75</f>
        <v/>
      </c>
      <c r="AQ82" s="3">
        <f>React!AQ75</f>
        <v/>
      </c>
      <c r="AR82" s="3">
        <f>React!AR75</f>
        <v/>
      </c>
      <c r="AS82" s="3">
        <f>React!AS75</f>
        <v/>
      </c>
      <c r="AT82" s="3">
        <f>React!AT75</f>
        <v/>
      </c>
      <c r="AU82" s="3">
        <f>React!AU75</f>
        <v/>
      </c>
      <c r="AV82" s="3">
        <f>React!AV75</f>
        <v/>
      </c>
      <c r="AW82" s="3">
        <f>React!AW75</f>
        <v/>
      </c>
      <c r="AX82" s="3">
        <f>React!AX75</f>
        <v/>
      </c>
      <c r="AY82" s="3">
        <f>React!AY75</f>
        <v/>
      </c>
      <c r="AZ82" s="3">
        <f>React!AZ75</f>
        <v/>
      </c>
      <c r="BA82" s="3">
        <f>React!BA75</f>
        <v/>
      </c>
      <c r="BB82" s="3">
        <f>React!BB75</f>
        <v/>
      </c>
      <c r="BC82" s="3">
        <f>React!BC75</f>
        <v/>
      </c>
      <c r="BD82" s="3">
        <f>React!BD75</f>
        <v/>
      </c>
      <c r="BE82" s="3">
        <f>React!BE75</f>
        <v/>
      </c>
      <c r="BF82" s="3">
        <f>React!BF75</f>
        <v/>
      </c>
      <c r="BG82" s="3">
        <f>React!BG75</f>
        <v/>
      </c>
      <c r="BH82" s="3">
        <f>React!BH75</f>
        <v/>
      </c>
      <c r="BI82" s="3">
        <f>React!BI75</f>
        <v/>
      </c>
      <c r="BJ82" s="3">
        <f>React!BJ75</f>
        <v/>
      </c>
      <c r="BK82" s="3">
        <f>React!BK75</f>
        <v/>
      </c>
      <c r="BL82" s="3">
        <f>React!BL75</f>
        <v/>
      </c>
      <c r="BM82" s="3">
        <f>React!BM75</f>
        <v/>
      </c>
      <c r="BN82" s="3">
        <f>React!BN75</f>
        <v/>
      </c>
      <c r="BO82" s="3">
        <f>React!BO75</f>
        <v/>
      </c>
      <c r="BP82" s="3">
        <f>React!BP75</f>
        <v/>
      </c>
      <c r="BQ82" s="3">
        <f>React!BQ75</f>
        <v/>
      </c>
      <c r="BR82" s="3">
        <f>React!BR75</f>
        <v/>
      </c>
      <c r="BS82" s="3">
        <f>React!BS75</f>
        <v/>
      </c>
      <c r="BT82" s="3">
        <f>React!BT75</f>
        <v/>
      </c>
      <c r="BU82" s="3">
        <f>React!BU75</f>
        <v/>
      </c>
      <c r="BV82" s="3">
        <f>React!BV75</f>
        <v/>
      </c>
    </row>
    <row r="83">
      <c r="A83" t="inlineStr">
        <is>
          <t>churned</t>
        </is>
      </c>
      <c r="B83" t="inlineStr">
        <is>
          <t>LATAM|BASIC_M</t>
        </is>
      </c>
      <c r="C83" s="3">
        <f>Legacy!C47+Paid!C45+React!C78+Params!$B$9*Adds!C118</f>
        <v/>
      </c>
      <c r="D83" s="3">
        <f>Legacy!D47+Paid!D45+React!D78+Params!$B$9*Adds!D118</f>
        <v/>
      </c>
      <c r="E83" s="3">
        <f>Legacy!E47+Paid!E45+React!E78+Params!$B$9*Adds!E118</f>
        <v/>
      </c>
      <c r="F83" s="3">
        <f>Legacy!F47+Paid!F45+React!F78+Params!$B$9*Adds!F118</f>
        <v/>
      </c>
      <c r="G83" s="3">
        <f>Legacy!G47+Paid!G45+React!G78+Params!$B$9*Adds!G118</f>
        <v/>
      </c>
      <c r="H83" s="3">
        <f>Legacy!H47+Paid!H45+React!H78+Params!$B$9*Adds!H118</f>
        <v/>
      </c>
      <c r="I83" s="3">
        <f>Legacy!I47+Paid!I45+React!I78+Params!$B$9*Adds!I118</f>
        <v/>
      </c>
      <c r="J83" s="3">
        <f>Legacy!J47+Paid!J45+React!J78+Params!$B$9*Adds!J118</f>
        <v/>
      </c>
      <c r="K83" s="3">
        <f>Legacy!K47+Paid!K45+React!K78+Params!$B$9*Adds!K118</f>
        <v/>
      </c>
      <c r="L83" s="3">
        <f>Legacy!L47+Paid!L45+React!L78+Params!$B$9*Adds!L118</f>
        <v/>
      </c>
      <c r="M83" s="3">
        <f>Legacy!M47+Paid!M45+React!M78+Params!$B$9*Adds!M118</f>
        <v/>
      </c>
      <c r="N83" s="3">
        <f>Legacy!N47+Paid!N45+React!N78+Params!$B$9*Adds!N118</f>
        <v/>
      </c>
      <c r="O83" s="3">
        <f>Legacy!O47+Paid!O45+React!O78+Params!$B$9*Adds!O118</f>
        <v/>
      </c>
      <c r="P83" s="3">
        <f>Legacy!P47+Paid!P45+React!P78+Params!$B$9*Adds!P118</f>
        <v/>
      </c>
      <c r="Q83" s="3">
        <f>Legacy!Q47+Paid!Q45+React!Q78+Params!$B$9*Adds!Q118</f>
        <v/>
      </c>
      <c r="R83" s="3">
        <f>Legacy!R47+Paid!R45+React!R78+Params!$B$9*Adds!R118</f>
        <v/>
      </c>
      <c r="S83" s="3">
        <f>Legacy!S47+Paid!S45+React!S78+Params!$B$9*Adds!S118</f>
        <v/>
      </c>
      <c r="T83" s="3">
        <f>Legacy!T47+Paid!T45+React!T78+Params!$B$9*Adds!T118</f>
        <v/>
      </c>
      <c r="U83" s="3">
        <f>Legacy!U47+Paid!U45+React!U78+Params!$B$9*Adds!U118</f>
        <v/>
      </c>
      <c r="V83" s="3">
        <f>Legacy!V47+Paid!V45+React!V78+Params!$B$9*Adds!V118</f>
        <v/>
      </c>
      <c r="W83" s="3">
        <f>Legacy!W47+Paid!W45+React!W78+Params!$B$9*Adds!W118</f>
        <v/>
      </c>
      <c r="X83" s="3">
        <f>Legacy!X47+Paid!X45+React!X78+Params!$B$9*Adds!X118</f>
        <v/>
      </c>
      <c r="Y83" s="3">
        <f>Legacy!Y47+Paid!Y45+React!Y78+Params!$B$9*Adds!Y118</f>
        <v/>
      </c>
      <c r="Z83" s="3">
        <f>Legacy!Z47+Paid!Z45+React!Z78+Params!$B$9*Adds!Z118</f>
        <v/>
      </c>
      <c r="AA83" s="3">
        <f>Legacy!AA47+Paid!AA45+React!AA78+Params!$B$9*Adds!AA118</f>
        <v/>
      </c>
      <c r="AB83" s="3">
        <f>Legacy!AB47+Paid!AB45+React!AB78+Params!$B$9*Adds!AB118</f>
        <v/>
      </c>
      <c r="AC83" s="3">
        <f>Legacy!AC47+Paid!AC45+React!AC78+Params!$B$9*Adds!AC118</f>
        <v/>
      </c>
      <c r="AD83" s="3">
        <f>Legacy!AD47+Paid!AD45+React!AD78+Params!$B$9*Adds!AD118</f>
        <v/>
      </c>
      <c r="AE83" s="3">
        <f>Legacy!AE47+Paid!AE45+React!AE78+Params!$B$9*Adds!AE118</f>
        <v/>
      </c>
      <c r="AF83" s="3">
        <f>Legacy!AF47+Paid!AF45+React!AF78+Params!$B$9*Adds!AF118</f>
        <v/>
      </c>
      <c r="AG83" s="3">
        <f>Legacy!AG47+Paid!AG45+React!AG78+Params!$B$9*Adds!AG118</f>
        <v/>
      </c>
      <c r="AH83" s="3">
        <f>Legacy!AH47+Paid!AH45+React!AH78+Params!$B$9*Adds!AH118</f>
        <v/>
      </c>
      <c r="AI83" s="3">
        <f>Legacy!AI47+Paid!AI45+React!AI78+Params!$B$9*Adds!AI118</f>
        <v/>
      </c>
      <c r="AJ83" s="3">
        <f>Legacy!AJ47+Paid!AJ45+React!AJ78+Params!$B$9*Adds!AJ118</f>
        <v/>
      </c>
      <c r="AK83" s="3">
        <f>Legacy!AK47+Paid!AK45+React!AK78+Params!$B$9*Adds!AK118</f>
        <v/>
      </c>
      <c r="AL83" s="3">
        <f>Legacy!AL47+Paid!AL45+React!AL78+Params!$B$9*Adds!AL118</f>
        <v/>
      </c>
      <c r="AM83" s="3">
        <f>Legacy!AM47+Paid!AM45+React!AM78+Params!$B$9*Adds!AM118</f>
        <v/>
      </c>
      <c r="AN83" s="3">
        <f>Legacy!AN47+Paid!AN45+React!AN78+Params!$B$9*Adds!AN118</f>
        <v/>
      </c>
      <c r="AO83" s="3">
        <f>Legacy!AO47+Paid!AO45+React!AO78+Params!$B$9*Adds!AO118</f>
        <v/>
      </c>
      <c r="AP83" s="3">
        <f>Legacy!AP47+Paid!AP45+React!AP78+Params!$B$9*Adds!AP118</f>
        <v/>
      </c>
      <c r="AQ83" s="3">
        <f>Legacy!AQ47+Paid!AQ45+React!AQ78+Params!$B$9*Adds!AQ118</f>
        <v/>
      </c>
      <c r="AR83" s="3">
        <f>Legacy!AR47+Paid!AR45+React!AR78+Params!$B$9*Adds!AR118</f>
        <v/>
      </c>
      <c r="AS83" s="3">
        <f>Legacy!AS47+Paid!AS45+React!AS78+Params!$B$9*Adds!AS118</f>
        <v/>
      </c>
      <c r="AT83" s="3">
        <f>Legacy!AT47+Paid!AT45+React!AT78+Params!$B$9*Adds!AT118</f>
        <v/>
      </c>
      <c r="AU83" s="3">
        <f>Legacy!AU47+Paid!AU45+React!AU78+Params!$B$9*Adds!AU118</f>
        <v/>
      </c>
      <c r="AV83" s="3">
        <f>Legacy!AV47+Paid!AV45+React!AV78+Params!$B$9*Adds!AV118</f>
        <v/>
      </c>
      <c r="AW83" s="3">
        <f>Legacy!AW47+Paid!AW45+React!AW78+Params!$B$9*Adds!AW118</f>
        <v/>
      </c>
      <c r="AX83" s="3">
        <f>Legacy!AX47+Paid!AX45+React!AX78+Params!$B$9*Adds!AX118</f>
        <v/>
      </c>
      <c r="AY83" s="3">
        <f>Legacy!AY47+Paid!AY45+React!AY78+Params!$B$9*Adds!AY118</f>
        <v/>
      </c>
      <c r="AZ83" s="3">
        <f>Legacy!AZ47+Paid!AZ45+React!AZ78+Params!$B$9*Adds!AZ118</f>
        <v/>
      </c>
      <c r="BA83" s="3">
        <f>Legacy!BA47+Paid!BA45+React!BA78+Params!$B$9*Adds!BA118</f>
        <v/>
      </c>
      <c r="BB83" s="3">
        <f>Legacy!BB47+Paid!BB45+React!BB78+Params!$B$9*Adds!BB118</f>
        <v/>
      </c>
      <c r="BC83" s="3">
        <f>Legacy!BC47+Paid!BC45+React!BC78+Params!$B$9*Adds!BC118</f>
        <v/>
      </c>
      <c r="BD83" s="3">
        <f>Legacy!BD47+Paid!BD45+React!BD78+Params!$B$9*Adds!BD118</f>
        <v/>
      </c>
      <c r="BE83" s="3">
        <f>Legacy!BE47+Paid!BE45+React!BE78+Params!$B$9*Adds!BE118</f>
        <v/>
      </c>
      <c r="BF83" s="3">
        <f>Legacy!BF47+Paid!BF45+React!BF78+Params!$B$9*Adds!BF118</f>
        <v/>
      </c>
      <c r="BG83" s="3">
        <f>Legacy!BG47+Paid!BG45+React!BG78+Params!$B$9*Adds!BG118</f>
        <v/>
      </c>
      <c r="BH83" s="3">
        <f>Legacy!BH47+Paid!BH45+React!BH78+Params!$B$9*Adds!BH118</f>
        <v/>
      </c>
      <c r="BI83" s="3">
        <f>Legacy!BI47+Paid!BI45+React!BI78+Params!$B$9*Adds!BI118</f>
        <v/>
      </c>
      <c r="BJ83" s="3">
        <f>Legacy!BJ47+Paid!BJ45+React!BJ78+Params!$B$9*Adds!BJ118</f>
        <v/>
      </c>
      <c r="BK83" s="3">
        <f>Legacy!BK47+Paid!BK45+React!BK78+Params!$B$9*Adds!BK118</f>
        <v/>
      </c>
      <c r="BL83" s="3">
        <f>Legacy!BL47+Paid!BL45+React!BL78+Params!$B$9*Adds!BL118</f>
        <v/>
      </c>
      <c r="BM83" s="3">
        <f>Legacy!BM47+Paid!BM45+React!BM78+Params!$B$9*Adds!BM118</f>
        <v/>
      </c>
      <c r="BN83" s="3">
        <f>Legacy!BN47+Paid!BN45+React!BN78+Params!$B$9*Adds!BN118</f>
        <v/>
      </c>
      <c r="BO83" s="3">
        <f>Legacy!BO47+Paid!BO45+React!BO78+Params!$B$9*Adds!BO118</f>
        <v/>
      </c>
      <c r="BP83" s="3">
        <f>Legacy!BP47+Paid!BP45+React!BP78+Params!$B$9*Adds!BP118</f>
        <v/>
      </c>
      <c r="BQ83" s="3">
        <f>Legacy!BQ47+Paid!BQ45+React!BQ78+Params!$B$9*Adds!BQ118</f>
        <v/>
      </c>
      <c r="BR83" s="3">
        <f>Legacy!BR47+Paid!BR45+React!BR78+Params!$B$9*Adds!BR118</f>
        <v/>
      </c>
      <c r="BS83" s="3">
        <f>Legacy!BS47+Paid!BS45+React!BS78+Params!$B$9*Adds!BS118</f>
        <v/>
      </c>
      <c r="BT83" s="3">
        <f>Legacy!BT47+Paid!BT45+React!BT78+Params!$B$9*Adds!BT118</f>
        <v/>
      </c>
      <c r="BU83" s="3">
        <f>Legacy!BU47+Paid!BU45+React!BU78+Params!$B$9*Adds!BU118</f>
        <v/>
      </c>
      <c r="BV83" s="3">
        <f>Legacy!BV47+Paid!BV45+React!BV78+Params!$B$9*Adds!BV118</f>
        <v/>
      </c>
    </row>
    <row r="84">
      <c r="A84" t="inlineStr">
        <is>
          <t>closing</t>
        </is>
      </c>
      <c r="B84" t="inlineStr">
        <is>
          <t>LATAM|BASIC_M</t>
        </is>
      </c>
      <c r="C84" s="3">
        <f>C85+Params!$B$9*Adds!C121</f>
        <v/>
      </c>
      <c r="D84" s="3">
        <f>D85+Params!$B$9*Adds!D121</f>
        <v/>
      </c>
      <c r="E84" s="3">
        <f>E85+Params!$B$9*Adds!E121</f>
        <v/>
      </c>
      <c r="F84" s="3">
        <f>F85+Params!$B$9*Adds!F121</f>
        <v/>
      </c>
      <c r="G84" s="3">
        <f>G85+Params!$B$9*Adds!G121</f>
        <v/>
      </c>
      <c r="H84" s="3">
        <f>H85+Params!$B$9*Adds!H121</f>
        <v/>
      </c>
      <c r="I84" s="3">
        <f>I85+Params!$B$9*Adds!I121</f>
        <v/>
      </c>
      <c r="J84" s="3">
        <f>J85+Params!$B$9*Adds!J121</f>
        <v/>
      </c>
      <c r="K84" s="3">
        <f>K85+Params!$B$9*Adds!K121</f>
        <v/>
      </c>
      <c r="L84" s="3">
        <f>L85+Params!$B$9*Adds!L121</f>
        <v/>
      </c>
      <c r="M84" s="3">
        <f>M85+Params!$B$9*Adds!M121</f>
        <v/>
      </c>
      <c r="N84" s="3">
        <f>N85+Params!$B$9*Adds!N121</f>
        <v/>
      </c>
      <c r="O84" s="3">
        <f>O85+Params!$B$9*Adds!O121</f>
        <v/>
      </c>
      <c r="P84" s="3">
        <f>P85+Params!$B$9*Adds!P121</f>
        <v/>
      </c>
      <c r="Q84" s="3">
        <f>Q85+Params!$B$9*Adds!Q121</f>
        <v/>
      </c>
      <c r="R84" s="3">
        <f>R85+Params!$B$9*Adds!R121</f>
        <v/>
      </c>
      <c r="S84" s="3">
        <f>S85+Params!$B$9*Adds!S121</f>
        <v/>
      </c>
      <c r="T84" s="3">
        <f>T85+Params!$B$9*Adds!T121</f>
        <v/>
      </c>
      <c r="U84" s="3">
        <f>U85+Params!$B$9*Adds!U121</f>
        <v/>
      </c>
      <c r="V84" s="3">
        <f>V85+Params!$B$9*Adds!V121</f>
        <v/>
      </c>
      <c r="W84" s="3">
        <f>W85+Params!$B$9*Adds!W121</f>
        <v/>
      </c>
      <c r="X84" s="3">
        <f>X85+Params!$B$9*Adds!X121</f>
        <v/>
      </c>
      <c r="Y84" s="3">
        <f>Y85+Params!$B$9*Adds!Y121</f>
        <v/>
      </c>
      <c r="Z84" s="3">
        <f>Z85+Params!$B$9*Adds!Z121</f>
        <v/>
      </c>
      <c r="AA84" s="3">
        <f>AA85+Params!$B$9*Adds!AA121</f>
        <v/>
      </c>
      <c r="AB84" s="3">
        <f>AB85+Params!$B$9*Adds!AB121</f>
        <v/>
      </c>
      <c r="AC84" s="3">
        <f>AC85+Params!$B$9*Adds!AC121</f>
        <v/>
      </c>
      <c r="AD84" s="3">
        <f>AD85+Params!$B$9*Adds!AD121</f>
        <v/>
      </c>
      <c r="AE84" s="3">
        <f>AE85+Params!$B$9*Adds!AE121</f>
        <v/>
      </c>
      <c r="AF84" s="3">
        <f>AF85+Params!$B$9*Adds!AF121</f>
        <v/>
      </c>
      <c r="AG84" s="3">
        <f>AG85+Params!$B$9*Adds!AG121</f>
        <v/>
      </c>
      <c r="AH84" s="3">
        <f>AH85+Params!$B$9*Adds!AH121</f>
        <v/>
      </c>
      <c r="AI84" s="3">
        <f>AI85+Params!$B$9*Adds!AI121</f>
        <v/>
      </c>
      <c r="AJ84" s="3">
        <f>AJ85+Params!$B$9*Adds!AJ121</f>
        <v/>
      </c>
      <c r="AK84" s="3">
        <f>AK85+Params!$B$9*Adds!AK121</f>
        <v/>
      </c>
      <c r="AL84" s="3">
        <f>AL85+Params!$B$9*Adds!AL121</f>
        <v/>
      </c>
      <c r="AM84" s="3">
        <f>AM85+Params!$B$9*Adds!AM121</f>
        <v/>
      </c>
      <c r="AN84" s="3">
        <f>AN85+Params!$B$9*Adds!AN121</f>
        <v/>
      </c>
      <c r="AO84" s="3">
        <f>AO85+Params!$B$9*Adds!AO121</f>
        <v/>
      </c>
      <c r="AP84" s="3">
        <f>AP85+Params!$B$9*Adds!AP121</f>
        <v/>
      </c>
      <c r="AQ84" s="3">
        <f>AQ85+Params!$B$9*Adds!AQ121</f>
        <v/>
      </c>
      <c r="AR84" s="3">
        <f>AR85+Params!$B$9*Adds!AR121</f>
        <v/>
      </c>
      <c r="AS84" s="3">
        <f>AS85+Params!$B$9*Adds!AS121</f>
        <v/>
      </c>
      <c r="AT84" s="3">
        <f>AT85+Params!$B$9*Adds!AT121</f>
        <v/>
      </c>
      <c r="AU84" s="3">
        <f>AU85+Params!$B$9*Adds!AU121</f>
        <v/>
      </c>
      <c r="AV84" s="3">
        <f>AV85+Params!$B$9*Adds!AV121</f>
        <v/>
      </c>
      <c r="AW84" s="3">
        <f>AW85+Params!$B$9*Adds!AW121</f>
        <v/>
      </c>
      <c r="AX84" s="3">
        <f>AX85+Params!$B$9*Adds!AX121</f>
        <v/>
      </c>
      <c r="AY84" s="3">
        <f>AY85+Params!$B$9*Adds!AY121</f>
        <v/>
      </c>
      <c r="AZ84" s="3">
        <f>AZ85+Params!$B$9*Adds!AZ121</f>
        <v/>
      </c>
      <c r="BA84" s="3">
        <f>BA85+Params!$B$9*Adds!BA121</f>
        <v/>
      </c>
      <c r="BB84" s="3">
        <f>BB85+Params!$B$9*Adds!BB121</f>
        <v/>
      </c>
      <c r="BC84" s="3">
        <f>BC85+Params!$B$9*Adds!BC121</f>
        <v/>
      </c>
      <c r="BD84" s="3">
        <f>BD85+Params!$B$9*Adds!BD121</f>
        <v/>
      </c>
      <c r="BE84" s="3">
        <f>BE85+Params!$B$9*Adds!BE121</f>
        <v/>
      </c>
      <c r="BF84" s="3">
        <f>BF85+Params!$B$9*Adds!BF121</f>
        <v/>
      </c>
      <c r="BG84" s="3">
        <f>BG85+Params!$B$9*Adds!BG121</f>
        <v/>
      </c>
      <c r="BH84" s="3">
        <f>BH85+Params!$B$9*Adds!BH121</f>
        <v/>
      </c>
      <c r="BI84" s="3">
        <f>BI85+Params!$B$9*Adds!BI121</f>
        <v/>
      </c>
      <c r="BJ84" s="3">
        <f>BJ85+Params!$B$9*Adds!BJ121</f>
        <v/>
      </c>
      <c r="BK84" s="3">
        <f>BK85+Params!$B$9*Adds!BK121</f>
        <v/>
      </c>
      <c r="BL84" s="3">
        <f>BL85+Params!$B$9*Adds!BL121</f>
        <v/>
      </c>
      <c r="BM84" s="3">
        <f>BM85+Params!$B$9*Adds!BM121</f>
        <v/>
      </c>
      <c r="BN84" s="3">
        <f>BN85+Params!$B$9*Adds!BN121</f>
        <v/>
      </c>
      <c r="BO84" s="3">
        <f>BO85+Params!$B$9*Adds!BO121</f>
        <v/>
      </c>
      <c r="BP84" s="3">
        <f>BP85+Params!$B$9*Adds!BP121</f>
        <v/>
      </c>
      <c r="BQ84" s="3">
        <f>BQ85+Params!$B$9*Adds!BQ121</f>
        <v/>
      </c>
      <c r="BR84" s="3">
        <f>BR85+Params!$B$9*Adds!BR121</f>
        <v/>
      </c>
      <c r="BS84" s="3">
        <f>BS85+Params!$B$9*Adds!BS121</f>
        <v/>
      </c>
      <c r="BT84" s="3">
        <f>BT85+Params!$B$9*Adds!BT121</f>
        <v/>
      </c>
      <c r="BU84" s="3">
        <f>BU85+Params!$B$9*Adds!BU121</f>
        <v/>
      </c>
      <c r="BV84" s="3">
        <f>BV85+Params!$B$9*Adds!BV121</f>
        <v/>
      </c>
    </row>
    <row r="85">
      <c r="A85" t="inlineStr">
        <is>
          <t>paying</t>
        </is>
      </c>
      <c r="B85" t="inlineStr">
        <is>
          <t>LATAM|BASIC_M</t>
        </is>
      </c>
      <c r="C85" s="3">
        <f>Legacy!C46+Paid!C43+React!C76</f>
        <v/>
      </c>
      <c r="D85" s="3">
        <f>Legacy!D46+Paid!D43+React!D76</f>
        <v/>
      </c>
      <c r="E85" s="3">
        <f>Legacy!E46+Paid!E43+React!E76</f>
        <v/>
      </c>
      <c r="F85" s="3">
        <f>Legacy!F46+Paid!F43+React!F76</f>
        <v/>
      </c>
      <c r="G85" s="3">
        <f>Legacy!G46+Paid!G43+React!G76</f>
        <v/>
      </c>
      <c r="H85" s="3">
        <f>Legacy!H46+Paid!H43+React!H76</f>
        <v/>
      </c>
      <c r="I85" s="3">
        <f>Legacy!I46+Paid!I43+React!I76</f>
        <v/>
      </c>
      <c r="J85" s="3">
        <f>Legacy!J46+Paid!J43+React!J76</f>
        <v/>
      </c>
      <c r="K85" s="3">
        <f>Legacy!K46+Paid!K43+React!K76</f>
        <v/>
      </c>
      <c r="L85" s="3">
        <f>Legacy!L46+Paid!L43+React!L76</f>
        <v/>
      </c>
      <c r="M85" s="3">
        <f>Legacy!M46+Paid!M43+React!M76</f>
        <v/>
      </c>
      <c r="N85" s="3">
        <f>Legacy!N46+Paid!N43+React!N76</f>
        <v/>
      </c>
      <c r="O85" s="3">
        <f>Legacy!O46+Paid!O43+React!O76</f>
        <v/>
      </c>
      <c r="P85" s="3">
        <f>Legacy!P46+Paid!P43+React!P76</f>
        <v/>
      </c>
      <c r="Q85" s="3">
        <f>Legacy!Q46+Paid!Q43+React!Q76</f>
        <v/>
      </c>
      <c r="R85" s="3">
        <f>Legacy!R46+Paid!R43+React!R76</f>
        <v/>
      </c>
      <c r="S85" s="3">
        <f>Legacy!S46+Paid!S43+React!S76</f>
        <v/>
      </c>
      <c r="T85" s="3">
        <f>Legacy!T46+Paid!T43+React!T76</f>
        <v/>
      </c>
      <c r="U85" s="3">
        <f>Legacy!U46+Paid!U43+React!U76</f>
        <v/>
      </c>
      <c r="V85" s="3">
        <f>Legacy!V46+Paid!V43+React!V76</f>
        <v/>
      </c>
      <c r="W85" s="3">
        <f>Legacy!W46+Paid!W43+React!W76</f>
        <v/>
      </c>
      <c r="X85" s="3">
        <f>Legacy!X46+Paid!X43+React!X76</f>
        <v/>
      </c>
      <c r="Y85" s="3">
        <f>Legacy!Y46+Paid!Y43+React!Y76</f>
        <v/>
      </c>
      <c r="Z85" s="3">
        <f>Legacy!Z46+Paid!Z43+React!Z76</f>
        <v/>
      </c>
      <c r="AA85" s="3">
        <f>Legacy!AA46+Paid!AA43+React!AA76</f>
        <v/>
      </c>
      <c r="AB85" s="3">
        <f>Legacy!AB46+Paid!AB43+React!AB76</f>
        <v/>
      </c>
      <c r="AC85" s="3">
        <f>Legacy!AC46+Paid!AC43+React!AC76</f>
        <v/>
      </c>
      <c r="AD85" s="3">
        <f>Legacy!AD46+Paid!AD43+React!AD76</f>
        <v/>
      </c>
      <c r="AE85" s="3">
        <f>Legacy!AE46+Paid!AE43+React!AE76</f>
        <v/>
      </c>
      <c r="AF85" s="3">
        <f>Legacy!AF46+Paid!AF43+React!AF76</f>
        <v/>
      </c>
      <c r="AG85" s="3">
        <f>Legacy!AG46+Paid!AG43+React!AG76</f>
        <v/>
      </c>
      <c r="AH85" s="3">
        <f>Legacy!AH46+Paid!AH43+React!AH76</f>
        <v/>
      </c>
      <c r="AI85" s="3">
        <f>Legacy!AI46+Paid!AI43+React!AI76</f>
        <v/>
      </c>
      <c r="AJ85" s="3">
        <f>Legacy!AJ46+Paid!AJ43+React!AJ76</f>
        <v/>
      </c>
      <c r="AK85" s="3">
        <f>Legacy!AK46+Paid!AK43+React!AK76</f>
        <v/>
      </c>
      <c r="AL85" s="3">
        <f>Legacy!AL46+Paid!AL43+React!AL76</f>
        <v/>
      </c>
      <c r="AM85" s="3">
        <f>Legacy!AM46+Paid!AM43+React!AM76</f>
        <v/>
      </c>
      <c r="AN85" s="3">
        <f>Legacy!AN46+Paid!AN43+React!AN76</f>
        <v/>
      </c>
      <c r="AO85" s="3">
        <f>Legacy!AO46+Paid!AO43+React!AO76</f>
        <v/>
      </c>
      <c r="AP85" s="3">
        <f>Legacy!AP46+Paid!AP43+React!AP76</f>
        <v/>
      </c>
      <c r="AQ85" s="3">
        <f>Legacy!AQ46+Paid!AQ43+React!AQ76</f>
        <v/>
      </c>
      <c r="AR85" s="3">
        <f>Legacy!AR46+Paid!AR43+React!AR76</f>
        <v/>
      </c>
      <c r="AS85" s="3">
        <f>Legacy!AS46+Paid!AS43+React!AS76</f>
        <v/>
      </c>
      <c r="AT85" s="3">
        <f>Legacy!AT46+Paid!AT43+React!AT76</f>
        <v/>
      </c>
      <c r="AU85" s="3">
        <f>Legacy!AU46+Paid!AU43+React!AU76</f>
        <v/>
      </c>
      <c r="AV85" s="3">
        <f>Legacy!AV46+Paid!AV43+React!AV76</f>
        <v/>
      </c>
      <c r="AW85" s="3">
        <f>Legacy!AW46+Paid!AW43+React!AW76</f>
        <v/>
      </c>
      <c r="AX85" s="3">
        <f>Legacy!AX46+Paid!AX43+React!AX76</f>
        <v/>
      </c>
      <c r="AY85" s="3">
        <f>Legacy!AY46+Paid!AY43+React!AY76</f>
        <v/>
      </c>
      <c r="AZ85" s="3">
        <f>Legacy!AZ46+Paid!AZ43+React!AZ76</f>
        <v/>
      </c>
      <c r="BA85" s="3">
        <f>Legacy!BA46+Paid!BA43+React!BA76</f>
        <v/>
      </c>
      <c r="BB85" s="3">
        <f>Legacy!BB46+Paid!BB43+React!BB76</f>
        <v/>
      </c>
      <c r="BC85" s="3">
        <f>Legacy!BC46+Paid!BC43+React!BC76</f>
        <v/>
      </c>
      <c r="BD85" s="3">
        <f>Legacy!BD46+Paid!BD43+React!BD76</f>
        <v/>
      </c>
      <c r="BE85" s="3">
        <f>Legacy!BE46+Paid!BE43+React!BE76</f>
        <v/>
      </c>
      <c r="BF85" s="3">
        <f>Legacy!BF46+Paid!BF43+React!BF76</f>
        <v/>
      </c>
      <c r="BG85" s="3">
        <f>Legacy!BG46+Paid!BG43+React!BG76</f>
        <v/>
      </c>
      <c r="BH85" s="3">
        <f>Legacy!BH46+Paid!BH43+React!BH76</f>
        <v/>
      </c>
      <c r="BI85" s="3">
        <f>Legacy!BI46+Paid!BI43+React!BI76</f>
        <v/>
      </c>
      <c r="BJ85" s="3">
        <f>Legacy!BJ46+Paid!BJ43+React!BJ76</f>
        <v/>
      </c>
      <c r="BK85" s="3">
        <f>Legacy!BK46+Paid!BK43+React!BK76</f>
        <v/>
      </c>
      <c r="BL85" s="3">
        <f>Legacy!BL46+Paid!BL43+React!BL76</f>
        <v/>
      </c>
      <c r="BM85" s="3">
        <f>Legacy!BM46+Paid!BM43+React!BM76</f>
        <v/>
      </c>
      <c r="BN85" s="3">
        <f>Legacy!BN46+Paid!BN43+React!BN76</f>
        <v/>
      </c>
      <c r="BO85" s="3">
        <f>Legacy!BO46+Paid!BO43+React!BO76</f>
        <v/>
      </c>
      <c r="BP85" s="3">
        <f>Legacy!BP46+Paid!BP43+React!BP76</f>
        <v/>
      </c>
      <c r="BQ85" s="3">
        <f>Legacy!BQ46+Paid!BQ43+React!BQ76</f>
        <v/>
      </c>
      <c r="BR85" s="3">
        <f>Legacy!BR46+Paid!BR43+React!BR76</f>
        <v/>
      </c>
      <c r="BS85" s="3">
        <f>Legacy!BS46+Paid!BS43+React!BS76</f>
        <v/>
      </c>
      <c r="BT85" s="3">
        <f>Legacy!BT46+Paid!BT43+React!BT76</f>
        <v/>
      </c>
      <c r="BU85" s="3">
        <f>Legacy!BU46+Paid!BU43+React!BU76</f>
        <v/>
      </c>
      <c r="BV85" s="3">
        <f>Legacy!BV46+Paid!BV43+React!BV76</f>
        <v/>
      </c>
    </row>
    <row r="87">
      <c r="A87" t="inlineStr">
        <is>
          <t>opening</t>
        </is>
      </c>
      <c r="B87" t="inlineStr">
        <is>
          <t>LATAM|BASIC_A</t>
        </is>
      </c>
      <c r="C87" s="3">
        <f>Legacy!$C$49</f>
        <v/>
      </c>
      <c r="D87" s="3">
        <f>C91</f>
        <v/>
      </c>
      <c r="E87" s="3">
        <f>D91</f>
        <v/>
      </c>
      <c r="F87" s="3">
        <f>E91</f>
        <v/>
      </c>
      <c r="G87" s="3">
        <f>F91</f>
        <v/>
      </c>
      <c r="H87" s="3">
        <f>G91</f>
        <v/>
      </c>
      <c r="I87" s="3">
        <f>H91</f>
        <v/>
      </c>
      <c r="J87" s="3">
        <f>I91</f>
        <v/>
      </c>
      <c r="K87" s="3">
        <f>J91</f>
        <v/>
      </c>
      <c r="L87" s="3">
        <f>K91</f>
        <v/>
      </c>
      <c r="M87" s="3">
        <f>L91</f>
        <v/>
      </c>
      <c r="N87" s="3">
        <f>M91</f>
        <v/>
      </c>
      <c r="O87" s="3">
        <f>N91</f>
        <v/>
      </c>
      <c r="P87" s="3">
        <f>O91</f>
        <v/>
      </c>
      <c r="Q87" s="3">
        <f>P91</f>
        <v/>
      </c>
      <c r="R87" s="3">
        <f>Q91</f>
        <v/>
      </c>
      <c r="S87" s="3">
        <f>R91</f>
        <v/>
      </c>
      <c r="T87" s="3">
        <f>S91</f>
        <v/>
      </c>
      <c r="U87" s="3">
        <f>T91</f>
        <v/>
      </c>
      <c r="V87" s="3">
        <f>U91</f>
        <v/>
      </c>
      <c r="W87" s="3">
        <f>V91</f>
        <v/>
      </c>
      <c r="X87" s="3">
        <f>W91</f>
        <v/>
      </c>
      <c r="Y87" s="3">
        <f>X91</f>
        <v/>
      </c>
      <c r="Z87" s="3">
        <f>Y91</f>
        <v/>
      </c>
      <c r="AA87" s="3">
        <f>Z91</f>
        <v/>
      </c>
      <c r="AB87" s="3">
        <f>AA91</f>
        <v/>
      </c>
      <c r="AC87" s="3">
        <f>AB91</f>
        <v/>
      </c>
      <c r="AD87" s="3">
        <f>AC91</f>
        <v/>
      </c>
      <c r="AE87" s="3">
        <f>AD91</f>
        <v/>
      </c>
      <c r="AF87" s="3">
        <f>AE91</f>
        <v/>
      </c>
      <c r="AG87" s="3">
        <f>AF91</f>
        <v/>
      </c>
      <c r="AH87" s="3">
        <f>AG91</f>
        <v/>
      </c>
      <c r="AI87" s="3">
        <f>AH91</f>
        <v/>
      </c>
      <c r="AJ87" s="3">
        <f>AI91</f>
        <v/>
      </c>
      <c r="AK87" s="3">
        <f>AJ91</f>
        <v/>
      </c>
      <c r="AL87" s="3">
        <f>AK91</f>
        <v/>
      </c>
      <c r="AM87" s="3">
        <f>AL91</f>
        <v/>
      </c>
      <c r="AN87" s="3">
        <f>AM91</f>
        <v/>
      </c>
      <c r="AO87" s="3">
        <f>AN91</f>
        <v/>
      </c>
      <c r="AP87" s="3">
        <f>AO91</f>
        <v/>
      </c>
      <c r="AQ87" s="3">
        <f>AP91</f>
        <v/>
      </c>
      <c r="AR87" s="3">
        <f>AQ91</f>
        <v/>
      </c>
      <c r="AS87" s="3">
        <f>AR91</f>
        <v/>
      </c>
      <c r="AT87" s="3">
        <f>AS91</f>
        <v/>
      </c>
      <c r="AU87" s="3">
        <f>AT91</f>
        <v/>
      </c>
      <c r="AV87" s="3">
        <f>AU91</f>
        <v/>
      </c>
      <c r="AW87" s="3">
        <f>AV91</f>
        <v/>
      </c>
      <c r="AX87" s="3">
        <f>AW91</f>
        <v/>
      </c>
      <c r="AY87" s="3">
        <f>AX91</f>
        <v/>
      </c>
      <c r="AZ87" s="3">
        <f>AY91</f>
        <v/>
      </c>
      <c r="BA87" s="3">
        <f>AZ91</f>
        <v/>
      </c>
      <c r="BB87" s="3">
        <f>BA91</f>
        <v/>
      </c>
      <c r="BC87" s="3">
        <f>BB91</f>
        <v/>
      </c>
      <c r="BD87" s="3">
        <f>BC91</f>
        <v/>
      </c>
      <c r="BE87" s="3">
        <f>BD91</f>
        <v/>
      </c>
      <c r="BF87" s="3">
        <f>BE91</f>
        <v/>
      </c>
      <c r="BG87" s="3">
        <f>BF91</f>
        <v/>
      </c>
      <c r="BH87" s="3">
        <f>BG91</f>
        <v/>
      </c>
      <c r="BI87" s="3">
        <f>BH91</f>
        <v/>
      </c>
      <c r="BJ87" s="3">
        <f>BI91</f>
        <v/>
      </c>
      <c r="BK87" s="3">
        <f>BJ91</f>
        <v/>
      </c>
      <c r="BL87" s="3">
        <f>BK91</f>
        <v/>
      </c>
      <c r="BM87" s="3">
        <f>BL91</f>
        <v/>
      </c>
      <c r="BN87" s="3">
        <f>BM91</f>
        <v/>
      </c>
      <c r="BO87" s="3">
        <f>BN91</f>
        <v/>
      </c>
      <c r="BP87" s="3">
        <f>BO91</f>
        <v/>
      </c>
      <c r="BQ87" s="3">
        <f>BP91</f>
        <v/>
      </c>
      <c r="BR87" s="3">
        <f>BQ91</f>
        <v/>
      </c>
      <c r="BS87" s="3">
        <f>BR91</f>
        <v/>
      </c>
      <c r="BT87" s="3">
        <f>BS91</f>
        <v/>
      </c>
      <c r="BU87" s="3">
        <f>BT91</f>
        <v/>
      </c>
      <c r="BV87" s="3">
        <f>BU91</f>
        <v/>
      </c>
    </row>
    <row r="88">
      <c r="A88" t="inlineStr">
        <is>
          <t>new</t>
        </is>
      </c>
      <c r="B88" t="inlineStr">
        <is>
          <t>LATAM|BASIC_A</t>
        </is>
      </c>
      <c r="C88" s="3">
        <f>Adds!C126+IF(Params!$B$9=1,Adds!C125,Adds!C128)</f>
        <v/>
      </c>
      <c r="D88" s="3">
        <f>Adds!D126+IF(Params!$B$9=1,Adds!D125,Adds!D128)</f>
        <v/>
      </c>
      <c r="E88" s="3">
        <f>Adds!E126+IF(Params!$B$9=1,Adds!E125,Adds!E128)</f>
        <v/>
      </c>
      <c r="F88" s="3">
        <f>Adds!F126+IF(Params!$B$9=1,Adds!F125,Adds!F128)</f>
        <v/>
      </c>
      <c r="G88" s="3">
        <f>Adds!G126+IF(Params!$B$9=1,Adds!G125,Adds!G128)</f>
        <v/>
      </c>
      <c r="H88" s="3">
        <f>Adds!H126+IF(Params!$B$9=1,Adds!H125,Adds!H128)</f>
        <v/>
      </c>
      <c r="I88" s="3">
        <f>Adds!I126+IF(Params!$B$9=1,Adds!I125,Adds!I128)</f>
        <v/>
      </c>
      <c r="J88" s="3">
        <f>Adds!J126+IF(Params!$B$9=1,Adds!J125,Adds!J128)</f>
        <v/>
      </c>
      <c r="K88" s="3">
        <f>Adds!K126+IF(Params!$B$9=1,Adds!K125,Adds!K128)</f>
        <v/>
      </c>
      <c r="L88" s="3">
        <f>Adds!L126+IF(Params!$B$9=1,Adds!L125,Adds!L128)</f>
        <v/>
      </c>
      <c r="M88" s="3">
        <f>Adds!M126+IF(Params!$B$9=1,Adds!M125,Adds!M128)</f>
        <v/>
      </c>
      <c r="N88" s="3">
        <f>Adds!N126+IF(Params!$B$9=1,Adds!N125,Adds!N128)</f>
        <v/>
      </c>
      <c r="O88" s="3">
        <f>Adds!O126+IF(Params!$B$9=1,Adds!O125,Adds!O128)</f>
        <v/>
      </c>
      <c r="P88" s="3">
        <f>Adds!P126+IF(Params!$B$9=1,Adds!P125,Adds!P128)</f>
        <v/>
      </c>
      <c r="Q88" s="3">
        <f>Adds!Q126+IF(Params!$B$9=1,Adds!Q125,Adds!Q128)</f>
        <v/>
      </c>
      <c r="R88" s="3">
        <f>Adds!R126+IF(Params!$B$9=1,Adds!R125,Adds!R128)</f>
        <v/>
      </c>
      <c r="S88" s="3">
        <f>Adds!S126+IF(Params!$B$9=1,Adds!S125,Adds!S128)</f>
        <v/>
      </c>
      <c r="T88" s="3">
        <f>Adds!T126+IF(Params!$B$9=1,Adds!T125,Adds!T128)</f>
        <v/>
      </c>
      <c r="U88" s="3">
        <f>Adds!U126+IF(Params!$B$9=1,Adds!U125,Adds!U128)</f>
        <v/>
      </c>
      <c r="V88" s="3">
        <f>Adds!V126+IF(Params!$B$9=1,Adds!V125,Adds!V128)</f>
        <v/>
      </c>
      <c r="W88" s="3">
        <f>Adds!W126+IF(Params!$B$9=1,Adds!W125,Adds!W128)</f>
        <v/>
      </c>
      <c r="X88" s="3">
        <f>Adds!X126+IF(Params!$B$9=1,Adds!X125,Adds!X128)</f>
        <v/>
      </c>
      <c r="Y88" s="3">
        <f>Adds!Y126+IF(Params!$B$9=1,Adds!Y125,Adds!Y128)</f>
        <v/>
      </c>
      <c r="Z88" s="3">
        <f>Adds!Z126+IF(Params!$B$9=1,Adds!Z125,Adds!Z128)</f>
        <v/>
      </c>
      <c r="AA88" s="3">
        <f>Adds!AA126+IF(Params!$B$9=1,Adds!AA125,Adds!AA128)</f>
        <v/>
      </c>
      <c r="AB88" s="3">
        <f>Adds!AB126+IF(Params!$B$9=1,Adds!AB125,Adds!AB128)</f>
        <v/>
      </c>
      <c r="AC88" s="3">
        <f>Adds!AC126+IF(Params!$B$9=1,Adds!AC125,Adds!AC128)</f>
        <v/>
      </c>
      <c r="AD88" s="3">
        <f>Adds!AD126+IF(Params!$B$9=1,Adds!AD125,Adds!AD128)</f>
        <v/>
      </c>
      <c r="AE88" s="3">
        <f>Adds!AE126+IF(Params!$B$9=1,Adds!AE125,Adds!AE128)</f>
        <v/>
      </c>
      <c r="AF88" s="3">
        <f>Adds!AF126+IF(Params!$B$9=1,Adds!AF125,Adds!AF128)</f>
        <v/>
      </c>
      <c r="AG88" s="3">
        <f>Adds!AG126+IF(Params!$B$9=1,Adds!AG125,Adds!AG128)</f>
        <v/>
      </c>
      <c r="AH88" s="3">
        <f>Adds!AH126+IF(Params!$B$9=1,Adds!AH125,Adds!AH128)</f>
        <v/>
      </c>
      <c r="AI88" s="3">
        <f>Adds!AI126+IF(Params!$B$9=1,Adds!AI125,Adds!AI128)</f>
        <v/>
      </c>
      <c r="AJ88" s="3">
        <f>Adds!AJ126+IF(Params!$B$9=1,Adds!AJ125,Adds!AJ128)</f>
        <v/>
      </c>
      <c r="AK88" s="3">
        <f>Adds!AK126+IF(Params!$B$9=1,Adds!AK125,Adds!AK128)</f>
        <v/>
      </c>
      <c r="AL88" s="3">
        <f>Adds!AL126+IF(Params!$B$9=1,Adds!AL125,Adds!AL128)</f>
        <v/>
      </c>
      <c r="AM88" s="3">
        <f>Adds!AM126+IF(Params!$B$9=1,Adds!AM125,Adds!AM128)</f>
        <v/>
      </c>
      <c r="AN88" s="3">
        <f>Adds!AN126+IF(Params!$B$9=1,Adds!AN125,Adds!AN128)</f>
        <v/>
      </c>
      <c r="AO88" s="3">
        <f>Adds!AO126+IF(Params!$B$9=1,Adds!AO125,Adds!AO128)</f>
        <v/>
      </c>
      <c r="AP88" s="3">
        <f>Adds!AP126+IF(Params!$B$9=1,Adds!AP125,Adds!AP128)</f>
        <v/>
      </c>
      <c r="AQ88" s="3">
        <f>Adds!AQ126+IF(Params!$B$9=1,Adds!AQ125,Adds!AQ128)</f>
        <v/>
      </c>
      <c r="AR88" s="3">
        <f>Adds!AR126+IF(Params!$B$9=1,Adds!AR125,Adds!AR128)</f>
        <v/>
      </c>
      <c r="AS88" s="3">
        <f>Adds!AS126+IF(Params!$B$9=1,Adds!AS125,Adds!AS128)</f>
        <v/>
      </c>
      <c r="AT88" s="3">
        <f>Adds!AT126+IF(Params!$B$9=1,Adds!AT125,Adds!AT128)</f>
        <v/>
      </c>
      <c r="AU88" s="3">
        <f>Adds!AU126+IF(Params!$B$9=1,Adds!AU125,Adds!AU128)</f>
        <v/>
      </c>
      <c r="AV88" s="3">
        <f>Adds!AV126+IF(Params!$B$9=1,Adds!AV125,Adds!AV128)</f>
        <v/>
      </c>
      <c r="AW88" s="3">
        <f>Adds!AW126+IF(Params!$B$9=1,Adds!AW125,Adds!AW128)</f>
        <v/>
      </c>
      <c r="AX88" s="3">
        <f>Adds!AX126+IF(Params!$B$9=1,Adds!AX125,Adds!AX128)</f>
        <v/>
      </c>
      <c r="AY88" s="3">
        <f>Adds!AY126+IF(Params!$B$9=1,Adds!AY125,Adds!AY128)</f>
        <v/>
      </c>
      <c r="AZ88" s="3">
        <f>Adds!AZ126+IF(Params!$B$9=1,Adds!AZ125,Adds!AZ128)</f>
        <v/>
      </c>
      <c r="BA88" s="3">
        <f>Adds!BA126+IF(Params!$B$9=1,Adds!BA125,Adds!BA128)</f>
        <v/>
      </c>
      <c r="BB88" s="3">
        <f>Adds!BB126+IF(Params!$B$9=1,Adds!BB125,Adds!BB128)</f>
        <v/>
      </c>
      <c r="BC88" s="3">
        <f>Adds!BC126+IF(Params!$B$9=1,Adds!BC125,Adds!BC128)</f>
        <v/>
      </c>
      <c r="BD88" s="3">
        <f>Adds!BD126+IF(Params!$B$9=1,Adds!BD125,Adds!BD128)</f>
        <v/>
      </c>
      <c r="BE88" s="3">
        <f>Adds!BE126+IF(Params!$B$9=1,Adds!BE125,Adds!BE128)</f>
        <v/>
      </c>
      <c r="BF88" s="3">
        <f>Adds!BF126+IF(Params!$B$9=1,Adds!BF125,Adds!BF128)</f>
        <v/>
      </c>
      <c r="BG88" s="3">
        <f>Adds!BG126+IF(Params!$B$9=1,Adds!BG125,Adds!BG128)</f>
        <v/>
      </c>
      <c r="BH88" s="3">
        <f>Adds!BH126+IF(Params!$B$9=1,Adds!BH125,Adds!BH128)</f>
        <v/>
      </c>
      <c r="BI88" s="3">
        <f>Adds!BI126+IF(Params!$B$9=1,Adds!BI125,Adds!BI128)</f>
        <v/>
      </c>
      <c r="BJ88" s="3">
        <f>Adds!BJ126+IF(Params!$B$9=1,Adds!BJ125,Adds!BJ128)</f>
        <v/>
      </c>
      <c r="BK88" s="3">
        <f>Adds!BK126+IF(Params!$B$9=1,Adds!BK125,Adds!BK128)</f>
        <v/>
      </c>
      <c r="BL88" s="3">
        <f>Adds!BL126+IF(Params!$B$9=1,Adds!BL125,Adds!BL128)</f>
        <v/>
      </c>
      <c r="BM88" s="3">
        <f>Adds!BM126+IF(Params!$B$9=1,Adds!BM125,Adds!BM128)</f>
        <v/>
      </c>
      <c r="BN88" s="3">
        <f>Adds!BN126+IF(Params!$B$9=1,Adds!BN125,Adds!BN128)</f>
        <v/>
      </c>
      <c r="BO88" s="3">
        <f>Adds!BO126+IF(Params!$B$9=1,Adds!BO125,Adds!BO128)</f>
        <v/>
      </c>
      <c r="BP88" s="3">
        <f>Adds!BP126+IF(Params!$B$9=1,Adds!BP125,Adds!BP128)</f>
        <v/>
      </c>
      <c r="BQ88" s="3">
        <f>Adds!BQ126+IF(Params!$B$9=1,Adds!BQ125,Adds!BQ128)</f>
        <v/>
      </c>
      <c r="BR88" s="3">
        <f>Adds!BR126+IF(Params!$B$9=1,Adds!BR125,Adds!BR128)</f>
        <v/>
      </c>
      <c r="BS88" s="3">
        <f>Adds!BS126+IF(Params!$B$9=1,Adds!BS125,Adds!BS128)</f>
        <v/>
      </c>
      <c r="BT88" s="3">
        <f>Adds!BT126+IF(Params!$B$9=1,Adds!BT125,Adds!BT128)</f>
        <v/>
      </c>
      <c r="BU88" s="3">
        <f>Adds!BU126+IF(Params!$B$9=1,Adds!BU125,Adds!BU128)</f>
        <v/>
      </c>
      <c r="BV88" s="3">
        <f>Adds!BV126+IF(Params!$B$9=1,Adds!BV125,Adds!BV128)</f>
        <v/>
      </c>
    </row>
    <row r="89">
      <c r="A89" t="inlineStr">
        <is>
          <t>reactivated</t>
        </is>
      </c>
      <c r="B89" t="inlineStr">
        <is>
          <t>LATAM|BASIC_A</t>
        </is>
      </c>
      <c r="C89" s="3">
        <f>React!C82</f>
        <v/>
      </c>
      <c r="D89" s="3">
        <f>React!D82</f>
        <v/>
      </c>
      <c r="E89" s="3">
        <f>React!E82</f>
        <v/>
      </c>
      <c r="F89" s="3">
        <f>React!F82</f>
        <v/>
      </c>
      <c r="G89" s="3">
        <f>React!G82</f>
        <v/>
      </c>
      <c r="H89" s="3">
        <f>React!H82</f>
        <v/>
      </c>
      <c r="I89" s="3">
        <f>React!I82</f>
        <v/>
      </c>
      <c r="J89" s="3">
        <f>React!J82</f>
        <v/>
      </c>
      <c r="K89" s="3">
        <f>React!K82</f>
        <v/>
      </c>
      <c r="L89" s="3">
        <f>React!L82</f>
        <v/>
      </c>
      <c r="M89" s="3">
        <f>React!M82</f>
        <v/>
      </c>
      <c r="N89" s="3">
        <f>React!N82</f>
        <v/>
      </c>
      <c r="O89" s="3">
        <f>React!O82</f>
        <v/>
      </c>
      <c r="P89" s="3">
        <f>React!P82</f>
        <v/>
      </c>
      <c r="Q89" s="3">
        <f>React!Q82</f>
        <v/>
      </c>
      <c r="R89" s="3">
        <f>React!R82</f>
        <v/>
      </c>
      <c r="S89" s="3">
        <f>React!S82</f>
        <v/>
      </c>
      <c r="T89" s="3">
        <f>React!T82</f>
        <v/>
      </c>
      <c r="U89" s="3">
        <f>React!U82</f>
        <v/>
      </c>
      <c r="V89" s="3">
        <f>React!V82</f>
        <v/>
      </c>
      <c r="W89" s="3">
        <f>React!W82</f>
        <v/>
      </c>
      <c r="X89" s="3">
        <f>React!X82</f>
        <v/>
      </c>
      <c r="Y89" s="3">
        <f>React!Y82</f>
        <v/>
      </c>
      <c r="Z89" s="3">
        <f>React!Z82</f>
        <v/>
      </c>
      <c r="AA89" s="3">
        <f>React!AA82</f>
        <v/>
      </c>
      <c r="AB89" s="3">
        <f>React!AB82</f>
        <v/>
      </c>
      <c r="AC89" s="3">
        <f>React!AC82</f>
        <v/>
      </c>
      <c r="AD89" s="3">
        <f>React!AD82</f>
        <v/>
      </c>
      <c r="AE89" s="3">
        <f>React!AE82</f>
        <v/>
      </c>
      <c r="AF89" s="3">
        <f>React!AF82</f>
        <v/>
      </c>
      <c r="AG89" s="3">
        <f>React!AG82</f>
        <v/>
      </c>
      <c r="AH89" s="3">
        <f>React!AH82</f>
        <v/>
      </c>
      <c r="AI89" s="3">
        <f>React!AI82</f>
        <v/>
      </c>
      <c r="AJ89" s="3">
        <f>React!AJ82</f>
        <v/>
      </c>
      <c r="AK89" s="3">
        <f>React!AK82</f>
        <v/>
      </c>
      <c r="AL89" s="3">
        <f>React!AL82</f>
        <v/>
      </c>
      <c r="AM89" s="3">
        <f>React!AM82</f>
        <v/>
      </c>
      <c r="AN89" s="3">
        <f>React!AN82</f>
        <v/>
      </c>
      <c r="AO89" s="3">
        <f>React!AO82</f>
        <v/>
      </c>
      <c r="AP89" s="3">
        <f>React!AP82</f>
        <v/>
      </c>
      <c r="AQ89" s="3">
        <f>React!AQ82</f>
        <v/>
      </c>
      <c r="AR89" s="3">
        <f>React!AR82</f>
        <v/>
      </c>
      <c r="AS89" s="3">
        <f>React!AS82</f>
        <v/>
      </c>
      <c r="AT89" s="3">
        <f>React!AT82</f>
        <v/>
      </c>
      <c r="AU89" s="3">
        <f>React!AU82</f>
        <v/>
      </c>
      <c r="AV89" s="3">
        <f>React!AV82</f>
        <v/>
      </c>
      <c r="AW89" s="3">
        <f>React!AW82</f>
        <v/>
      </c>
      <c r="AX89" s="3">
        <f>React!AX82</f>
        <v/>
      </c>
      <c r="AY89" s="3">
        <f>React!AY82</f>
        <v/>
      </c>
      <c r="AZ89" s="3">
        <f>React!AZ82</f>
        <v/>
      </c>
      <c r="BA89" s="3">
        <f>React!BA82</f>
        <v/>
      </c>
      <c r="BB89" s="3">
        <f>React!BB82</f>
        <v/>
      </c>
      <c r="BC89" s="3">
        <f>React!BC82</f>
        <v/>
      </c>
      <c r="BD89" s="3">
        <f>React!BD82</f>
        <v/>
      </c>
      <c r="BE89" s="3">
        <f>React!BE82</f>
        <v/>
      </c>
      <c r="BF89" s="3">
        <f>React!BF82</f>
        <v/>
      </c>
      <c r="BG89" s="3">
        <f>React!BG82</f>
        <v/>
      </c>
      <c r="BH89" s="3">
        <f>React!BH82</f>
        <v/>
      </c>
      <c r="BI89" s="3">
        <f>React!BI82</f>
        <v/>
      </c>
      <c r="BJ89" s="3">
        <f>React!BJ82</f>
        <v/>
      </c>
      <c r="BK89" s="3">
        <f>React!BK82</f>
        <v/>
      </c>
      <c r="BL89" s="3">
        <f>React!BL82</f>
        <v/>
      </c>
      <c r="BM89" s="3">
        <f>React!BM82</f>
        <v/>
      </c>
      <c r="BN89" s="3">
        <f>React!BN82</f>
        <v/>
      </c>
      <c r="BO89" s="3">
        <f>React!BO82</f>
        <v/>
      </c>
      <c r="BP89" s="3">
        <f>React!BP82</f>
        <v/>
      </c>
      <c r="BQ89" s="3">
        <f>React!BQ82</f>
        <v/>
      </c>
      <c r="BR89" s="3">
        <f>React!BR82</f>
        <v/>
      </c>
      <c r="BS89" s="3">
        <f>React!BS82</f>
        <v/>
      </c>
      <c r="BT89" s="3">
        <f>React!BT82</f>
        <v/>
      </c>
      <c r="BU89" s="3">
        <f>React!BU82</f>
        <v/>
      </c>
      <c r="BV89" s="3">
        <f>React!BV82</f>
        <v/>
      </c>
    </row>
    <row r="90">
      <c r="A90" t="inlineStr">
        <is>
          <t>churned</t>
        </is>
      </c>
      <c r="B90" t="inlineStr">
        <is>
          <t>LATAM|BASIC_A</t>
        </is>
      </c>
      <c r="C90" s="3">
        <f>Legacy!C51+Paid!C49+React!C85+Params!$B$9*Adds!C129</f>
        <v/>
      </c>
      <c r="D90" s="3">
        <f>Legacy!D51+Paid!D49+React!D85+Params!$B$9*Adds!D129</f>
        <v/>
      </c>
      <c r="E90" s="3">
        <f>Legacy!E51+Paid!E49+React!E85+Params!$B$9*Adds!E129</f>
        <v/>
      </c>
      <c r="F90" s="3">
        <f>Legacy!F51+Paid!F49+React!F85+Params!$B$9*Adds!F129</f>
        <v/>
      </c>
      <c r="G90" s="3">
        <f>Legacy!G51+Paid!G49+React!G85+Params!$B$9*Adds!G129</f>
        <v/>
      </c>
      <c r="H90" s="3">
        <f>Legacy!H51+Paid!H49+React!H85+Params!$B$9*Adds!H129</f>
        <v/>
      </c>
      <c r="I90" s="3">
        <f>Legacy!I51+Paid!I49+React!I85+Params!$B$9*Adds!I129</f>
        <v/>
      </c>
      <c r="J90" s="3">
        <f>Legacy!J51+Paid!J49+React!J85+Params!$B$9*Adds!J129</f>
        <v/>
      </c>
      <c r="K90" s="3">
        <f>Legacy!K51+Paid!K49+React!K85+Params!$B$9*Adds!K129</f>
        <v/>
      </c>
      <c r="L90" s="3">
        <f>Legacy!L51+Paid!L49+React!L85+Params!$B$9*Adds!L129</f>
        <v/>
      </c>
      <c r="M90" s="3">
        <f>Legacy!M51+Paid!M49+React!M85+Params!$B$9*Adds!M129</f>
        <v/>
      </c>
      <c r="N90" s="3">
        <f>Legacy!N51+Paid!N49+React!N85+Params!$B$9*Adds!N129</f>
        <v/>
      </c>
      <c r="O90" s="3">
        <f>Legacy!O51+Paid!O49+React!O85+Params!$B$9*Adds!O129</f>
        <v/>
      </c>
      <c r="P90" s="3">
        <f>Legacy!P51+Paid!P49+React!P85+Params!$B$9*Adds!P129</f>
        <v/>
      </c>
      <c r="Q90" s="3">
        <f>Legacy!Q51+Paid!Q49+React!Q85+Params!$B$9*Adds!Q129</f>
        <v/>
      </c>
      <c r="R90" s="3">
        <f>Legacy!R51+Paid!R49+React!R85+Params!$B$9*Adds!R129</f>
        <v/>
      </c>
      <c r="S90" s="3">
        <f>Legacy!S51+Paid!S49+React!S85+Params!$B$9*Adds!S129</f>
        <v/>
      </c>
      <c r="T90" s="3">
        <f>Legacy!T51+Paid!T49+React!T85+Params!$B$9*Adds!T129</f>
        <v/>
      </c>
      <c r="U90" s="3">
        <f>Legacy!U51+Paid!U49+React!U85+Params!$B$9*Adds!U129</f>
        <v/>
      </c>
      <c r="V90" s="3">
        <f>Legacy!V51+Paid!V49+React!V85+Params!$B$9*Adds!V129</f>
        <v/>
      </c>
      <c r="W90" s="3">
        <f>Legacy!W51+Paid!W49+React!W85+Params!$B$9*Adds!W129</f>
        <v/>
      </c>
      <c r="X90" s="3">
        <f>Legacy!X51+Paid!X49+React!X85+Params!$B$9*Adds!X129</f>
        <v/>
      </c>
      <c r="Y90" s="3">
        <f>Legacy!Y51+Paid!Y49+React!Y85+Params!$B$9*Adds!Y129</f>
        <v/>
      </c>
      <c r="Z90" s="3">
        <f>Legacy!Z51+Paid!Z49+React!Z85+Params!$B$9*Adds!Z129</f>
        <v/>
      </c>
      <c r="AA90" s="3">
        <f>Legacy!AA51+Paid!AA49+React!AA85+Params!$B$9*Adds!AA129</f>
        <v/>
      </c>
      <c r="AB90" s="3">
        <f>Legacy!AB51+Paid!AB49+React!AB85+Params!$B$9*Adds!AB129</f>
        <v/>
      </c>
      <c r="AC90" s="3">
        <f>Legacy!AC51+Paid!AC49+React!AC85+Params!$B$9*Adds!AC129</f>
        <v/>
      </c>
      <c r="AD90" s="3">
        <f>Legacy!AD51+Paid!AD49+React!AD85+Params!$B$9*Adds!AD129</f>
        <v/>
      </c>
      <c r="AE90" s="3">
        <f>Legacy!AE51+Paid!AE49+React!AE85+Params!$B$9*Adds!AE129</f>
        <v/>
      </c>
      <c r="AF90" s="3">
        <f>Legacy!AF51+Paid!AF49+React!AF85+Params!$B$9*Adds!AF129</f>
        <v/>
      </c>
      <c r="AG90" s="3">
        <f>Legacy!AG51+Paid!AG49+React!AG85+Params!$B$9*Adds!AG129</f>
        <v/>
      </c>
      <c r="AH90" s="3">
        <f>Legacy!AH51+Paid!AH49+React!AH85+Params!$B$9*Adds!AH129</f>
        <v/>
      </c>
      <c r="AI90" s="3">
        <f>Legacy!AI51+Paid!AI49+React!AI85+Params!$B$9*Adds!AI129</f>
        <v/>
      </c>
      <c r="AJ90" s="3">
        <f>Legacy!AJ51+Paid!AJ49+React!AJ85+Params!$B$9*Adds!AJ129</f>
        <v/>
      </c>
      <c r="AK90" s="3">
        <f>Legacy!AK51+Paid!AK49+React!AK85+Params!$B$9*Adds!AK129</f>
        <v/>
      </c>
      <c r="AL90" s="3">
        <f>Legacy!AL51+Paid!AL49+React!AL85+Params!$B$9*Adds!AL129</f>
        <v/>
      </c>
      <c r="AM90" s="3">
        <f>Legacy!AM51+Paid!AM49+React!AM85+Params!$B$9*Adds!AM129</f>
        <v/>
      </c>
      <c r="AN90" s="3">
        <f>Legacy!AN51+Paid!AN49+React!AN85+Params!$B$9*Adds!AN129</f>
        <v/>
      </c>
      <c r="AO90" s="3">
        <f>Legacy!AO51+Paid!AO49+React!AO85+Params!$B$9*Adds!AO129</f>
        <v/>
      </c>
      <c r="AP90" s="3">
        <f>Legacy!AP51+Paid!AP49+React!AP85+Params!$B$9*Adds!AP129</f>
        <v/>
      </c>
      <c r="AQ90" s="3">
        <f>Legacy!AQ51+Paid!AQ49+React!AQ85+Params!$B$9*Adds!AQ129</f>
        <v/>
      </c>
      <c r="AR90" s="3">
        <f>Legacy!AR51+Paid!AR49+React!AR85+Params!$B$9*Adds!AR129</f>
        <v/>
      </c>
      <c r="AS90" s="3">
        <f>Legacy!AS51+Paid!AS49+React!AS85+Params!$B$9*Adds!AS129</f>
        <v/>
      </c>
      <c r="AT90" s="3">
        <f>Legacy!AT51+Paid!AT49+React!AT85+Params!$B$9*Adds!AT129</f>
        <v/>
      </c>
      <c r="AU90" s="3">
        <f>Legacy!AU51+Paid!AU49+React!AU85+Params!$B$9*Adds!AU129</f>
        <v/>
      </c>
      <c r="AV90" s="3">
        <f>Legacy!AV51+Paid!AV49+React!AV85+Params!$B$9*Adds!AV129</f>
        <v/>
      </c>
      <c r="AW90" s="3">
        <f>Legacy!AW51+Paid!AW49+React!AW85+Params!$B$9*Adds!AW129</f>
        <v/>
      </c>
      <c r="AX90" s="3">
        <f>Legacy!AX51+Paid!AX49+React!AX85+Params!$B$9*Adds!AX129</f>
        <v/>
      </c>
      <c r="AY90" s="3">
        <f>Legacy!AY51+Paid!AY49+React!AY85+Params!$B$9*Adds!AY129</f>
        <v/>
      </c>
      <c r="AZ90" s="3">
        <f>Legacy!AZ51+Paid!AZ49+React!AZ85+Params!$B$9*Adds!AZ129</f>
        <v/>
      </c>
      <c r="BA90" s="3">
        <f>Legacy!BA51+Paid!BA49+React!BA85+Params!$B$9*Adds!BA129</f>
        <v/>
      </c>
      <c r="BB90" s="3">
        <f>Legacy!BB51+Paid!BB49+React!BB85+Params!$B$9*Adds!BB129</f>
        <v/>
      </c>
      <c r="BC90" s="3">
        <f>Legacy!BC51+Paid!BC49+React!BC85+Params!$B$9*Adds!BC129</f>
        <v/>
      </c>
      <c r="BD90" s="3">
        <f>Legacy!BD51+Paid!BD49+React!BD85+Params!$B$9*Adds!BD129</f>
        <v/>
      </c>
      <c r="BE90" s="3">
        <f>Legacy!BE51+Paid!BE49+React!BE85+Params!$B$9*Adds!BE129</f>
        <v/>
      </c>
      <c r="BF90" s="3">
        <f>Legacy!BF51+Paid!BF49+React!BF85+Params!$B$9*Adds!BF129</f>
        <v/>
      </c>
      <c r="BG90" s="3">
        <f>Legacy!BG51+Paid!BG49+React!BG85+Params!$B$9*Adds!BG129</f>
        <v/>
      </c>
      <c r="BH90" s="3">
        <f>Legacy!BH51+Paid!BH49+React!BH85+Params!$B$9*Adds!BH129</f>
        <v/>
      </c>
      <c r="BI90" s="3">
        <f>Legacy!BI51+Paid!BI49+React!BI85+Params!$B$9*Adds!BI129</f>
        <v/>
      </c>
      <c r="BJ90" s="3">
        <f>Legacy!BJ51+Paid!BJ49+React!BJ85+Params!$B$9*Adds!BJ129</f>
        <v/>
      </c>
      <c r="BK90" s="3">
        <f>Legacy!BK51+Paid!BK49+React!BK85+Params!$B$9*Adds!BK129</f>
        <v/>
      </c>
      <c r="BL90" s="3">
        <f>Legacy!BL51+Paid!BL49+React!BL85+Params!$B$9*Adds!BL129</f>
        <v/>
      </c>
      <c r="BM90" s="3">
        <f>Legacy!BM51+Paid!BM49+React!BM85+Params!$B$9*Adds!BM129</f>
        <v/>
      </c>
      <c r="BN90" s="3">
        <f>Legacy!BN51+Paid!BN49+React!BN85+Params!$B$9*Adds!BN129</f>
        <v/>
      </c>
      <c r="BO90" s="3">
        <f>Legacy!BO51+Paid!BO49+React!BO85+Params!$B$9*Adds!BO129</f>
        <v/>
      </c>
      <c r="BP90" s="3">
        <f>Legacy!BP51+Paid!BP49+React!BP85+Params!$B$9*Adds!BP129</f>
        <v/>
      </c>
      <c r="BQ90" s="3">
        <f>Legacy!BQ51+Paid!BQ49+React!BQ85+Params!$B$9*Adds!BQ129</f>
        <v/>
      </c>
      <c r="BR90" s="3">
        <f>Legacy!BR51+Paid!BR49+React!BR85+Params!$B$9*Adds!BR129</f>
        <v/>
      </c>
      <c r="BS90" s="3">
        <f>Legacy!BS51+Paid!BS49+React!BS85+Params!$B$9*Adds!BS129</f>
        <v/>
      </c>
      <c r="BT90" s="3">
        <f>Legacy!BT51+Paid!BT49+React!BT85+Params!$B$9*Adds!BT129</f>
        <v/>
      </c>
      <c r="BU90" s="3">
        <f>Legacy!BU51+Paid!BU49+React!BU85+Params!$B$9*Adds!BU129</f>
        <v/>
      </c>
      <c r="BV90" s="3">
        <f>Legacy!BV51+Paid!BV49+React!BV85+Params!$B$9*Adds!BV129</f>
        <v/>
      </c>
    </row>
    <row r="91">
      <c r="A91" t="inlineStr">
        <is>
          <t>closing</t>
        </is>
      </c>
      <c r="B91" t="inlineStr">
        <is>
          <t>LATAM|BASIC_A</t>
        </is>
      </c>
      <c r="C91" s="3">
        <f>C92+Params!$B$9*Adds!C132</f>
        <v/>
      </c>
      <c r="D91" s="3">
        <f>D92+Params!$B$9*Adds!D132</f>
        <v/>
      </c>
      <c r="E91" s="3">
        <f>E92+Params!$B$9*Adds!E132</f>
        <v/>
      </c>
      <c r="F91" s="3">
        <f>F92+Params!$B$9*Adds!F132</f>
        <v/>
      </c>
      <c r="G91" s="3">
        <f>G92+Params!$B$9*Adds!G132</f>
        <v/>
      </c>
      <c r="H91" s="3">
        <f>H92+Params!$B$9*Adds!H132</f>
        <v/>
      </c>
      <c r="I91" s="3">
        <f>I92+Params!$B$9*Adds!I132</f>
        <v/>
      </c>
      <c r="J91" s="3">
        <f>J92+Params!$B$9*Adds!J132</f>
        <v/>
      </c>
      <c r="K91" s="3">
        <f>K92+Params!$B$9*Adds!K132</f>
        <v/>
      </c>
      <c r="L91" s="3">
        <f>L92+Params!$B$9*Adds!L132</f>
        <v/>
      </c>
      <c r="M91" s="3">
        <f>M92+Params!$B$9*Adds!M132</f>
        <v/>
      </c>
      <c r="N91" s="3">
        <f>N92+Params!$B$9*Adds!N132</f>
        <v/>
      </c>
      <c r="O91" s="3">
        <f>O92+Params!$B$9*Adds!O132</f>
        <v/>
      </c>
      <c r="P91" s="3">
        <f>P92+Params!$B$9*Adds!P132</f>
        <v/>
      </c>
      <c r="Q91" s="3">
        <f>Q92+Params!$B$9*Adds!Q132</f>
        <v/>
      </c>
      <c r="R91" s="3">
        <f>R92+Params!$B$9*Adds!R132</f>
        <v/>
      </c>
      <c r="S91" s="3">
        <f>S92+Params!$B$9*Adds!S132</f>
        <v/>
      </c>
      <c r="T91" s="3">
        <f>T92+Params!$B$9*Adds!T132</f>
        <v/>
      </c>
      <c r="U91" s="3">
        <f>U92+Params!$B$9*Adds!U132</f>
        <v/>
      </c>
      <c r="V91" s="3">
        <f>V92+Params!$B$9*Adds!V132</f>
        <v/>
      </c>
      <c r="W91" s="3">
        <f>W92+Params!$B$9*Adds!W132</f>
        <v/>
      </c>
      <c r="X91" s="3">
        <f>X92+Params!$B$9*Adds!X132</f>
        <v/>
      </c>
      <c r="Y91" s="3">
        <f>Y92+Params!$B$9*Adds!Y132</f>
        <v/>
      </c>
      <c r="Z91" s="3">
        <f>Z92+Params!$B$9*Adds!Z132</f>
        <v/>
      </c>
      <c r="AA91" s="3">
        <f>AA92+Params!$B$9*Adds!AA132</f>
        <v/>
      </c>
      <c r="AB91" s="3">
        <f>AB92+Params!$B$9*Adds!AB132</f>
        <v/>
      </c>
      <c r="AC91" s="3">
        <f>AC92+Params!$B$9*Adds!AC132</f>
        <v/>
      </c>
      <c r="AD91" s="3">
        <f>AD92+Params!$B$9*Adds!AD132</f>
        <v/>
      </c>
      <c r="AE91" s="3">
        <f>AE92+Params!$B$9*Adds!AE132</f>
        <v/>
      </c>
      <c r="AF91" s="3">
        <f>AF92+Params!$B$9*Adds!AF132</f>
        <v/>
      </c>
      <c r="AG91" s="3">
        <f>AG92+Params!$B$9*Adds!AG132</f>
        <v/>
      </c>
      <c r="AH91" s="3">
        <f>AH92+Params!$B$9*Adds!AH132</f>
        <v/>
      </c>
      <c r="AI91" s="3">
        <f>AI92+Params!$B$9*Adds!AI132</f>
        <v/>
      </c>
      <c r="AJ91" s="3">
        <f>AJ92+Params!$B$9*Adds!AJ132</f>
        <v/>
      </c>
      <c r="AK91" s="3">
        <f>AK92+Params!$B$9*Adds!AK132</f>
        <v/>
      </c>
      <c r="AL91" s="3">
        <f>AL92+Params!$B$9*Adds!AL132</f>
        <v/>
      </c>
      <c r="AM91" s="3">
        <f>AM92+Params!$B$9*Adds!AM132</f>
        <v/>
      </c>
      <c r="AN91" s="3">
        <f>AN92+Params!$B$9*Adds!AN132</f>
        <v/>
      </c>
      <c r="AO91" s="3">
        <f>AO92+Params!$B$9*Adds!AO132</f>
        <v/>
      </c>
      <c r="AP91" s="3">
        <f>AP92+Params!$B$9*Adds!AP132</f>
        <v/>
      </c>
      <c r="AQ91" s="3">
        <f>AQ92+Params!$B$9*Adds!AQ132</f>
        <v/>
      </c>
      <c r="AR91" s="3">
        <f>AR92+Params!$B$9*Adds!AR132</f>
        <v/>
      </c>
      <c r="AS91" s="3">
        <f>AS92+Params!$B$9*Adds!AS132</f>
        <v/>
      </c>
      <c r="AT91" s="3">
        <f>AT92+Params!$B$9*Adds!AT132</f>
        <v/>
      </c>
      <c r="AU91" s="3">
        <f>AU92+Params!$B$9*Adds!AU132</f>
        <v/>
      </c>
      <c r="AV91" s="3">
        <f>AV92+Params!$B$9*Adds!AV132</f>
        <v/>
      </c>
      <c r="AW91" s="3">
        <f>AW92+Params!$B$9*Adds!AW132</f>
        <v/>
      </c>
      <c r="AX91" s="3">
        <f>AX92+Params!$B$9*Adds!AX132</f>
        <v/>
      </c>
      <c r="AY91" s="3">
        <f>AY92+Params!$B$9*Adds!AY132</f>
        <v/>
      </c>
      <c r="AZ91" s="3">
        <f>AZ92+Params!$B$9*Adds!AZ132</f>
        <v/>
      </c>
      <c r="BA91" s="3">
        <f>BA92+Params!$B$9*Adds!BA132</f>
        <v/>
      </c>
      <c r="BB91" s="3">
        <f>BB92+Params!$B$9*Adds!BB132</f>
        <v/>
      </c>
      <c r="BC91" s="3">
        <f>BC92+Params!$B$9*Adds!BC132</f>
        <v/>
      </c>
      <c r="BD91" s="3">
        <f>BD92+Params!$B$9*Adds!BD132</f>
        <v/>
      </c>
      <c r="BE91" s="3">
        <f>BE92+Params!$B$9*Adds!BE132</f>
        <v/>
      </c>
      <c r="BF91" s="3">
        <f>BF92+Params!$B$9*Adds!BF132</f>
        <v/>
      </c>
      <c r="BG91" s="3">
        <f>BG92+Params!$B$9*Adds!BG132</f>
        <v/>
      </c>
      <c r="BH91" s="3">
        <f>BH92+Params!$B$9*Adds!BH132</f>
        <v/>
      </c>
      <c r="BI91" s="3">
        <f>BI92+Params!$B$9*Adds!BI132</f>
        <v/>
      </c>
      <c r="BJ91" s="3">
        <f>BJ92+Params!$B$9*Adds!BJ132</f>
        <v/>
      </c>
      <c r="BK91" s="3">
        <f>BK92+Params!$B$9*Adds!BK132</f>
        <v/>
      </c>
      <c r="BL91" s="3">
        <f>BL92+Params!$B$9*Adds!BL132</f>
        <v/>
      </c>
      <c r="BM91" s="3">
        <f>BM92+Params!$B$9*Adds!BM132</f>
        <v/>
      </c>
      <c r="BN91" s="3">
        <f>BN92+Params!$B$9*Adds!BN132</f>
        <v/>
      </c>
      <c r="BO91" s="3">
        <f>BO92+Params!$B$9*Adds!BO132</f>
        <v/>
      </c>
      <c r="BP91" s="3">
        <f>BP92+Params!$B$9*Adds!BP132</f>
        <v/>
      </c>
      <c r="BQ91" s="3">
        <f>BQ92+Params!$B$9*Adds!BQ132</f>
        <v/>
      </c>
      <c r="BR91" s="3">
        <f>BR92+Params!$B$9*Adds!BR132</f>
        <v/>
      </c>
      <c r="BS91" s="3">
        <f>BS92+Params!$B$9*Adds!BS132</f>
        <v/>
      </c>
      <c r="BT91" s="3">
        <f>BT92+Params!$B$9*Adds!BT132</f>
        <v/>
      </c>
      <c r="BU91" s="3">
        <f>BU92+Params!$B$9*Adds!BU132</f>
        <v/>
      </c>
      <c r="BV91" s="3">
        <f>BV92+Params!$B$9*Adds!BV132</f>
        <v/>
      </c>
    </row>
    <row r="92">
      <c r="A92" t="inlineStr">
        <is>
          <t>paying</t>
        </is>
      </c>
      <c r="B92" t="inlineStr">
        <is>
          <t>LATAM|BASIC_A</t>
        </is>
      </c>
      <c r="C92" s="3">
        <f>Legacy!C50+Paid!C47+React!C83</f>
        <v/>
      </c>
      <c r="D92" s="3">
        <f>Legacy!D50+Paid!D47+React!D83</f>
        <v/>
      </c>
      <c r="E92" s="3">
        <f>Legacy!E50+Paid!E47+React!E83</f>
        <v/>
      </c>
      <c r="F92" s="3">
        <f>Legacy!F50+Paid!F47+React!F83</f>
        <v/>
      </c>
      <c r="G92" s="3">
        <f>Legacy!G50+Paid!G47+React!G83</f>
        <v/>
      </c>
      <c r="H92" s="3">
        <f>Legacy!H50+Paid!H47+React!H83</f>
        <v/>
      </c>
      <c r="I92" s="3">
        <f>Legacy!I50+Paid!I47+React!I83</f>
        <v/>
      </c>
      <c r="J92" s="3">
        <f>Legacy!J50+Paid!J47+React!J83</f>
        <v/>
      </c>
      <c r="K92" s="3">
        <f>Legacy!K50+Paid!K47+React!K83</f>
        <v/>
      </c>
      <c r="L92" s="3">
        <f>Legacy!L50+Paid!L47+React!L83</f>
        <v/>
      </c>
      <c r="M92" s="3">
        <f>Legacy!M50+Paid!M47+React!M83</f>
        <v/>
      </c>
      <c r="N92" s="3">
        <f>Legacy!N50+Paid!N47+React!N83</f>
        <v/>
      </c>
      <c r="O92" s="3">
        <f>Legacy!O50+Paid!O47+React!O83</f>
        <v/>
      </c>
      <c r="P92" s="3">
        <f>Legacy!P50+Paid!P47+React!P83</f>
        <v/>
      </c>
      <c r="Q92" s="3">
        <f>Legacy!Q50+Paid!Q47+React!Q83</f>
        <v/>
      </c>
      <c r="R92" s="3">
        <f>Legacy!R50+Paid!R47+React!R83</f>
        <v/>
      </c>
      <c r="S92" s="3">
        <f>Legacy!S50+Paid!S47+React!S83</f>
        <v/>
      </c>
      <c r="T92" s="3">
        <f>Legacy!T50+Paid!T47+React!T83</f>
        <v/>
      </c>
      <c r="U92" s="3">
        <f>Legacy!U50+Paid!U47+React!U83</f>
        <v/>
      </c>
      <c r="V92" s="3">
        <f>Legacy!V50+Paid!V47+React!V83</f>
        <v/>
      </c>
      <c r="W92" s="3">
        <f>Legacy!W50+Paid!W47+React!W83</f>
        <v/>
      </c>
      <c r="X92" s="3">
        <f>Legacy!X50+Paid!X47+React!X83</f>
        <v/>
      </c>
      <c r="Y92" s="3">
        <f>Legacy!Y50+Paid!Y47+React!Y83</f>
        <v/>
      </c>
      <c r="Z92" s="3">
        <f>Legacy!Z50+Paid!Z47+React!Z83</f>
        <v/>
      </c>
      <c r="AA92" s="3">
        <f>Legacy!AA50+Paid!AA47+React!AA83</f>
        <v/>
      </c>
      <c r="AB92" s="3">
        <f>Legacy!AB50+Paid!AB47+React!AB83</f>
        <v/>
      </c>
      <c r="AC92" s="3">
        <f>Legacy!AC50+Paid!AC47+React!AC83</f>
        <v/>
      </c>
      <c r="AD92" s="3">
        <f>Legacy!AD50+Paid!AD47+React!AD83</f>
        <v/>
      </c>
      <c r="AE92" s="3">
        <f>Legacy!AE50+Paid!AE47+React!AE83</f>
        <v/>
      </c>
      <c r="AF92" s="3">
        <f>Legacy!AF50+Paid!AF47+React!AF83</f>
        <v/>
      </c>
      <c r="AG92" s="3">
        <f>Legacy!AG50+Paid!AG47+React!AG83</f>
        <v/>
      </c>
      <c r="AH92" s="3">
        <f>Legacy!AH50+Paid!AH47+React!AH83</f>
        <v/>
      </c>
      <c r="AI92" s="3">
        <f>Legacy!AI50+Paid!AI47+React!AI83</f>
        <v/>
      </c>
      <c r="AJ92" s="3">
        <f>Legacy!AJ50+Paid!AJ47+React!AJ83</f>
        <v/>
      </c>
      <c r="AK92" s="3">
        <f>Legacy!AK50+Paid!AK47+React!AK83</f>
        <v/>
      </c>
      <c r="AL92" s="3">
        <f>Legacy!AL50+Paid!AL47+React!AL83</f>
        <v/>
      </c>
      <c r="AM92" s="3">
        <f>Legacy!AM50+Paid!AM47+React!AM83</f>
        <v/>
      </c>
      <c r="AN92" s="3">
        <f>Legacy!AN50+Paid!AN47+React!AN83</f>
        <v/>
      </c>
      <c r="AO92" s="3">
        <f>Legacy!AO50+Paid!AO47+React!AO83</f>
        <v/>
      </c>
      <c r="AP92" s="3">
        <f>Legacy!AP50+Paid!AP47+React!AP83</f>
        <v/>
      </c>
      <c r="AQ92" s="3">
        <f>Legacy!AQ50+Paid!AQ47+React!AQ83</f>
        <v/>
      </c>
      <c r="AR92" s="3">
        <f>Legacy!AR50+Paid!AR47+React!AR83</f>
        <v/>
      </c>
      <c r="AS92" s="3">
        <f>Legacy!AS50+Paid!AS47+React!AS83</f>
        <v/>
      </c>
      <c r="AT92" s="3">
        <f>Legacy!AT50+Paid!AT47+React!AT83</f>
        <v/>
      </c>
      <c r="AU92" s="3">
        <f>Legacy!AU50+Paid!AU47+React!AU83</f>
        <v/>
      </c>
      <c r="AV92" s="3">
        <f>Legacy!AV50+Paid!AV47+React!AV83</f>
        <v/>
      </c>
      <c r="AW92" s="3">
        <f>Legacy!AW50+Paid!AW47+React!AW83</f>
        <v/>
      </c>
      <c r="AX92" s="3">
        <f>Legacy!AX50+Paid!AX47+React!AX83</f>
        <v/>
      </c>
      <c r="AY92" s="3">
        <f>Legacy!AY50+Paid!AY47+React!AY83</f>
        <v/>
      </c>
      <c r="AZ92" s="3">
        <f>Legacy!AZ50+Paid!AZ47+React!AZ83</f>
        <v/>
      </c>
      <c r="BA92" s="3">
        <f>Legacy!BA50+Paid!BA47+React!BA83</f>
        <v/>
      </c>
      <c r="BB92" s="3">
        <f>Legacy!BB50+Paid!BB47+React!BB83</f>
        <v/>
      </c>
      <c r="BC92" s="3">
        <f>Legacy!BC50+Paid!BC47+React!BC83</f>
        <v/>
      </c>
      <c r="BD92" s="3">
        <f>Legacy!BD50+Paid!BD47+React!BD83</f>
        <v/>
      </c>
      <c r="BE92" s="3">
        <f>Legacy!BE50+Paid!BE47+React!BE83</f>
        <v/>
      </c>
      <c r="BF92" s="3">
        <f>Legacy!BF50+Paid!BF47+React!BF83</f>
        <v/>
      </c>
      <c r="BG92" s="3">
        <f>Legacy!BG50+Paid!BG47+React!BG83</f>
        <v/>
      </c>
      <c r="BH92" s="3">
        <f>Legacy!BH50+Paid!BH47+React!BH83</f>
        <v/>
      </c>
      <c r="BI92" s="3">
        <f>Legacy!BI50+Paid!BI47+React!BI83</f>
        <v/>
      </c>
      <c r="BJ92" s="3">
        <f>Legacy!BJ50+Paid!BJ47+React!BJ83</f>
        <v/>
      </c>
      <c r="BK92" s="3">
        <f>Legacy!BK50+Paid!BK47+React!BK83</f>
        <v/>
      </c>
      <c r="BL92" s="3">
        <f>Legacy!BL50+Paid!BL47+React!BL83</f>
        <v/>
      </c>
      <c r="BM92" s="3">
        <f>Legacy!BM50+Paid!BM47+React!BM83</f>
        <v/>
      </c>
      <c r="BN92" s="3">
        <f>Legacy!BN50+Paid!BN47+React!BN83</f>
        <v/>
      </c>
      <c r="BO92" s="3">
        <f>Legacy!BO50+Paid!BO47+React!BO83</f>
        <v/>
      </c>
      <c r="BP92" s="3">
        <f>Legacy!BP50+Paid!BP47+React!BP83</f>
        <v/>
      </c>
      <c r="BQ92" s="3">
        <f>Legacy!BQ50+Paid!BQ47+React!BQ83</f>
        <v/>
      </c>
      <c r="BR92" s="3">
        <f>Legacy!BR50+Paid!BR47+React!BR83</f>
        <v/>
      </c>
      <c r="BS92" s="3">
        <f>Legacy!BS50+Paid!BS47+React!BS83</f>
        <v/>
      </c>
      <c r="BT92" s="3">
        <f>Legacy!BT50+Paid!BT47+React!BT83</f>
        <v/>
      </c>
      <c r="BU92" s="3">
        <f>Legacy!BU50+Paid!BU47+React!BU83</f>
        <v/>
      </c>
      <c r="BV92" s="3">
        <f>Legacy!BV50+Paid!BV47+React!BV83</f>
        <v/>
      </c>
    </row>
    <row r="94">
      <c r="A94" t="inlineStr">
        <is>
          <t>opening</t>
        </is>
      </c>
      <c r="B94" t="inlineStr">
        <is>
          <t>APAC|NITRO_M</t>
        </is>
      </c>
      <c r="C94" s="3">
        <f>Legacy!$C$53</f>
        <v/>
      </c>
      <c r="D94" s="3">
        <f>C98</f>
        <v/>
      </c>
      <c r="E94" s="3">
        <f>D98</f>
        <v/>
      </c>
      <c r="F94" s="3">
        <f>E98</f>
        <v/>
      </c>
      <c r="G94" s="3">
        <f>F98</f>
        <v/>
      </c>
      <c r="H94" s="3">
        <f>G98</f>
        <v/>
      </c>
      <c r="I94" s="3">
        <f>H98</f>
        <v/>
      </c>
      <c r="J94" s="3">
        <f>I98</f>
        <v/>
      </c>
      <c r="K94" s="3">
        <f>J98</f>
        <v/>
      </c>
      <c r="L94" s="3">
        <f>K98</f>
        <v/>
      </c>
      <c r="M94" s="3">
        <f>L98</f>
        <v/>
      </c>
      <c r="N94" s="3">
        <f>M98</f>
        <v/>
      </c>
      <c r="O94" s="3">
        <f>N98</f>
        <v/>
      </c>
      <c r="P94" s="3">
        <f>O98</f>
        <v/>
      </c>
      <c r="Q94" s="3">
        <f>P98</f>
        <v/>
      </c>
      <c r="R94" s="3">
        <f>Q98</f>
        <v/>
      </c>
      <c r="S94" s="3">
        <f>R98</f>
        <v/>
      </c>
      <c r="T94" s="3">
        <f>S98</f>
        <v/>
      </c>
      <c r="U94" s="3">
        <f>T98</f>
        <v/>
      </c>
      <c r="V94" s="3">
        <f>U98</f>
        <v/>
      </c>
      <c r="W94" s="3">
        <f>V98</f>
        <v/>
      </c>
      <c r="X94" s="3">
        <f>W98</f>
        <v/>
      </c>
      <c r="Y94" s="3">
        <f>X98</f>
        <v/>
      </c>
      <c r="Z94" s="3">
        <f>Y98</f>
        <v/>
      </c>
      <c r="AA94" s="3">
        <f>Z98</f>
        <v/>
      </c>
      <c r="AB94" s="3">
        <f>AA98</f>
        <v/>
      </c>
      <c r="AC94" s="3">
        <f>AB98</f>
        <v/>
      </c>
      <c r="AD94" s="3">
        <f>AC98</f>
        <v/>
      </c>
      <c r="AE94" s="3">
        <f>AD98</f>
        <v/>
      </c>
      <c r="AF94" s="3">
        <f>AE98</f>
        <v/>
      </c>
      <c r="AG94" s="3">
        <f>AF98</f>
        <v/>
      </c>
      <c r="AH94" s="3">
        <f>AG98</f>
        <v/>
      </c>
      <c r="AI94" s="3">
        <f>AH98</f>
        <v/>
      </c>
      <c r="AJ94" s="3">
        <f>AI98</f>
        <v/>
      </c>
      <c r="AK94" s="3">
        <f>AJ98</f>
        <v/>
      </c>
      <c r="AL94" s="3">
        <f>AK98</f>
        <v/>
      </c>
      <c r="AM94" s="3">
        <f>AL98</f>
        <v/>
      </c>
      <c r="AN94" s="3">
        <f>AM98</f>
        <v/>
      </c>
      <c r="AO94" s="3">
        <f>AN98</f>
        <v/>
      </c>
      <c r="AP94" s="3">
        <f>AO98</f>
        <v/>
      </c>
      <c r="AQ94" s="3">
        <f>AP98</f>
        <v/>
      </c>
      <c r="AR94" s="3">
        <f>AQ98</f>
        <v/>
      </c>
      <c r="AS94" s="3">
        <f>AR98</f>
        <v/>
      </c>
      <c r="AT94" s="3">
        <f>AS98</f>
        <v/>
      </c>
      <c r="AU94" s="3">
        <f>AT98</f>
        <v/>
      </c>
      <c r="AV94" s="3">
        <f>AU98</f>
        <v/>
      </c>
      <c r="AW94" s="3">
        <f>AV98</f>
        <v/>
      </c>
      <c r="AX94" s="3">
        <f>AW98</f>
        <v/>
      </c>
      <c r="AY94" s="3">
        <f>AX98</f>
        <v/>
      </c>
      <c r="AZ94" s="3">
        <f>AY98</f>
        <v/>
      </c>
      <c r="BA94" s="3">
        <f>AZ98</f>
        <v/>
      </c>
      <c r="BB94" s="3">
        <f>BA98</f>
        <v/>
      </c>
      <c r="BC94" s="3">
        <f>BB98</f>
        <v/>
      </c>
      <c r="BD94" s="3">
        <f>BC98</f>
        <v/>
      </c>
      <c r="BE94" s="3">
        <f>BD98</f>
        <v/>
      </c>
      <c r="BF94" s="3">
        <f>BE98</f>
        <v/>
      </c>
      <c r="BG94" s="3">
        <f>BF98</f>
        <v/>
      </c>
      <c r="BH94" s="3">
        <f>BG98</f>
        <v/>
      </c>
      <c r="BI94" s="3">
        <f>BH98</f>
        <v/>
      </c>
      <c r="BJ94" s="3">
        <f>BI98</f>
        <v/>
      </c>
      <c r="BK94" s="3">
        <f>BJ98</f>
        <v/>
      </c>
      <c r="BL94" s="3">
        <f>BK98</f>
        <v/>
      </c>
      <c r="BM94" s="3">
        <f>BL98</f>
        <v/>
      </c>
      <c r="BN94" s="3">
        <f>BM98</f>
        <v/>
      </c>
      <c r="BO94" s="3">
        <f>BN98</f>
        <v/>
      </c>
      <c r="BP94" s="3">
        <f>BO98</f>
        <v/>
      </c>
      <c r="BQ94" s="3">
        <f>BP98</f>
        <v/>
      </c>
      <c r="BR94" s="3">
        <f>BQ98</f>
        <v/>
      </c>
      <c r="BS94" s="3">
        <f>BR98</f>
        <v/>
      </c>
      <c r="BT94" s="3">
        <f>BS98</f>
        <v/>
      </c>
      <c r="BU94" s="3">
        <f>BT98</f>
        <v/>
      </c>
      <c r="BV94" s="3">
        <f>BU98</f>
        <v/>
      </c>
    </row>
    <row r="95">
      <c r="A95" t="inlineStr">
        <is>
          <t>new</t>
        </is>
      </c>
      <c r="B95" t="inlineStr">
        <is>
          <t>APAC|NITRO_M</t>
        </is>
      </c>
      <c r="C95" s="3">
        <f>Adds!C137+IF(Params!$B$9=1,Adds!C136,Adds!C139)</f>
        <v/>
      </c>
      <c r="D95" s="3">
        <f>Adds!D137+IF(Params!$B$9=1,Adds!D136,Adds!D139)</f>
        <v/>
      </c>
      <c r="E95" s="3">
        <f>Adds!E137+IF(Params!$B$9=1,Adds!E136,Adds!E139)</f>
        <v/>
      </c>
      <c r="F95" s="3">
        <f>Adds!F137+IF(Params!$B$9=1,Adds!F136,Adds!F139)</f>
        <v/>
      </c>
      <c r="G95" s="3">
        <f>Adds!G137+IF(Params!$B$9=1,Adds!G136,Adds!G139)</f>
        <v/>
      </c>
      <c r="H95" s="3">
        <f>Adds!H137+IF(Params!$B$9=1,Adds!H136,Adds!H139)</f>
        <v/>
      </c>
      <c r="I95" s="3">
        <f>Adds!I137+IF(Params!$B$9=1,Adds!I136,Adds!I139)</f>
        <v/>
      </c>
      <c r="J95" s="3">
        <f>Adds!J137+IF(Params!$B$9=1,Adds!J136,Adds!J139)</f>
        <v/>
      </c>
      <c r="K95" s="3">
        <f>Adds!K137+IF(Params!$B$9=1,Adds!K136,Adds!K139)</f>
        <v/>
      </c>
      <c r="L95" s="3">
        <f>Adds!L137+IF(Params!$B$9=1,Adds!L136,Adds!L139)</f>
        <v/>
      </c>
      <c r="M95" s="3">
        <f>Adds!M137+IF(Params!$B$9=1,Adds!M136,Adds!M139)</f>
        <v/>
      </c>
      <c r="N95" s="3">
        <f>Adds!N137+IF(Params!$B$9=1,Adds!N136,Adds!N139)</f>
        <v/>
      </c>
      <c r="O95" s="3">
        <f>Adds!O137+IF(Params!$B$9=1,Adds!O136,Adds!O139)</f>
        <v/>
      </c>
      <c r="P95" s="3">
        <f>Adds!P137+IF(Params!$B$9=1,Adds!P136,Adds!P139)</f>
        <v/>
      </c>
      <c r="Q95" s="3">
        <f>Adds!Q137+IF(Params!$B$9=1,Adds!Q136,Adds!Q139)</f>
        <v/>
      </c>
      <c r="R95" s="3">
        <f>Adds!R137+IF(Params!$B$9=1,Adds!R136,Adds!R139)</f>
        <v/>
      </c>
      <c r="S95" s="3">
        <f>Adds!S137+IF(Params!$B$9=1,Adds!S136,Adds!S139)</f>
        <v/>
      </c>
      <c r="T95" s="3">
        <f>Adds!T137+IF(Params!$B$9=1,Adds!T136,Adds!T139)</f>
        <v/>
      </c>
      <c r="U95" s="3">
        <f>Adds!U137+IF(Params!$B$9=1,Adds!U136,Adds!U139)</f>
        <v/>
      </c>
      <c r="V95" s="3">
        <f>Adds!V137+IF(Params!$B$9=1,Adds!V136,Adds!V139)</f>
        <v/>
      </c>
      <c r="W95" s="3">
        <f>Adds!W137+IF(Params!$B$9=1,Adds!W136,Adds!W139)</f>
        <v/>
      </c>
      <c r="X95" s="3">
        <f>Adds!X137+IF(Params!$B$9=1,Adds!X136,Adds!X139)</f>
        <v/>
      </c>
      <c r="Y95" s="3">
        <f>Adds!Y137+IF(Params!$B$9=1,Adds!Y136,Adds!Y139)</f>
        <v/>
      </c>
      <c r="Z95" s="3">
        <f>Adds!Z137+IF(Params!$B$9=1,Adds!Z136,Adds!Z139)</f>
        <v/>
      </c>
      <c r="AA95" s="3">
        <f>Adds!AA137+IF(Params!$B$9=1,Adds!AA136,Adds!AA139)</f>
        <v/>
      </c>
      <c r="AB95" s="3">
        <f>Adds!AB137+IF(Params!$B$9=1,Adds!AB136,Adds!AB139)</f>
        <v/>
      </c>
      <c r="AC95" s="3">
        <f>Adds!AC137+IF(Params!$B$9=1,Adds!AC136,Adds!AC139)</f>
        <v/>
      </c>
      <c r="AD95" s="3">
        <f>Adds!AD137+IF(Params!$B$9=1,Adds!AD136,Adds!AD139)</f>
        <v/>
      </c>
      <c r="AE95" s="3">
        <f>Adds!AE137+IF(Params!$B$9=1,Adds!AE136,Adds!AE139)</f>
        <v/>
      </c>
      <c r="AF95" s="3">
        <f>Adds!AF137+IF(Params!$B$9=1,Adds!AF136,Adds!AF139)</f>
        <v/>
      </c>
      <c r="AG95" s="3">
        <f>Adds!AG137+IF(Params!$B$9=1,Adds!AG136,Adds!AG139)</f>
        <v/>
      </c>
      <c r="AH95" s="3">
        <f>Adds!AH137+IF(Params!$B$9=1,Adds!AH136,Adds!AH139)</f>
        <v/>
      </c>
      <c r="AI95" s="3">
        <f>Adds!AI137+IF(Params!$B$9=1,Adds!AI136,Adds!AI139)</f>
        <v/>
      </c>
      <c r="AJ95" s="3">
        <f>Adds!AJ137+IF(Params!$B$9=1,Adds!AJ136,Adds!AJ139)</f>
        <v/>
      </c>
      <c r="AK95" s="3">
        <f>Adds!AK137+IF(Params!$B$9=1,Adds!AK136,Adds!AK139)</f>
        <v/>
      </c>
      <c r="AL95" s="3">
        <f>Adds!AL137+IF(Params!$B$9=1,Adds!AL136,Adds!AL139)</f>
        <v/>
      </c>
      <c r="AM95" s="3">
        <f>Adds!AM137+IF(Params!$B$9=1,Adds!AM136,Adds!AM139)</f>
        <v/>
      </c>
      <c r="AN95" s="3">
        <f>Adds!AN137+IF(Params!$B$9=1,Adds!AN136,Adds!AN139)</f>
        <v/>
      </c>
      <c r="AO95" s="3">
        <f>Adds!AO137+IF(Params!$B$9=1,Adds!AO136,Adds!AO139)</f>
        <v/>
      </c>
      <c r="AP95" s="3">
        <f>Adds!AP137+IF(Params!$B$9=1,Adds!AP136,Adds!AP139)</f>
        <v/>
      </c>
      <c r="AQ95" s="3">
        <f>Adds!AQ137+IF(Params!$B$9=1,Adds!AQ136,Adds!AQ139)</f>
        <v/>
      </c>
      <c r="AR95" s="3">
        <f>Adds!AR137+IF(Params!$B$9=1,Adds!AR136,Adds!AR139)</f>
        <v/>
      </c>
      <c r="AS95" s="3">
        <f>Adds!AS137+IF(Params!$B$9=1,Adds!AS136,Adds!AS139)</f>
        <v/>
      </c>
      <c r="AT95" s="3">
        <f>Adds!AT137+IF(Params!$B$9=1,Adds!AT136,Adds!AT139)</f>
        <v/>
      </c>
      <c r="AU95" s="3">
        <f>Adds!AU137+IF(Params!$B$9=1,Adds!AU136,Adds!AU139)</f>
        <v/>
      </c>
      <c r="AV95" s="3">
        <f>Adds!AV137+IF(Params!$B$9=1,Adds!AV136,Adds!AV139)</f>
        <v/>
      </c>
      <c r="AW95" s="3">
        <f>Adds!AW137+IF(Params!$B$9=1,Adds!AW136,Adds!AW139)</f>
        <v/>
      </c>
      <c r="AX95" s="3">
        <f>Adds!AX137+IF(Params!$B$9=1,Adds!AX136,Adds!AX139)</f>
        <v/>
      </c>
      <c r="AY95" s="3">
        <f>Adds!AY137+IF(Params!$B$9=1,Adds!AY136,Adds!AY139)</f>
        <v/>
      </c>
      <c r="AZ95" s="3">
        <f>Adds!AZ137+IF(Params!$B$9=1,Adds!AZ136,Adds!AZ139)</f>
        <v/>
      </c>
      <c r="BA95" s="3">
        <f>Adds!BA137+IF(Params!$B$9=1,Adds!BA136,Adds!BA139)</f>
        <v/>
      </c>
      <c r="BB95" s="3">
        <f>Adds!BB137+IF(Params!$B$9=1,Adds!BB136,Adds!BB139)</f>
        <v/>
      </c>
      <c r="BC95" s="3">
        <f>Adds!BC137+IF(Params!$B$9=1,Adds!BC136,Adds!BC139)</f>
        <v/>
      </c>
      <c r="BD95" s="3">
        <f>Adds!BD137+IF(Params!$B$9=1,Adds!BD136,Adds!BD139)</f>
        <v/>
      </c>
      <c r="BE95" s="3">
        <f>Adds!BE137+IF(Params!$B$9=1,Adds!BE136,Adds!BE139)</f>
        <v/>
      </c>
      <c r="BF95" s="3">
        <f>Adds!BF137+IF(Params!$B$9=1,Adds!BF136,Adds!BF139)</f>
        <v/>
      </c>
      <c r="BG95" s="3">
        <f>Adds!BG137+IF(Params!$B$9=1,Adds!BG136,Adds!BG139)</f>
        <v/>
      </c>
      <c r="BH95" s="3">
        <f>Adds!BH137+IF(Params!$B$9=1,Adds!BH136,Adds!BH139)</f>
        <v/>
      </c>
      <c r="BI95" s="3">
        <f>Adds!BI137+IF(Params!$B$9=1,Adds!BI136,Adds!BI139)</f>
        <v/>
      </c>
      <c r="BJ95" s="3">
        <f>Adds!BJ137+IF(Params!$B$9=1,Adds!BJ136,Adds!BJ139)</f>
        <v/>
      </c>
      <c r="BK95" s="3">
        <f>Adds!BK137+IF(Params!$B$9=1,Adds!BK136,Adds!BK139)</f>
        <v/>
      </c>
      <c r="BL95" s="3">
        <f>Adds!BL137+IF(Params!$B$9=1,Adds!BL136,Adds!BL139)</f>
        <v/>
      </c>
      <c r="BM95" s="3">
        <f>Adds!BM137+IF(Params!$B$9=1,Adds!BM136,Adds!BM139)</f>
        <v/>
      </c>
      <c r="BN95" s="3">
        <f>Adds!BN137+IF(Params!$B$9=1,Adds!BN136,Adds!BN139)</f>
        <v/>
      </c>
      <c r="BO95" s="3">
        <f>Adds!BO137+IF(Params!$B$9=1,Adds!BO136,Adds!BO139)</f>
        <v/>
      </c>
      <c r="BP95" s="3">
        <f>Adds!BP137+IF(Params!$B$9=1,Adds!BP136,Adds!BP139)</f>
        <v/>
      </c>
      <c r="BQ95" s="3">
        <f>Adds!BQ137+IF(Params!$B$9=1,Adds!BQ136,Adds!BQ139)</f>
        <v/>
      </c>
      <c r="BR95" s="3">
        <f>Adds!BR137+IF(Params!$B$9=1,Adds!BR136,Adds!BR139)</f>
        <v/>
      </c>
      <c r="BS95" s="3">
        <f>Adds!BS137+IF(Params!$B$9=1,Adds!BS136,Adds!BS139)</f>
        <v/>
      </c>
      <c r="BT95" s="3">
        <f>Adds!BT137+IF(Params!$B$9=1,Adds!BT136,Adds!BT139)</f>
        <v/>
      </c>
      <c r="BU95" s="3">
        <f>Adds!BU137+IF(Params!$B$9=1,Adds!BU136,Adds!BU139)</f>
        <v/>
      </c>
      <c r="BV95" s="3">
        <f>Adds!BV137+IF(Params!$B$9=1,Adds!BV136,Adds!BV139)</f>
        <v/>
      </c>
    </row>
    <row r="96">
      <c r="A96" t="inlineStr">
        <is>
          <t>reactivated</t>
        </is>
      </c>
      <c r="B96" t="inlineStr">
        <is>
          <t>APAC|NITRO_M</t>
        </is>
      </c>
      <c r="C96" s="3">
        <f>React!C89</f>
        <v/>
      </c>
      <c r="D96" s="3">
        <f>React!D89</f>
        <v/>
      </c>
      <c r="E96" s="3">
        <f>React!E89</f>
        <v/>
      </c>
      <c r="F96" s="3">
        <f>React!F89</f>
        <v/>
      </c>
      <c r="G96" s="3">
        <f>React!G89</f>
        <v/>
      </c>
      <c r="H96" s="3">
        <f>React!H89</f>
        <v/>
      </c>
      <c r="I96" s="3">
        <f>React!I89</f>
        <v/>
      </c>
      <c r="J96" s="3">
        <f>React!J89</f>
        <v/>
      </c>
      <c r="K96" s="3">
        <f>React!K89</f>
        <v/>
      </c>
      <c r="L96" s="3">
        <f>React!L89</f>
        <v/>
      </c>
      <c r="M96" s="3">
        <f>React!M89</f>
        <v/>
      </c>
      <c r="N96" s="3">
        <f>React!N89</f>
        <v/>
      </c>
      <c r="O96" s="3">
        <f>React!O89</f>
        <v/>
      </c>
      <c r="P96" s="3">
        <f>React!P89</f>
        <v/>
      </c>
      <c r="Q96" s="3">
        <f>React!Q89</f>
        <v/>
      </c>
      <c r="R96" s="3">
        <f>React!R89</f>
        <v/>
      </c>
      <c r="S96" s="3">
        <f>React!S89</f>
        <v/>
      </c>
      <c r="T96" s="3">
        <f>React!T89</f>
        <v/>
      </c>
      <c r="U96" s="3">
        <f>React!U89</f>
        <v/>
      </c>
      <c r="V96" s="3">
        <f>React!V89</f>
        <v/>
      </c>
      <c r="W96" s="3">
        <f>React!W89</f>
        <v/>
      </c>
      <c r="X96" s="3">
        <f>React!X89</f>
        <v/>
      </c>
      <c r="Y96" s="3">
        <f>React!Y89</f>
        <v/>
      </c>
      <c r="Z96" s="3">
        <f>React!Z89</f>
        <v/>
      </c>
      <c r="AA96" s="3">
        <f>React!AA89</f>
        <v/>
      </c>
      <c r="AB96" s="3">
        <f>React!AB89</f>
        <v/>
      </c>
      <c r="AC96" s="3">
        <f>React!AC89</f>
        <v/>
      </c>
      <c r="AD96" s="3">
        <f>React!AD89</f>
        <v/>
      </c>
      <c r="AE96" s="3">
        <f>React!AE89</f>
        <v/>
      </c>
      <c r="AF96" s="3">
        <f>React!AF89</f>
        <v/>
      </c>
      <c r="AG96" s="3">
        <f>React!AG89</f>
        <v/>
      </c>
      <c r="AH96" s="3">
        <f>React!AH89</f>
        <v/>
      </c>
      <c r="AI96" s="3">
        <f>React!AI89</f>
        <v/>
      </c>
      <c r="AJ96" s="3">
        <f>React!AJ89</f>
        <v/>
      </c>
      <c r="AK96" s="3">
        <f>React!AK89</f>
        <v/>
      </c>
      <c r="AL96" s="3">
        <f>React!AL89</f>
        <v/>
      </c>
      <c r="AM96" s="3">
        <f>React!AM89</f>
        <v/>
      </c>
      <c r="AN96" s="3">
        <f>React!AN89</f>
        <v/>
      </c>
      <c r="AO96" s="3">
        <f>React!AO89</f>
        <v/>
      </c>
      <c r="AP96" s="3">
        <f>React!AP89</f>
        <v/>
      </c>
      <c r="AQ96" s="3">
        <f>React!AQ89</f>
        <v/>
      </c>
      <c r="AR96" s="3">
        <f>React!AR89</f>
        <v/>
      </c>
      <c r="AS96" s="3">
        <f>React!AS89</f>
        <v/>
      </c>
      <c r="AT96" s="3">
        <f>React!AT89</f>
        <v/>
      </c>
      <c r="AU96" s="3">
        <f>React!AU89</f>
        <v/>
      </c>
      <c r="AV96" s="3">
        <f>React!AV89</f>
        <v/>
      </c>
      <c r="AW96" s="3">
        <f>React!AW89</f>
        <v/>
      </c>
      <c r="AX96" s="3">
        <f>React!AX89</f>
        <v/>
      </c>
      <c r="AY96" s="3">
        <f>React!AY89</f>
        <v/>
      </c>
      <c r="AZ96" s="3">
        <f>React!AZ89</f>
        <v/>
      </c>
      <c r="BA96" s="3">
        <f>React!BA89</f>
        <v/>
      </c>
      <c r="BB96" s="3">
        <f>React!BB89</f>
        <v/>
      </c>
      <c r="BC96" s="3">
        <f>React!BC89</f>
        <v/>
      </c>
      <c r="BD96" s="3">
        <f>React!BD89</f>
        <v/>
      </c>
      <c r="BE96" s="3">
        <f>React!BE89</f>
        <v/>
      </c>
      <c r="BF96" s="3">
        <f>React!BF89</f>
        <v/>
      </c>
      <c r="BG96" s="3">
        <f>React!BG89</f>
        <v/>
      </c>
      <c r="BH96" s="3">
        <f>React!BH89</f>
        <v/>
      </c>
      <c r="BI96" s="3">
        <f>React!BI89</f>
        <v/>
      </c>
      <c r="BJ96" s="3">
        <f>React!BJ89</f>
        <v/>
      </c>
      <c r="BK96" s="3">
        <f>React!BK89</f>
        <v/>
      </c>
      <c r="BL96" s="3">
        <f>React!BL89</f>
        <v/>
      </c>
      <c r="BM96" s="3">
        <f>React!BM89</f>
        <v/>
      </c>
      <c r="BN96" s="3">
        <f>React!BN89</f>
        <v/>
      </c>
      <c r="BO96" s="3">
        <f>React!BO89</f>
        <v/>
      </c>
      <c r="BP96" s="3">
        <f>React!BP89</f>
        <v/>
      </c>
      <c r="BQ96" s="3">
        <f>React!BQ89</f>
        <v/>
      </c>
      <c r="BR96" s="3">
        <f>React!BR89</f>
        <v/>
      </c>
      <c r="BS96" s="3">
        <f>React!BS89</f>
        <v/>
      </c>
      <c r="BT96" s="3">
        <f>React!BT89</f>
        <v/>
      </c>
      <c r="BU96" s="3">
        <f>React!BU89</f>
        <v/>
      </c>
      <c r="BV96" s="3">
        <f>React!BV89</f>
        <v/>
      </c>
    </row>
    <row r="97">
      <c r="A97" t="inlineStr">
        <is>
          <t>churned</t>
        </is>
      </c>
      <c r="B97" t="inlineStr">
        <is>
          <t>APAC|NITRO_M</t>
        </is>
      </c>
      <c r="C97" s="3">
        <f>Legacy!C55+Paid!C53+React!C92+Params!$B$9*Adds!C140</f>
        <v/>
      </c>
      <c r="D97" s="3">
        <f>Legacy!D55+Paid!D53+React!D92+Params!$B$9*Adds!D140</f>
        <v/>
      </c>
      <c r="E97" s="3">
        <f>Legacy!E55+Paid!E53+React!E92+Params!$B$9*Adds!E140</f>
        <v/>
      </c>
      <c r="F97" s="3">
        <f>Legacy!F55+Paid!F53+React!F92+Params!$B$9*Adds!F140</f>
        <v/>
      </c>
      <c r="G97" s="3">
        <f>Legacy!G55+Paid!G53+React!G92+Params!$B$9*Adds!G140</f>
        <v/>
      </c>
      <c r="H97" s="3">
        <f>Legacy!H55+Paid!H53+React!H92+Params!$B$9*Adds!H140</f>
        <v/>
      </c>
      <c r="I97" s="3">
        <f>Legacy!I55+Paid!I53+React!I92+Params!$B$9*Adds!I140</f>
        <v/>
      </c>
      <c r="J97" s="3">
        <f>Legacy!J55+Paid!J53+React!J92+Params!$B$9*Adds!J140</f>
        <v/>
      </c>
      <c r="K97" s="3">
        <f>Legacy!K55+Paid!K53+React!K92+Params!$B$9*Adds!K140</f>
        <v/>
      </c>
      <c r="L97" s="3">
        <f>Legacy!L55+Paid!L53+React!L92+Params!$B$9*Adds!L140</f>
        <v/>
      </c>
      <c r="M97" s="3">
        <f>Legacy!M55+Paid!M53+React!M92+Params!$B$9*Adds!M140</f>
        <v/>
      </c>
      <c r="N97" s="3">
        <f>Legacy!N55+Paid!N53+React!N92+Params!$B$9*Adds!N140</f>
        <v/>
      </c>
      <c r="O97" s="3">
        <f>Legacy!O55+Paid!O53+React!O92+Params!$B$9*Adds!O140</f>
        <v/>
      </c>
      <c r="P97" s="3">
        <f>Legacy!P55+Paid!P53+React!P92+Params!$B$9*Adds!P140</f>
        <v/>
      </c>
      <c r="Q97" s="3">
        <f>Legacy!Q55+Paid!Q53+React!Q92+Params!$B$9*Adds!Q140</f>
        <v/>
      </c>
      <c r="R97" s="3">
        <f>Legacy!R55+Paid!R53+React!R92+Params!$B$9*Adds!R140</f>
        <v/>
      </c>
      <c r="S97" s="3">
        <f>Legacy!S55+Paid!S53+React!S92+Params!$B$9*Adds!S140</f>
        <v/>
      </c>
      <c r="T97" s="3">
        <f>Legacy!T55+Paid!T53+React!T92+Params!$B$9*Adds!T140</f>
        <v/>
      </c>
      <c r="U97" s="3">
        <f>Legacy!U55+Paid!U53+React!U92+Params!$B$9*Adds!U140</f>
        <v/>
      </c>
      <c r="V97" s="3">
        <f>Legacy!V55+Paid!V53+React!V92+Params!$B$9*Adds!V140</f>
        <v/>
      </c>
      <c r="W97" s="3">
        <f>Legacy!W55+Paid!W53+React!W92+Params!$B$9*Adds!W140</f>
        <v/>
      </c>
      <c r="X97" s="3">
        <f>Legacy!X55+Paid!X53+React!X92+Params!$B$9*Adds!X140</f>
        <v/>
      </c>
      <c r="Y97" s="3">
        <f>Legacy!Y55+Paid!Y53+React!Y92+Params!$B$9*Adds!Y140</f>
        <v/>
      </c>
      <c r="Z97" s="3">
        <f>Legacy!Z55+Paid!Z53+React!Z92+Params!$B$9*Adds!Z140</f>
        <v/>
      </c>
      <c r="AA97" s="3">
        <f>Legacy!AA55+Paid!AA53+React!AA92+Params!$B$9*Adds!AA140</f>
        <v/>
      </c>
      <c r="AB97" s="3">
        <f>Legacy!AB55+Paid!AB53+React!AB92+Params!$B$9*Adds!AB140</f>
        <v/>
      </c>
      <c r="AC97" s="3">
        <f>Legacy!AC55+Paid!AC53+React!AC92+Params!$B$9*Adds!AC140</f>
        <v/>
      </c>
      <c r="AD97" s="3">
        <f>Legacy!AD55+Paid!AD53+React!AD92+Params!$B$9*Adds!AD140</f>
        <v/>
      </c>
      <c r="AE97" s="3">
        <f>Legacy!AE55+Paid!AE53+React!AE92+Params!$B$9*Adds!AE140</f>
        <v/>
      </c>
      <c r="AF97" s="3">
        <f>Legacy!AF55+Paid!AF53+React!AF92+Params!$B$9*Adds!AF140</f>
        <v/>
      </c>
      <c r="AG97" s="3">
        <f>Legacy!AG55+Paid!AG53+React!AG92+Params!$B$9*Adds!AG140</f>
        <v/>
      </c>
      <c r="AH97" s="3">
        <f>Legacy!AH55+Paid!AH53+React!AH92+Params!$B$9*Adds!AH140</f>
        <v/>
      </c>
      <c r="AI97" s="3">
        <f>Legacy!AI55+Paid!AI53+React!AI92+Params!$B$9*Adds!AI140</f>
        <v/>
      </c>
      <c r="AJ97" s="3">
        <f>Legacy!AJ55+Paid!AJ53+React!AJ92+Params!$B$9*Adds!AJ140</f>
        <v/>
      </c>
      <c r="AK97" s="3">
        <f>Legacy!AK55+Paid!AK53+React!AK92+Params!$B$9*Adds!AK140</f>
        <v/>
      </c>
      <c r="AL97" s="3">
        <f>Legacy!AL55+Paid!AL53+React!AL92+Params!$B$9*Adds!AL140</f>
        <v/>
      </c>
      <c r="AM97" s="3">
        <f>Legacy!AM55+Paid!AM53+React!AM92+Params!$B$9*Adds!AM140</f>
        <v/>
      </c>
      <c r="AN97" s="3">
        <f>Legacy!AN55+Paid!AN53+React!AN92+Params!$B$9*Adds!AN140</f>
        <v/>
      </c>
      <c r="AO97" s="3">
        <f>Legacy!AO55+Paid!AO53+React!AO92+Params!$B$9*Adds!AO140</f>
        <v/>
      </c>
      <c r="AP97" s="3">
        <f>Legacy!AP55+Paid!AP53+React!AP92+Params!$B$9*Adds!AP140</f>
        <v/>
      </c>
      <c r="AQ97" s="3">
        <f>Legacy!AQ55+Paid!AQ53+React!AQ92+Params!$B$9*Adds!AQ140</f>
        <v/>
      </c>
      <c r="AR97" s="3">
        <f>Legacy!AR55+Paid!AR53+React!AR92+Params!$B$9*Adds!AR140</f>
        <v/>
      </c>
      <c r="AS97" s="3">
        <f>Legacy!AS55+Paid!AS53+React!AS92+Params!$B$9*Adds!AS140</f>
        <v/>
      </c>
      <c r="AT97" s="3">
        <f>Legacy!AT55+Paid!AT53+React!AT92+Params!$B$9*Adds!AT140</f>
        <v/>
      </c>
      <c r="AU97" s="3">
        <f>Legacy!AU55+Paid!AU53+React!AU92+Params!$B$9*Adds!AU140</f>
        <v/>
      </c>
      <c r="AV97" s="3">
        <f>Legacy!AV55+Paid!AV53+React!AV92+Params!$B$9*Adds!AV140</f>
        <v/>
      </c>
      <c r="AW97" s="3">
        <f>Legacy!AW55+Paid!AW53+React!AW92+Params!$B$9*Adds!AW140</f>
        <v/>
      </c>
      <c r="AX97" s="3">
        <f>Legacy!AX55+Paid!AX53+React!AX92+Params!$B$9*Adds!AX140</f>
        <v/>
      </c>
      <c r="AY97" s="3">
        <f>Legacy!AY55+Paid!AY53+React!AY92+Params!$B$9*Adds!AY140</f>
        <v/>
      </c>
      <c r="AZ97" s="3">
        <f>Legacy!AZ55+Paid!AZ53+React!AZ92+Params!$B$9*Adds!AZ140</f>
        <v/>
      </c>
      <c r="BA97" s="3">
        <f>Legacy!BA55+Paid!BA53+React!BA92+Params!$B$9*Adds!BA140</f>
        <v/>
      </c>
      <c r="BB97" s="3">
        <f>Legacy!BB55+Paid!BB53+React!BB92+Params!$B$9*Adds!BB140</f>
        <v/>
      </c>
      <c r="BC97" s="3">
        <f>Legacy!BC55+Paid!BC53+React!BC92+Params!$B$9*Adds!BC140</f>
        <v/>
      </c>
      <c r="BD97" s="3">
        <f>Legacy!BD55+Paid!BD53+React!BD92+Params!$B$9*Adds!BD140</f>
        <v/>
      </c>
      <c r="BE97" s="3">
        <f>Legacy!BE55+Paid!BE53+React!BE92+Params!$B$9*Adds!BE140</f>
        <v/>
      </c>
      <c r="BF97" s="3">
        <f>Legacy!BF55+Paid!BF53+React!BF92+Params!$B$9*Adds!BF140</f>
        <v/>
      </c>
      <c r="BG97" s="3">
        <f>Legacy!BG55+Paid!BG53+React!BG92+Params!$B$9*Adds!BG140</f>
        <v/>
      </c>
      <c r="BH97" s="3">
        <f>Legacy!BH55+Paid!BH53+React!BH92+Params!$B$9*Adds!BH140</f>
        <v/>
      </c>
      <c r="BI97" s="3">
        <f>Legacy!BI55+Paid!BI53+React!BI92+Params!$B$9*Adds!BI140</f>
        <v/>
      </c>
      <c r="BJ97" s="3">
        <f>Legacy!BJ55+Paid!BJ53+React!BJ92+Params!$B$9*Adds!BJ140</f>
        <v/>
      </c>
      <c r="BK97" s="3">
        <f>Legacy!BK55+Paid!BK53+React!BK92+Params!$B$9*Adds!BK140</f>
        <v/>
      </c>
      <c r="BL97" s="3">
        <f>Legacy!BL55+Paid!BL53+React!BL92+Params!$B$9*Adds!BL140</f>
        <v/>
      </c>
      <c r="BM97" s="3">
        <f>Legacy!BM55+Paid!BM53+React!BM92+Params!$B$9*Adds!BM140</f>
        <v/>
      </c>
      <c r="BN97" s="3">
        <f>Legacy!BN55+Paid!BN53+React!BN92+Params!$B$9*Adds!BN140</f>
        <v/>
      </c>
      <c r="BO97" s="3">
        <f>Legacy!BO55+Paid!BO53+React!BO92+Params!$B$9*Adds!BO140</f>
        <v/>
      </c>
      <c r="BP97" s="3">
        <f>Legacy!BP55+Paid!BP53+React!BP92+Params!$B$9*Adds!BP140</f>
        <v/>
      </c>
      <c r="BQ97" s="3">
        <f>Legacy!BQ55+Paid!BQ53+React!BQ92+Params!$B$9*Adds!BQ140</f>
        <v/>
      </c>
      <c r="BR97" s="3">
        <f>Legacy!BR55+Paid!BR53+React!BR92+Params!$B$9*Adds!BR140</f>
        <v/>
      </c>
      <c r="BS97" s="3">
        <f>Legacy!BS55+Paid!BS53+React!BS92+Params!$B$9*Adds!BS140</f>
        <v/>
      </c>
      <c r="BT97" s="3">
        <f>Legacy!BT55+Paid!BT53+React!BT92+Params!$B$9*Adds!BT140</f>
        <v/>
      </c>
      <c r="BU97" s="3">
        <f>Legacy!BU55+Paid!BU53+React!BU92+Params!$B$9*Adds!BU140</f>
        <v/>
      </c>
      <c r="BV97" s="3">
        <f>Legacy!BV55+Paid!BV53+React!BV92+Params!$B$9*Adds!BV140</f>
        <v/>
      </c>
    </row>
    <row r="98">
      <c r="A98" t="inlineStr">
        <is>
          <t>closing</t>
        </is>
      </c>
      <c r="B98" t="inlineStr">
        <is>
          <t>APAC|NITRO_M</t>
        </is>
      </c>
      <c r="C98" s="3">
        <f>C99+Params!$B$9*Adds!C143</f>
        <v/>
      </c>
      <c r="D98" s="3">
        <f>D99+Params!$B$9*Adds!D143</f>
        <v/>
      </c>
      <c r="E98" s="3">
        <f>E99+Params!$B$9*Adds!E143</f>
        <v/>
      </c>
      <c r="F98" s="3">
        <f>F99+Params!$B$9*Adds!F143</f>
        <v/>
      </c>
      <c r="G98" s="3">
        <f>G99+Params!$B$9*Adds!G143</f>
        <v/>
      </c>
      <c r="H98" s="3">
        <f>H99+Params!$B$9*Adds!H143</f>
        <v/>
      </c>
      <c r="I98" s="3">
        <f>I99+Params!$B$9*Adds!I143</f>
        <v/>
      </c>
      <c r="J98" s="3">
        <f>J99+Params!$B$9*Adds!J143</f>
        <v/>
      </c>
      <c r="K98" s="3">
        <f>K99+Params!$B$9*Adds!K143</f>
        <v/>
      </c>
      <c r="L98" s="3">
        <f>L99+Params!$B$9*Adds!L143</f>
        <v/>
      </c>
      <c r="M98" s="3">
        <f>M99+Params!$B$9*Adds!M143</f>
        <v/>
      </c>
      <c r="N98" s="3">
        <f>N99+Params!$B$9*Adds!N143</f>
        <v/>
      </c>
      <c r="O98" s="3">
        <f>O99+Params!$B$9*Adds!O143</f>
        <v/>
      </c>
      <c r="P98" s="3">
        <f>P99+Params!$B$9*Adds!P143</f>
        <v/>
      </c>
      <c r="Q98" s="3">
        <f>Q99+Params!$B$9*Adds!Q143</f>
        <v/>
      </c>
      <c r="R98" s="3">
        <f>R99+Params!$B$9*Adds!R143</f>
        <v/>
      </c>
      <c r="S98" s="3">
        <f>S99+Params!$B$9*Adds!S143</f>
        <v/>
      </c>
      <c r="T98" s="3">
        <f>T99+Params!$B$9*Adds!T143</f>
        <v/>
      </c>
      <c r="U98" s="3">
        <f>U99+Params!$B$9*Adds!U143</f>
        <v/>
      </c>
      <c r="V98" s="3">
        <f>V99+Params!$B$9*Adds!V143</f>
        <v/>
      </c>
      <c r="W98" s="3">
        <f>W99+Params!$B$9*Adds!W143</f>
        <v/>
      </c>
      <c r="X98" s="3">
        <f>X99+Params!$B$9*Adds!X143</f>
        <v/>
      </c>
      <c r="Y98" s="3">
        <f>Y99+Params!$B$9*Adds!Y143</f>
        <v/>
      </c>
      <c r="Z98" s="3">
        <f>Z99+Params!$B$9*Adds!Z143</f>
        <v/>
      </c>
      <c r="AA98" s="3">
        <f>AA99+Params!$B$9*Adds!AA143</f>
        <v/>
      </c>
      <c r="AB98" s="3">
        <f>AB99+Params!$B$9*Adds!AB143</f>
        <v/>
      </c>
      <c r="AC98" s="3">
        <f>AC99+Params!$B$9*Adds!AC143</f>
        <v/>
      </c>
      <c r="AD98" s="3">
        <f>AD99+Params!$B$9*Adds!AD143</f>
        <v/>
      </c>
      <c r="AE98" s="3">
        <f>AE99+Params!$B$9*Adds!AE143</f>
        <v/>
      </c>
      <c r="AF98" s="3">
        <f>AF99+Params!$B$9*Adds!AF143</f>
        <v/>
      </c>
      <c r="AG98" s="3">
        <f>AG99+Params!$B$9*Adds!AG143</f>
        <v/>
      </c>
      <c r="AH98" s="3">
        <f>AH99+Params!$B$9*Adds!AH143</f>
        <v/>
      </c>
      <c r="AI98" s="3">
        <f>AI99+Params!$B$9*Adds!AI143</f>
        <v/>
      </c>
      <c r="AJ98" s="3">
        <f>AJ99+Params!$B$9*Adds!AJ143</f>
        <v/>
      </c>
      <c r="AK98" s="3">
        <f>AK99+Params!$B$9*Adds!AK143</f>
        <v/>
      </c>
      <c r="AL98" s="3">
        <f>AL99+Params!$B$9*Adds!AL143</f>
        <v/>
      </c>
      <c r="AM98" s="3">
        <f>AM99+Params!$B$9*Adds!AM143</f>
        <v/>
      </c>
      <c r="AN98" s="3">
        <f>AN99+Params!$B$9*Adds!AN143</f>
        <v/>
      </c>
      <c r="AO98" s="3">
        <f>AO99+Params!$B$9*Adds!AO143</f>
        <v/>
      </c>
      <c r="AP98" s="3">
        <f>AP99+Params!$B$9*Adds!AP143</f>
        <v/>
      </c>
      <c r="AQ98" s="3">
        <f>AQ99+Params!$B$9*Adds!AQ143</f>
        <v/>
      </c>
      <c r="AR98" s="3">
        <f>AR99+Params!$B$9*Adds!AR143</f>
        <v/>
      </c>
      <c r="AS98" s="3">
        <f>AS99+Params!$B$9*Adds!AS143</f>
        <v/>
      </c>
      <c r="AT98" s="3">
        <f>AT99+Params!$B$9*Adds!AT143</f>
        <v/>
      </c>
      <c r="AU98" s="3">
        <f>AU99+Params!$B$9*Adds!AU143</f>
        <v/>
      </c>
      <c r="AV98" s="3">
        <f>AV99+Params!$B$9*Adds!AV143</f>
        <v/>
      </c>
      <c r="AW98" s="3">
        <f>AW99+Params!$B$9*Adds!AW143</f>
        <v/>
      </c>
      <c r="AX98" s="3">
        <f>AX99+Params!$B$9*Adds!AX143</f>
        <v/>
      </c>
      <c r="AY98" s="3">
        <f>AY99+Params!$B$9*Adds!AY143</f>
        <v/>
      </c>
      <c r="AZ98" s="3">
        <f>AZ99+Params!$B$9*Adds!AZ143</f>
        <v/>
      </c>
      <c r="BA98" s="3">
        <f>BA99+Params!$B$9*Adds!BA143</f>
        <v/>
      </c>
      <c r="BB98" s="3">
        <f>BB99+Params!$B$9*Adds!BB143</f>
        <v/>
      </c>
      <c r="BC98" s="3">
        <f>BC99+Params!$B$9*Adds!BC143</f>
        <v/>
      </c>
      <c r="BD98" s="3">
        <f>BD99+Params!$B$9*Adds!BD143</f>
        <v/>
      </c>
      <c r="BE98" s="3">
        <f>BE99+Params!$B$9*Adds!BE143</f>
        <v/>
      </c>
      <c r="BF98" s="3">
        <f>BF99+Params!$B$9*Adds!BF143</f>
        <v/>
      </c>
      <c r="BG98" s="3">
        <f>BG99+Params!$B$9*Adds!BG143</f>
        <v/>
      </c>
      <c r="BH98" s="3">
        <f>BH99+Params!$B$9*Adds!BH143</f>
        <v/>
      </c>
      <c r="BI98" s="3">
        <f>BI99+Params!$B$9*Adds!BI143</f>
        <v/>
      </c>
      <c r="BJ98" s="3">
        <f>BJ99+Params!$B$9*Adds!BJ143</f>
        <v/>
      </c>
      <c r="BK98" s="3">
        <f>BK99+Params!$B$9*Adds!BK143</f>
        <v/>
      </c>
      <c r="BL98" s="3">
        <f>BL99+Params!$B$9*Adds!BL143</f>
        <v/>
      </c>
      <c r="BM98" s="3">
        <f>BM99+Params!$B$9*Adds!BM143</f>
        <v/>
      </c>
      <c r="BN98" s="3">
        <f>BN99+Params!$B$9*Adds!BN143</f>
        <v/>
      </c>
      <c r="BO98" s="3">
        <f>BO99+Params!$B$9*Adds!BO143</f>
        <v/>
      </c>
      <c r="BP98" s="3">
        <f>BP99+Params!$B$9*Adds!BP143</f>
        <v/>
      </c>
      <c r="BQ98" s="3">
        <f>BQ99+Params!$B$9*Adds!BQ143</f>
        <v/>
      </c>
      <c r="BR98" s="3">
        <f>BR99+Params!$B$9*Adds!BR143</f>
        <v/>
      </c>
      <c r="BS98" s="3">
        <f>BS99+Params!$B$9*Adds!BS143</f>
        <v/>
      </c>
      <c r="BT98" s="3">
        <f>BT99+Params!$B$9*Adds!BT143</f>
        <v/>
      </c>
      <c r="BU98" s="3">
        <f>BU99+Params!$B$9*Adds!BU143</f>
        <v/>
      </c>
      <c r="BV98" s="3">
        <f>BV99+Params!$B$9*Adds!BV143</f>
        <v/>
      </c>
    </row>
    <row r="99">
      <c r="A99" t="inlineStr">
        <is>
          <t>paying</t>
        </is>
      </c>
      <c r="B99" t="inlineStr">
        <is>
          <t>APAC|NITRO_M</t>
        </is>
      </c>
      <c r="C99" s="3">
        <f>Legacy!C54+Paid!C51+React!C90</f>
        <v/>
      </c>
      <c r="D99" s="3">
        <f>Legacy!D54+Paid!D51+React!D90</f>
        <v/>
      </c>
      <c r="E99" s="3">
        <f>Legacy!E54+Paid!E51+React!E90</f>
        <v/>
      </c>
      <c r="F99" s="3">
        <f>Legacy!F54+Paid!F51+React!F90</f>
        <v/>
      </c>
      <c r="G99" s="3">
        <f>Legacy!G54+Paid!G51+React!G90</f>
        <v/>
      </c>
      <c r="H99" s="3">
        <f>Legacy!H54+Paid!H51+React!H90</f>
        <v/>
      </c>
      <c r="I99" s="3">
        <f>Legacy!I54+Paid!I51+React!I90</f>
        <v/>
      </c>
      <c r="J99" s="3">
        <f>Legacy!J54+Paid!J51+React!J90</f>
        <v/>
      </c>
      <c r="K99" s="3">
        <f>Legacy!K54+Paid!K51+React!K90</f>
        <v/>
      </c>
      <c r="L99" s="3">
        <f>Legacy!L54+Paid!L51+React!L90</f>
        <v/>
      </c>
      <c r="M99" s="3">
        <f>Legacy!M54+Paid!M51+React!M90</f>
        <v/>
      </c>
      <c r="N99" s="3">
        <f>Legacy!N54+Paid!N51+React!N90</f>
        <v/>
      </c>
      <c r="O99" s="3">
        <f>Legacy!O54+Paid!O51+React!O90</f>
        <v/>
      </c>
      <c r="P99" s="3">
        <f>Legacy!P54+Paid!P51+React!P90</f>
        <v/>
      </c>
      <c r="Q99" s="3">
        <f>Legacy!Q54+Paid!Q51+React!Q90</f>
        <v/>
      </c>
      <c r="R99" s="3">
        <f>Legacy!R54+Paid!R51+React!R90</f>
        <v/>
      </c>
      <c r="S99" s="3">
        <f>Legacy!S54+Paid!S51+React!S90</f>
        <v/>
      </c>
      <c r="T99" s="3">
        <f>Legacy!T54+Paid!T51+React!T90</f>
        <v/>
      </c>
      <c r="U99" s="3">
        <f>Legacy!U54+Paid!U51+React!U90</f>
        <v/>
      </c>
      <c r="V99" s="3">
        <f>Legacy!V54+Paid!V51+React!V90</f>
        <v/>
      </c>
      <c r="W99" s="3">
        <f>Legacy!W54+Paid!W51+React!W90</f>
        <v/>
      </c>
      <c r="X99" s="3">
        <f>Legacy!X54+Paid!X51+React!X90</f>
        <v/>
      </c>
      <c r="Y99" s="3">
        <f>Legacy!Y54+Paid!Y51+React!Y90</f>
        <v/>
      </c>
      <c r="Z99" s="3">
        <f>Legacy!Z54+Paid!Z51+React!Z90</f>
        <v/>
      </c>
      <c r="AA99" s="3">
        <f>Legacy!AA54+Paid!AA51+React!AA90</f>
        <v/>
      </c>
      <c r="AB99" s="3">
        <f>Legacy!AB54+Paid!AB51+React!AB90</f>
        <v/>
      </c>
      <c r="AC99" s="3">
        <f>Legacy!AC54+Paid!AC51+React!AC90</f>
        <v/>
      </c>
      <c r="AD99" s="3">
        <f>Legacy!AD54+Paid!AD51+React!AD90</f>
        <v/>
      </c>
      <c r="AE99" s="3">
        <f>Legacy!AE54+Paid!AE51+React!AE90</f>
        <v/>
      </c>
      <c r="AF99" s="3">
        <f>Legacy!AF54+Paid!AF51+React!AF90</f>
        <v/>
      </c>
      <c r="AG99" s="3">
        <f>Legacy!AG54+Paid!AG51+React!AG90</f>
        <v/>
      </c>
      <c r="AH99" s="3">
        <f>Legacy!AH54+Paid!AH51+React!AH90</f>
        <v/>
      </c>
      <c r="AI99" s="3">
        <f>Legacy!AI54+Paid!AI51+React!AI90</f>
        <v/>
      </c>
      <c r="AJ99" s="3">
        <f>Legacy!AJ54+Paid!AJ51+React!AJ90</f>
        <v/>
      </c>
      <c r="AK99" s="3">
        <f>Legacy!AK54+Paid!AK51+React!AK90</f>
        <v/>
      </c>
      <c r="AL99" s="3">
        <f>Legacy!AL54+Paid!AL51+React!AL90</f>
        <v/>
      </c>
      <c r="AM99" s="3">
        <f>Legacy!AM54+Paid!AM51+React!AM90</f>
        <v/>
      </c>
      <c r="AN99" s="3">
        <f>Legacy!AN54+Paid!AN51+React!AN90</f>
        <v/>
      </c>
      <c r="AO99" s="3">
        <f>Legacy!AO54+Paid!AO51+React!AO90</f>
        <v/>
      </c>
      <c r="AP99" s="3">
        <f>Legacy!AP54+Paid!AP51+React!AP90</f>
        <v/>
      </c>
      <c r="AQ99" s="3">
        <f>Legacy!AQ54+Paid!AQ51+React!AQ90</f>
        <v/>
      </c>
      <c r="AR99" s="3">
        <f>Legacy!AR54+Paid!AR51+React!AR90</f>
        <v/>
      </c>
      <c r="AS99" s="3">
        <f>Legacy!AS54+Paid!AS51+React!AS90</f>
        <v/>
      </c>
      <c r="AT99" s="3">
        <f>Legacy!AT54+Paid!AT51+React!AT90</f>
        <v/>
      </c>
      <c r="AU99" s="3">
        <f>Legacy!AU54+Paid!AU51+React!AU90</f>
        <v/>
      </c>
      <c r="AV99" s="3">
        <f>Legacy!AV54+Paid!AV51+React!AV90</f>
        <v/>
      </c>
      <c r="AW99" s="3">
        <f>Legacy!AW54+Paid!AW51+React!AW90</f>
        <v/>
      </c>
      <c r="AX99" s="3">
        <f>Legacy!AX54+Paid!AX51+React!AX90</f>
        <v/>
      </c>
      <c r="AY99" s="3">
        <f>Legacy!AY54+Paid!AY51+React!AY90</f>
        <v/>
      </c>
      <c r="AZ99" s="3">
        <f>Legacy!AZ54+Paid!AZ51+React!AZ90</f>
        <v/>
      </c>
      <c r="BA99" s="3">
        <f>Legacy!BA54+Paid!BA51+React!BA90</f>
        <v/>
      </c>
      <c r="BB99" s="3">
        <f>Legacy!BB54+Paid!BB51+React!BB90</f>
        <v/>
      </c>
      <c r="BC99" s="3">
        <f>Legacy!BC54+Paid!BC51+React!BC90</f>
        <v/>
      </c>
      <c r="BD99" s="3">
        <f>Legacy!BD54+Paid!BD51+React!BD90</f>
        <v/>
      </c>
      <c r="BE99" s="3">
        <f>Legacy!BE54+Paid!BE51+React!BE90</f>
        <v/>
      </c>
      <c r="BF99" s="3">
        <f>Legacy!BF54+Paid!BF51+React!BF90</f>
        <v/>
      </c>
      <c r="BG99" s="3">
        <f>Legacy!BG54+Paid!BG51+React!BG90</f>
        <v/>
      </c>
      <c r="BH99" s="3">
        <f>Legacy!BH54+Paid!BH51+React!BH90</f>
        <v/>
      </c>
      <c r="BI99" s="3">
        <f>Legacy!BI54+Paid!BI51+React!BI90</f>
        <v/>
      </c>
      <c r="BJ99" s="3">
        <f>Legacy!BJ54+Paid!BJ51+React!BJ90</f>
        <v/>
      </c>
      <c r="BK99" s="3">
        <f>Legacy!BK54+Paid!BK51+React!BK90</f>
        <v/>
      </c>
      <c r="BL99" s="3">
        <f>Legacy!BL54+Paid!BL51+React!BL90</f>
        <v/>
      </c>
      <c r="BM99" s="3">
        <f>Legacy!BM54+Paid!BM51+React!BM90</f>
        <v/>
      </c>
      <c r="BN99" s="3">
        <f>Legacy!BN54+Paid!BN51+React!BN90</f>
        <v/>
      </c>
      <c r="BO99" s="3">
        <f>Legacy!BO54+Paid!BO51+React!BO90</f>
        <v/>
      </c>
      <c r="BP99" s="3">
        <f>Legacy!BP54+Paid!BP51+React!BP90</f>
        <v/>
      </c>
      <c r="BQ99" s="3">
        <f>Legacy!BQ54+Paid!BQ51+React!BQ90</f>
        <v/>
      </c>
      <c r="BR99" s="3">
        <f>Legacy!BR54+Paid!BR51+React!BR90</f>
        <v/>
      </c>
      <c r="BS99" s="3">
        <f>Legacy!BS54+Paid!BS51+React!BS90</f>
        <v/>
      </c>
      <c r="BT99" s="3">
        <f>Legacy!BT54+Paid!BT51+React!BT90</f>
        <v/>
      </c>
      <c r="BU99" s="3">
        <f>Legacy!BU54+Paid!BU51+React!BU90</f>
        <v/>
      </c>
      <c r="BV99" s="3">
        <f>Legacy!BV54+Paid!BV51+React!BV90</f>
        <v/>
      </c>
    </row>
    <row r="101">
      <c r="A101" t="inlineStr">
        <is>
          <t>opening</t>
        </is>
      </c>
      <c r="B101" t="inlineStr">
        <is>
          <t>APAC|NITRO_A</t>
        </is>
      </c>
      <c r="C101" s="3">
        <f>Legacy!$C$57</f>
        <v/>
      </c>
      <c r="D101" s="3">
        <f>C105</f>
        <v/>
      </c>
      <c r="E101" s="3">
        <f>D105</f>
        <v/>
      </c>
      <c r="F101" s="3">
        <f>E105</f>
        <v/>
      </c>
      <c r="G101" s="3">
        <f>F105</f>
        <v/>
      </c>
      <c r="H101" s="3">
        <f>G105</f>
        <v/>
      </c>
      <c r="I101" s="3">
        <f>H105</f>
        <v/>
      </c>
      <c r="J101" s="3">
        <f>I105</f>
        <v/>
      </c>
      <c r="K101" s="3">
        <f>J105</f>
        <v/>
      </c>
      <c r="L101" s="3">
        <f>K105</f>
        <v/>
      </c>
      <c r="M101" s="3">
        <f>L105</f>
        <v/>
      </c>
      <c r="N101" s="3">
        <f>M105</f>
        <v/>
      </c>
      <c r="O101" s="3">
        <f>N105</f>
        <v/>
      </c>
      <c r="P101" s="3">
        <f>O105</f>
        <v/>
      </c>
      <c r="Q101" s="3">
        <f>P105</f>
        <v/>
      </c>
      <c r="R101" s="3">
        <f>Q105</f>
        <v/>
      </c>
      <c r="S101" s="3">
        <f>R105</f>
        <v/>
      </c>
      <c r="T101" s="3">
        <f>S105</f>
        <v/>
      </c>
      <c r="U101" s="3">
        <f>T105</f>
        <v/>
      </c>
      <c r="V101" s="3">
        <f>U105</f>
        <v/>
      </c>
      <c r="W101" s="3">
        <f>V105</f>
        <v/>
      </c>
      <c r="X101" s="3">
        <f>W105</f>
        <v/>
      </c>
      <c r="Y101" s="3">
        <f>X105</f>
        <v/>
      </c>
      <c r="Z101" s="3">
        <f>Y105</f>
        <v/>
      </c>
      <c r="AA101" s="3">
        <f>Z105</f>
        <v/>
      </c>
      <c r="AB101" s="3">
        <f>AA105</f>
        <v/>
      </c>
      <c r="AC101" s="3">
        <f>AB105</f>
        <v/>
      </c>
      <c r="AD101" s="3">
        <f>AC105</f>
        <v/>
      </c>
      <c r="AE101" s="3">
        <f>AD105</f>
        <v/>
      </c>
      <c r="AF101" s="3">
        <f>AE105</f>
        <v/>
      </c>
      <c r="AG101" s="3">
        <f>AF105</f>
        <v/>
      </c>
      <c r="AH101" s="3">
        <f>AG105</f>
        <v/>
      </c>
      <c r="AI101" s="3">
        <f>AH105</f>
        <v/>
      </c>
      <c r="AJ101" s="3">
        <f>AI105</f>
        <v/>
      </c>
      <c r="AK101" s="3">
        <f>AJ105</f>
        <v/>
      </c>
      <c r="AL101" s="3">
        <f>AK105</f>
        <v/>
      </c>
      <c r="AM101" s="3">
        <f>AL105</f>
        <v/>
      </c>
      <c r="AN101" s="3">
        <f>AM105</f>
        <v/>
      </c>
      <c r="AO101" s="3">
        <f>AN105</f>
        <v/>
      </c>
      <c r="AP101" s="3">
        <f>AO105</f>
        <v/>
      </c>
      <c r="AQ101" s="3">
        <f>AP105</f>
        <v/>
      </c>
      <c r="AR101" s="3">
        <f>AQ105</f>
        <v/>
      </c>
      <c r="AS101" s="3">
        <f>AR105</f>
        <v/>
      </c>
      <c r="AT101" s="3">
        <f>AS105</f>
        <v/>
      </c>
      <c r="AU101" s="3">
        <f>AT105</f>
        <v/>
      </c>
      <c r="AV101" s="3">
        <f>AU105</f>
        <v/>
      </c>
      <c r="AW101" s="3">
        <f>AV105</f>
        <v/>
      </c>
      <c r="AX101" s="3">
        <f>AW105</f>
        <v/>
      </c>
      <c r="AY101" s="3">
        <f>AX105</f>
        <v/>
      </c>
      <c r="AZ101" s="3">
        <f>AY105</f>
        <v/>
      </c>
      <c r="BA101" s="3">
        <f>AZ105</f>
        <v/>
      </c>
      <c r="BB101" s="3">
        <f>BA105</f>
        <v/>
      </c>
      <c r="BC101" s="3">
        <f>BB105</f>
        <v/>
      </c>
      <c r="BD101" s="3">
        <f>BC105</f>
        <v/>
      </c>
      <c r="BE101" s="3">
        <f>BD105</f>
        <v/>
      </c>
      <c r="BF101" s="3">
        <f>BE105</f>
        <v/>
      </c>
      <c r="BG101" s="3">
        <f>BF105</f>
        <v/>
      </c>
      <c r="BH101" s="3">
        <f>BG105</f>
        <v/>
      </c>
      <c r="BI101" s="3">
        <f>BH105</f>
        <v/>
      </c>
      <c r="BJ101" s="3">
        <f>BI105</f>
        <v/>
      </c>
      <c r="BK101" s="3">
        <f>BJ105</f>
        <v/>
      </c>
      <c r="BL101" s="3">
        <f>BK105</f>
        <v/>
      </c>
      <c r="BM101" s="3">
        <f>BL105</f>
        <v/>
      </c>
      <c r="BN101" s="3">
        <f>BM105</f>
        <v/>
      </c>
      <c r="BO101" s="3">
        <f>BN105</f>
        <v/>
      </c>
      <c r="BP101" s="3">
        <f>BO105</f>
        <v/>
      </c>
      <c r="BQ101" s="3">
        <f>BP105</f>
        <v/>
      </c>
      <c r="BR101" s="3">
        <f>BQ105</f>
        <v/>
      </c>
      <c r="BS101" s="3">
        <f>BR105</f>
        <v/>
      </c>
      <c r="BT101" s="3">
        <f>BS105</f>
        <v/>
      </c>
      <c r="BU101" s="3">
        <f>BT105</f>
        <v/>
      </c>
      <c r="BV101" s="3">
        <f>BU105</f>
        <v/>
      </c>
    </row>
    <row r="102">
      <c r="A102" t="inlineStr">
        <is>
          <t>new</t>
        </is>
      </c>
      <c r="B102" t="inlineStr">
        <is>
          <t>APAC|NITRO_A</t>
        </is>
      </c>
      <c r="C102" s="3">
        <f>Adds!C148+IF(Params!$B$9=1,Adds!C147,Adds!C150)</f>
        <v/>
      </c>
      <c r="D102" s="3">
        <f>Adds!D148+IF(Params!$B$9=1,Adds!D147,Adds!D150)</f>
        <v/>
      </c>
      <c r="E102" s="3">
        <f>Adds!E148+IF(Params!$B$9=1,Adds!E147,Adds!E150)</f>
        <v/>
      </c>
      <c r="F102" s="3">
        <f>Adds!F148+IF(Params!$B$9=1,Adds!F147,Adds!F150)</f>
        <v/>
      </c>
      <c r="G102" s="3">
        <f>Adds!G148+IF(Params!$B$9=1,Adds!G147,Adds!G150)</f>
        <v/>
      </c>
      <c r="H102" s="3">
        <f>Adds!H148+IF(Params!$B$9=1,Adds!H147,Adds!H150)</f>
        <v/>
      </c>
      <c r="I102" s="3">
        <f>Adds!I148+IF(Params!$B$9=1,Adds!I147,Adds!I150)</f>
        <v/>
      </c>
      <c r="J102" s="3">
        <f>Adds!J148+IF(Params!$B$9=1,Adds!J147,Adds!J150)</f>
        <v/>
      </c>
      <c r="K102" s="3">
        <f>Adds!K148+IF(Params!$B$9=1,Adds!K147,Adds!K150)</f>
        <v/>
      </c>
      <c r="L102" s="3">
        <f>Adds!L148+IF(Params!$B$9=1,Adds!L147,Adds!L150)</f>
        <v/>
      </c>
      <c r="M102" s="3">
        <f>Adds!M148+IF(Params!$B$9=1,Adds!M147,Adds!M150)</f>
        <v/>
      </c>
      <c r="N102" s="3">
        <f>Adds!N148+IF(Params!$B$9=1,Adds!N147,Adds!N150)</f>
        <v/>
      </c>
      <c r="O102" s="3">
        <f>Adds!O148+IF(Params!$B$9=1,Adds!O147,Adds!O150)</f>
        <v/>
      </c>
      <c r="P102" s="3">
        <f>Adds!P148+IF(Params!$B$9=1,Adds!P147,Adds!P150)</f>
        <v/>
      </c>
      <c r="Q102" s="3">
        <f>Adds!Q148+IF(Params!$B$9=1,Adds!Q147,Adds!Q150)</f>
        <v/>
      </c>
      <c r="R102" s="3">
        <f>Adds!R148+IF(Params!$B$9=1,Adds!R147,Adds!R150)</f>
        <v/>
      </c>
      <c r="S102" s="3">
        <f>Adds!S148+IF(Params!$B$9=1,Adds!S147,Adds!S150)</f>
        <v/>
      </c>
      <c r="T102" s="3">
        <f>Adds!T148+IF(Params!$B$9=1,Adds!T147,Adds!T150)</f>
        <v/>
      </c>
      <c r="U102" s="3">
        <f>Adds!U148+IF(Params!$B$9=1,Adds!U147,Adds!U150)</f>
        <v/>
      </c>
      <c r="V102" s="3">
        <f>Adds!V148+IF(Params!$B$9=1,Adds!V147,Adds!V150)</f>
        <v/>
      </c>
      <c r="W102" s="3">
        <f>Adds!W148+IF(Params!$B$9=1,Adds!W147,Adds!W150)</f>
        <v/>
      </c>
      <c r="X102" s="3">
        <f>Adds!X148+IF(Params!$B$9=1,Adds!X147,Adds!X150)</f>
        <v/>
      </c>
      <c r="Y102" s="3">
        <f>Adds!Y148+IF(Params!$B$9=1,Adds!Y147,Adds!Y150)</f>
        <v/>
      </c>
      <c r="Z102" s="3">
        <f>Adds!Z148+IF(Params!$B$9=1,Adds!Z147,Adds!Z150)</f>
        <v/>
      </c>
      <c r="AA102" s="3">
        <f>Adds!AA148+IF(Params!$B$9=1,Adds!AA147,Adds!AA150)</f>
        <v/>
      </c>
      <c r="AB102" s="3">
        <f>Adds!AB148+IF(Params!$B$9=1,Adds!AB147,Adds!AB150)</f>
        <v/>
      </c>
      <c r="AC102" s="3">
        <f>Adds!AC148+IF(Params!$B$9=1,Adds!AC147,Adds!AC150)</f>
        <v/>
      </c>
      <c r="AD102" s="3">
        <f>Adds!AD148+IF(Params!$B$9=1,Adds!AD147,Adds!AD150)</f>
        <v/>
      </c>
      <c r="AE102" s="3">
        <f>Adds!AE148+IF(Params!$B$9=1,Adds!AE147,Adds!AE150)</f>
        <v/>
      </c>
      <c r="AF102" s="3">
        <f>Adds!AF148+IF(Params!$B$9=1,Adds!AF147,Adds!AF150)</f>
        <v/>
      </c>
      <c r="AG102" s="3">
        <f>Adds!AG148+IF(Params!$B$9=1,Adds!AG147,Adds!AG150)</f>
        <v/>
      </c>
      <c r="AH102" s="3">
        <f>Adds!AH148+IF(Params!$B$9=1,Adds!AH147,Adds!AH150)</f>
        <v/>
      </c>
      <c r="AI102" s="3">
        <f>Adds!AI148+IF(Params!$B$9=1,Adds!AI147,Adds!AI150)</f>
        <v/>
      </c>
      <c r="AJ102" s="3">
        <f>Adds!AJ148+IF(Params!$B$9=1,Adds!AJ147,Adds!AJ150)</f>
        <v/>
      </c>
      <c r="AK102" s="3">
        <f>Adds!AK148+IF(Params!$B$9=1,Adds!AK147,Adds!AK150)</f>
        <v/>
      </c>
      <c r="AL102" s="3">
        <f>Adds!AL148+IF(Params!$B$9=1,Adds!AL147,Adds!AL150)</f>
        <v/>
      </c>
      <c r="AM102" s="3">
        <f>Adds!AM148+IF(Params!$B$9=1,Adds!AM147,Adds!AM150)</f>
        <v/>
      </c>
      <c r="AN102" s="3">
        <f>Adds!AN148+IF(Params!$B$9=1,Adds!AN147,Adds!AN150)</f>
        <v/>
      </c>
      <c r="AO102" s="3">
        <f>Adds!AO148+IF(Params!$B$9=1,Adds!AO147,Adds!AO150)</f>
        <v/>
      </c>
      <c r="AP102" s="3">
        <f>Adds!AP148+IF(Params!$B$9=1,Adds!AP147,Adds!AP150)</f>
        <v/>
      </c>
      <c r="AQ102" s="3">
        <f>Adds!AQ148+IF(Params!$B$9=1,Adds!AQ147,Adds!AQ150)</f>
        <v/>
      </c>
      <c r="AR102" s="3">
        <f>Adds!AR148+IF(Params!$B$9=1,Adds!AR147,Adds!AR150)</f>
        <v/>
      </c>
      <c r="AS102" s="3">
        <f>Adds!AS148+IF(Params!$B$9=1,Adds!AS147,Adds!AS150)</f>
        <v/>
      </c>
      <c r="AT102" s="3">
        <f>Adds!AT148+IF(Params!$B$9=1,Adds!AT147,Adds!AT150)</f>
        <v/>
      </c>
      <c r="AU102" s="3">
        <f>Adds!AU148+IF(Params!$B$9=1,Adds!AU147,Adds!AU150)</f>
        <v/>
      </c>
      <c r="AV102" s="3">
        <f>Adds!AV148+IF(Params!$B$9=1,Adds!AV147,Adds!AV150)</f>
        <v/>
      </c>
      <c r="AW102" s="3">
        <f>Adds!AW148+IF(Params!$B$9=1,Adds!AW147,Adds!AW150)</f>
        <v/>
      </c>
      <c r="AX102" s="3">
        <f>Adds!AX148+IF(Params!$B$9=1,Adds!AX147,Adds!AX150)</f>
        <v/>
      </c>
      <c r="AY102" s="3">
        <f>Adds!AY148+IF(Params!$B$9=1,Adds!AY147,Adds!AY150)</f>
        <v/>
      </c>
      <c r="AZ102" s="3">
        <f>Adds!AZ148+IF(Params!$B$9=1,Adds!AZ147,Adds!AZ150)</f>
        <v/>
      </c>
      <c r="BA102" s="3">
        <f>Adds!BA148+IF(Params!$B$9=1,Adds!BA147,Adds!BA150)</f>
        <v/>
      </c>
      <c r="BB102" s="3">
        <f>Adds!BB148+IF(Params!$B$9=1,Adds!BB147,Adds!BB150)</f>
        <v/>
      </c>
      <c r="BC102" s="3">
        <f>Adds!BC148+IF(Params!$B$9=1,Adds!BC147,Adds!BC150)</f>
        <v/>
      </c>
      <c r="BD102" s="3">
        <f>Adds!BD148+IF(Params!$B$9=1,Adds!BD147,Adds!BD150)</f>
        <v/>
      </c>
      <c r="BE102" s="3">
        <f>Adds!BE148+IF(Params!$B$9=1,Adds!BE147,Adds!BE150)</f>
        <v/>
      </c>
      <c r="BF102" s="3">
        <f>Adds!BF148+IF(Params!$B$9=1,Adds!BF147,Adds!BF150)</f>
        <v/>
      </c>
      <c r="BG102" s="3">
        <f>Adds!BG148+IF(Params!$B$9=1,Adds!BG147,Adds!BG150)</f>
        <v/>
      </c>
      <c r="BH102" s="3">
        <f>Adds!BH148+IF(Params!$B$9=1,Adds!BH147,Adds!BH150)</f>
        <v/>
      </c>
      <c r="BI102" s="3">
        <f>Adds!BI148+IF(Params!$B$9=1,Adds!BI147,Adds!BI150)</f>
        <v/>
      </c>
      <c r="BJ102" s="3">
        <f>Adds!BJ148+IF(Params!$B$9=1,Adds!BJ147,Adds!BJ150)</f>
        <v/>
      </c>
      <c r="BK102" s="3">
        <f>Adds!BK148+IF(Params!$B$9=1,Adds!BK147,Adds!BK150)</f>
        <v/>
      </c>
      <c r="BL102" s="3">
        <f>Adds!BL148+IF(Params!$B$9=1,Adds!BL147,Adds!BL150)</f>
        <v/>
      </c>
      <c r="BM102" s="3">
        <f>Adds!BM148+IF(Params!$B$9=1,Adds!BM147,Adds!BM150)</f>
        <v/>
      </c>
      <c r="BN102" s="3">
        <f>Adds!BN148+IF(Params!$B$9=1,Adds!BN147,Adds!BN150)</f>
        <v/>
      </c>
      <c r="BO102" s="3">
        <f>Adds!BO148+IF(Params!$B$9=1,Adds!BO147,Adds!BO150)</f>
        <v/>
      </c>
      <c r="BP102" s="3">
        <f>Adds!BP148+IF(Params!$B$9=1,Adds!BP147,Adds!BP150)</f>
        <v/>
      </c>
      <c r="BQ102" s="3">
        <f>Adds!BQ148+IF(Params!$B$9=1,Adds!BQ147,Adds!BQ150)</f>
        <v/>
      </c>
      <c r="BR102" s="3">
        <f>Adds!BR148+IF(Params!$B$9=1,Adds!BR147,Adds!BR150)</f>
        <v/>
      </c>
      <c r="BS102" s="3">
        <f>Adds!BS148+IF(Params!$B$9=1,Adds!BS147,Adds!BS150)</f>
        <v/>
      </c>
      <c r="BT102" s="3">
        <f>Adds!BT148+IF(Params!$B$9=1,Adds!BT147,Adds!BT150)</f>
        <v/>
      </c>
      <c r="BU102" s="3">
        <f>Adds!BU148+IF(Params!$B$9=1,Adds!BU147,Adds!BU150)</f>
        <v/>
      </c>
      <c r="BV102" s="3">
        <f>Adds!BV148+IF(Params!$B$9=1,Adds!BV147,Adds!BV150)</f>
        <v/>
      </c>
    </row>
    <row r="103">
      <c r="A103" t="inlineStr">
        <is>
          <t>reactivated</t>
        </is>
      </c>
      <c r="B103" t="inlineStr">
        <is>
          <t>APAC|NITRO_A</t>
        </is>
      </c>
      <c r="C103" s="3">
        <f>React!C96</f>
        <v/>
      </c>
      <c r="D103" s="3">
        <f>React!D96</f>
        <v/>
      </c>
      <c r="E103" s="3">
        <f>React!E96</f>
        <v/>
      </c>
      <c r="F103" s="3">
        <f>React!F96</f>
        <v/>
      </c>
      <c r="G103" s="3">
        <f>React!G96</f>
        <v/>
      </c>
      <c r="H103" s="3">
        <f>React!H96</f>
        <v/>
      </c>
      <c r="I103" s="3">
        <f>React!I96</f>
        <v/>
      </c>
      <c r="J103" s="3">
        <f>React!J96</f>
        <v/>
      </c>
      <c r="K103" s="3">
        <f>React!K96</f>
        <v/>
      </c>
      <c r="L103" s="3">
        <f>React!L96</f>
        <v/>
      </c>
      <c r="M103" s="3">
        <f>React!M96</f>
        <v/>
      </c>
      <c r="N103" s="3">
        <f>React!N96</f>
        <v/>
      </c>
      <c r="O103" s="3">
        <f>React!O96</f>
        <v/>
      </c>
      <c r="P103" s="3">
        <f>React!P96</f>
        <v/>
      </c>
      <c r="Q103" s="3">
        <f>React!Q96</f>
        <v/>
      </c>
      <c r="R103" s="3">
        <f>React!R96</f>
        <v/>
      </c>
      <c r="S103" s="3">
        <f>React!S96</f>
        <v/>
      </c>
      <c r="T103" s="3">
        <f>React!T96</f>
        <v/>
      </c>
      <c r="U103" s="3">
        <f>React!U96</f>
        <v/>
      </c>
      <c r="V103" s="3">
        <f>React!V96</f>
        <v/>
      </c>
      <c r="W103" s="3">
        <f>React!W96</f>
        <v/>
      </c>
      <c r="X103" s="3">
        <f>React!X96</f>
        <v/>
      </c>
      <c r="Y103" s="3">
        <f>React!Y96</f>
        <v/>
      </c>
      <c r="Z103" s="3">
        <f>React!Z96</f>
        <v/>
      </c>
      <c r="AA103" s="3">
        <f>React!AA96</f>
        <v/>
      </c>
      <c r="AB103" s="3">
        <f>React!AB96</f>
        <v/>
      </c>
      <c r="AC103" s="3">
        <f>React!AC96</f>
        <v/>
      </c>
      <c r="AD103" s="3">
        <f>React!AD96</f>
        <v/>
      </c>
      <c r="AE103" s="3">
        <f>React!AE96</f>
        <v/>
      </c>
      <c r="AF103" s="3">
        <f>React!AF96</f>
        <v/>
      </c>
      <c r="AG103" s="3">
        <f>React!AG96</f>
        <v/>
      </c>
      <c r="AH103" s="3">
        <f>React!AH96</f>
        <v/>
      </c>
      <c r="AI103" s="3">
        <f>React!AI96</f>
        <v/>
      </c>
      <c r="AJ103" s="3">
        <f>React!AJ96</f>
        <v/>
      </c>
      <c r="AK103" s="3">
        <f>React!AK96</f>
        <v/>
      </c>
      <c r="AL103" s="3">
        <f>React!AL96</f>
        <v/>
      </c>
      <c r="AM103" s="3">
        <f>React!AM96</f>
        <v/>
      </c>
      <c r="AN103" s="3">
        <f>React!AN96</f>
        <v/>
      </c>
      <c r="AO103" s="3">
        <f>React!AO96</f>
        <v/>
      </c>
      <c r="AP103" s="3">
        <f>React!AP96</f>
        <v/>
      </c>
      <c r="AQ103" s="3">
        <f>React!AQ96</f>
        <v/>
      </c>
      <c r="AR103" s="3">
        <f>React!AR96</f>
        <v/>
      </c>
      <c r="AS103" s="3">
        <f>React!AS96</f>
        <v/>
      </c>
      <c r="AT103" s="3">
        <f>React!AT96</f>
        <v/>
      </c>
      <c r="AU103" s="3">
        <f>React!AU96</f>
        <v/>
      </c>
      <c r="AV103" s="3">
        <f>React!AV96</f>
        <v/>
      </c>
      <c r="AW103" s="3">
        <f>React!AW96</f>
        <v/>
      </c>
      <c r="AX103" s="3">
        <f>React!AX96</f>
        <v/>
      </c>
      <c r="AY103" s="3">
        <f>React!AY96</f>
        <v/>
      </c>
      <c r="AZ103" s="3">
        <f>React!AZ96</f>
        <v/>
      </c>
      <c r="BA103" s="3">
        <f>React!BA96</f>
        <v/>
      </c>
      <c r="BB103" s="3">
        <f>React!BB96</f>
        <v/>
      </c>
      <c r="BC103" s="3">
        <f>React!BC96</f>
        <v/>
      </c>
      <c r="BD103" s="3">
        <f>React!BD96</f>
        <v/>
      </c>
      <c r="BE103" s="3">
        <f>React!BE96</f>
        <v/>
      </c>
      <c r="BF103" s="3">
        <f>React!BF96</f>
        <v/>
      </c>
      <c r="BG103" s="3">
        <f>React!BG96</f>
        <v/>
      </c>
      <c r="BH103" s="3">
        <f>React!BH96</f>
        <v/>
      </c>
      <c r="BI103" s="3">
        <f>React!BI96</f>
        <v/>
      </c>
      <c r="BJ103" s="3">
        <f>React!BJ96</f>
        <v/>
      </c>
      <c r="BK103" s="3">
        <f>React!BK96</f>
        <v/>
      </c>
      <c r="BL103" s="3">
        <f>React!BL96</f>
        <v/>
      </c>
      <c r="BM103" s="3">
        <f>React!BM96</f>
        <v/>
      </c>
      <c r="BN103" s="3">
        <f>React!BN96</f>
        <v/>
      </c>
      <c r="BO103" s="3">
        <f>React!BO96</f>
        <v/>
      </c>
      <c r="BP103" s="3">
        <f>React!BP96</f>
        <v/>
      </c>
      <c r="BQ103" s="3">
        <f>React!BQ96</f>
        <v/>
      </c>
      <c r="BR103" s="3">
        <f>React!BR96</f>
        <v/>
      </c>
      <c r="BS103" s="3">
        <f>React!BS96</f>
        <v/>
      </c>
      <c r="BT103" s="3">
        <f>React!BT96</f>
        <v/>
      </c>
      <c r="BU103" s="3">
        <f>React!BU96</f>
        <v/>
      </c>
      <c r="BV103" s="3">
        <f>React!BV96</f>
        <v/>
      </c>
    </row>
    <row r="104">
      <c r="A104" t="inlineStr">
        <is>
          <t>churned</t>
        </is>
      </c>
      <c r="B104" t="inlineStr">
        <is>
          <t>APAC|NITRO_A</t>
        </is>
      </c>
      <c r="C104" s="3">
        <f>Legacy!C59+Paid!C57+React!C99+Params!$B$9*Adds!C151</f>
        <v/>
      </c>
      <c r="D104" s="3">
        <f>Legacy!D59+Paid!D57+React!D99+Params!$B$9*Adds!D151</f>
        <v/>
      </c>
      <c r="E104" s="3">
        <f>Legacy!E59+Paid!E57+React!E99+Params!$B$9*Adds!E151</f>
        <v/>
      </c>
      <c r="F104" s="3">
        <f>Legacy!F59+Paid!F57+React!F99+Params!$B$9*Adds!F151</f>
        <v/>
      </c>
      <c r="G104" s="3">
        <f>Legacy!G59+Paid!G57+React!G99+Params!$B$9*Adds!G151</f>
        <v/>
      </c>
      <c r="H104" s="3">
        <f>Legacy!H59+Paid!H57+React!H99+Params!$B$9*Adds!H151</f>
        <v/>
      </c>
      <c r="I104" s="3">
        <f>Legacy!I59+Paid!I57+React!I99+Params!$B$9*Adds!I151</f>
        <v/>
      </c>
      <c r="J104" s="3">
        <f>Legacy!J59+Paid!J57+React!J99+Params!$B$9*Adds!J151</f>
        <v/>
      </c>
      <c r="K104" s="3">
        <f>Legacy!K59+Paid!K57+React!K99+Params!$B$9*Adds!K151</f>
        <v/>
      </c>
      <c r="L104" s="3">
        <f>Legacy!L59+Paid!L57+React!L99+Params!$B$9*Adds!L151</f>
        <v/>
      </c>
      <c r="M104" s="3">
        <f>Legacy!M59+Paid!M57+React!M99+Params!$B$9*Adds!M151</f>
        <v/>
      </c>
      <c r="N104" s="3">
        <f>Legacy!N59+Paid!N57+React!N99+Params!$B$9*Adds!N151</f>
        <v/>
      </c>
      <c r="O104" s="3">
        <f>Legacy!O59+Paid!O57+React!O99+Params!$B$9*Adds!O151</f>
        <v/>
      </c>
      <c r="P104" s="3">
        <f>Legacy!P59+Paid!P57+React!P99+Params!$B$9*Adds!P151</f>
        <v/>
      </c>
      <c r="Q104" s="3">
        <f>Legacy!Q59+Paid!Q57+React!Q99+Params!$B$9*Adds!Q151</f>
        <v/>
      </c>
      <c r="R104" s="3">
        <f>Legacy!R59+Paid!R57+React!R99+Params!$B$9*Adds!R151</f>
        <v/>
      </c>
      <c r="S104" s="3">
        <f>Legacy!S59+Paid!S57+React!S99+Params!$B$9*Adds!S151</f>
        <v/>
      </c>
      <c r="T104" s="3">
        <f>Legacy!T59+Paid!T57+React!T99+Params!$B$9*Adds!T151</f>
        <v/>
      </c>
      <c r="U104" s="3">
        <f>Legacy!U59+Paid!U57+React!U99+Params!$B$9*Adds!U151</f>
        <v/>
      </c>
      <c r="V104" s="3">
        <f>Legacy!V59+Paid!V57+React!V99+Params!$B$9*Adds!V151</f>
        <v/>
      </c>
      <c r="W104" s="3">
        <f>Legacy!W59+Paid!W57+React!W99+Params!$B$9*Adds!W151</f>
        <v/>
      </c>
      <c r="X104" s="3">
        <f>Legacy!X59+Paid!X57+React!X99+Params!$B$9*Adds!X151</f>
        <v/>
      </c>
      <c r="Y104" s="3">
        <f>Legacy!Y59+Paid!Y57+React!Y99+Params!$B$9*Adds!Y151</f>
        <v/>
      </c>
      <c r="Z104" s="3">
        <f>Legacy!Z59+Paid!Z57+React!Z99+Params!$B$9*Adds!Z151</f>
        <v/>
      </c>
      <c r="AA104" s="3">
        <f>Legacy!AA59+Paid!AA57+React!AA99+Params!$B$9*Adds!AA151</f>
        <v/>
      </c>
      <c r="AB104" s="3">
        <f>Legacy!AB59+Paid!AB57+React!AB99+Params!$B$9*Adds!AB151</f>
        <v/>
      </c>
      <c r="AC104" s="3">
        <f>Legacy!AC59+Paid!AC57+React!AC99+Params!$B$9*Adds!AC151</f>
        <v/>
      </c>
      <c r="AD104" s="3">
        <f>Legacy!AD59+Paid!AD57+React!AD99+Params!$B$9*Adds!AD151</f>
        <v/>
      </c>
      <c r="AE104" s="3">
        <f>Legacy!AE59+Paid!AE57+React!AE99+Params!$B$9*Adds!AE151</f>
        <v/>
      </c>
      <c r="AF104" s="3">
        <f>Legacy!AF59+Paid!AF57+React!AF99+Params!$B$9*Adds!AF151</f>
        <v/>
      </c>
      <c r="AG104" s="3">
        <f>Legacy!AG59+Paid!AG57+React!AG99+Params!$B$9*Adds!AG151</f>
        <v/>
      </c>
      <c r="AH104" s="3">
        <f>Legacy!AH59+Paid!AH57+React!AH99+Params!$B$9*Adds!AH151</f>
        <v/>
      </c>
      <c r="AI104" s="3">
        <f>Legacy!AI59+Paid!AI57+React!AI99+Params!$B$9*Adds!AI151</f>
        <v/>
      </c>
      <c r="AJ104" s="3">
        <f>Legacy!AJ59+Paid!AJ57+React!AJ99+Params!$B$9*Adds!AJ151</f>
        <v/>
      </c>
      <c r="AK104" s="3">
        <f>Legacy!AK59+Paid!AK57+React!AK99+Params!$B$9*Adds!AK151</f>
        <v/>
      </c>
      <c r="AL104" s="3">
        <f>Legacy!AL59+Paid!AL57+React!AL99+Params!$B$9*Adds!AL151</f>
        <v/>
      </c>
      <c r="AM104" s="3">
        <f>Legacy!AM59+Paid!AM57+React!AM99+Params!$B$9*Adds!AM151</f>
        <v/>
      </c>
      <c r="AN104" s="3">
        <f>Legacy!AN59+Paid!AN57+React!AN99+Params!$B$9*Adds!AN151</f>
        <v/>
      </c>
      <c r="AO104" s="3">
        <f>Legacy!AO59+Paid!AO57+React!AO99+Params!$B$9*Adds!AO151</f>
        <v/>
      </c>
      <c r="AP104" s="3">
        <f>Legacy!AP59+Paid!AP57+React!AP99+Params!$B$9*Adds!AP151</f>
        <v/>
      </c>
      <c r="AQ104" s="3">
        <f>Legacy!AQ59+Paid!AQ57+React!AQ99+Params!$B$9*Adds!AQ151</f>
        <v/>
      </c>
      <c r="AR104" s="3">
        <f>Legacy!AR59+Paid!AR57+React!AR99+Params!$B$9*Adds!AR151</f>
        <v/>
      </c>
      <c r="AS104" s="3">
        <f>Legacy!AS59+Paid!AS57+React!AS99+Params!$B$9*Adds!AS151</f>
        <v/>
      </c>
      <c r="AT104" s="3">
        <f>Legacy!AT59+Paid!AT57+React!AT99+Params!$B$9*Adds!AT151</f>
        <v/>
      </c>
      <c r="AU104" s="3">
        <f>Legacy!AU59+Paid!AU57+React!AU99+Params!$B$9*Adds!AU151</f>
        <v/>
      </c>
      <c r="AV104" s="3">
        <f>Legacy!AV59+Paid!AV57+React!AV99+Params!$B$9*Adds!AV151</f>
        <v/>
      </c>
      <c r="AW104" s="3">
        <f>Legacy!AW59+Paid!AW57+React!AW99+Params!$B$9*Adds!AW151</f>
        <v/>
      </c>
      <c r="AX104" s="3">
        <f>Legacy!AX59+Paid!AX57+React!AX99+Params!$B$9*Adds!AX151</f>
        <v/>
      </c>
      <c r="AY104" s="3">
        <f>Legacy!AY59+Paid!AY57+React!AY99+Params!$B$9*Adds!AY151</f>
        <v/>
      </c>
      <c r="AZ104" s="3">
        <f>Legacy!AZ59+Paid!AZ57+React!AZ99+Params!$B$9*Adds!AZ151</f>
        <v/>
      </c>
      <c r="BA104" s="3">
        <f>Legacy!BA59+Paid!BA57+React!BA99+Params!$B$9*Adds!BA151</f>
        <v/>
      </c>
      <c r="BB104" s="3">
        <f>Legacy!BB59+Paid!BB57+React!BB99+Params!$B$9*Adds!BB151</f>
        <v/>
      </c>
      <c r="BC104" s="3">
        <f>Legacy!BC59+Paid!BC57+React!BC99+Params!$B$9*Adds!BC151</f>
        <v/>
      </c>
      <c r="BD104" s="3">
        <f>Legacy!BD59+Paid!BD57+React!BD99+Params!$B$9*Adds!BD151</f>
        <v/>
      </c>
      <c r="BE104" s="3">
        <f>Legacy!BE59+Paid!BE57+React!BE99+Params!$B$9*Adds!BE151</f>
        <v/>
      </c>
      <c r="BF104" s="3">
        <f>Legacy!BF59+Paid!BF57+React!BF99+Params!$B$9*Adds!BF151</f>
        <v/>
      </c>
      <c r="BG104" s="3">
        <f>Legacy!BG59+Paid!BG57+React!BG99+Params!$B$9*Adds!BG151</f>
        <v/>
      </c>
      <c r="BH104" s="3">
        <f>Legacy!BH59+Paid!BH57+React!BH99+Params!$B$9*Adds!BH151</f>
        <v/>
      </c>
      <c r="BI104" s="3">
        <f>Legacy!BI59+Paid!BI57+React!BI99+Params!$B$9*Adds!BI151</f>
        <v/>
      </c>
      <c r="BJ104" s="3">
        <f>Legacy!BJ59+Paid!BJ57+React!BJ99+Params!$B$9*Adds!BJ151</f>
        <v/>
      </c>
      <c r="BK104" s="3">
        <f>Legacy!BK59+Paid!BK57+React!BK99+Params!$B$9*Adds!BK151</f>
        <v/>
      </c>
      <c r="BL104" s="3">
        <f>Legacy!BL59+Paid!BL57+React!BL99+Params!$B$9*Adds!BL151</f>
        <v/>
      </c>
      <c r="BM104" s="3">
        <f>Legacy!BM59+Paid!BM57+React!BM99+Params!$B$9*Adds!BM151</f>
        <v/>
      </c>
      <c r="BN104" s="3">
        <f>Legacy!BN59+Paid!BN57+React!BN99+Params!$B$9*Adds!BN151</f>
        <v/>
      </c>
      <c r="BO104" s="3">
        <f>Legacy!BO59+Paid!BO57+React!BO99+Params!$B$9*Adds!BO151</f>
        <v/>
      </c>
      <c r="BP104" s="3">
        <f>Legacy!BP59+Paid!BP57+React!BP99+Params!$B$9*Adds!BP151</f>
        <v/>
      </c>
      <c r="BQ104" s="3">
        <f>Legacy!BQ59+Paid!BQ57+React!BQ99+Params!$B$9*Adds!BQ151</f>
        <v/>
      </c>
      <c r="BR104" s="3">
        <f>Legacy!BR59+Paid!BR57+React!BR99+Params!$B$9*Adds!BR151</f>
        <v/>
      </c>
      <c r="BS104" s="3">
        <f>Legacy!BS59+Paid!BS57+React!BS99+Params!$B$9*Adds!BS151</f>
        <v/>
      </c>
      <c r="BT104" s="3">
        <f>Legacy!BT59+Paid!BT57+React!BT99+Params!$B$9*Adds!BT151</f>
        <v/>
      </c>
      <c r="BU104" s="3">
        <f>Legacy!BU59+Paid!BU57+React!BU99+Params!$B$9*Adds!BU151</f>
        <v/>
      </c>
      <c r="BV104" s="3">
        <f>Legacy!BV59+Paid!BV57+React!BV99+Params!$B$9*Adds!BV151</f>
        <v/>
      </c>
    </row>
    <row r="105">
      <c r="A105" t="inlineStr">
        <is>
          <t>closing</t>
        </is>
      </c>
      <c r="B105" t="inlineStr">
        <is>
          <t>APAC|NITRO_A</t>
        </is>
      </c>
      <c r="C105" s="3">
        <f>C106+Params!$B$9*Adds!C154</f>
        <v/>
      </c>
      <c r="D105" s="3">
        <f>D106+Params!$B$9*Adds!D154</f>
        <v/>
      </c>
      <c r="E105" s="3">
        <f>E106+Params!$B$9*Adds!E154</f>
        <v/>
      </c>
      <c r="F105" s="3">
        <f>F106+Params!$B$9*Adds!F154</f>
        <v/>
      </c>
      <c r="G105" s="3">
        <f>G106+Params!$B$9*Adds!G154</f>
        <v/>
      </c>
      <c r="H105" s="3">
        <f>H106+Params!$B$9*Adds!H154</f>
        <v/>
      </c>
      <c r="I105" s="3">
        <f>I106+Params!$B$9*Adds!I154</f>
        <v/>
      </c>
      <c r="J105" s="3">
        <f>J106+Params!$B$9*Adds!J154</f>
        <v/>
      </c>
      <c r="K105" s="3">
        <f>K106+Params!$B$9*Adds!K154</f>
        <v/>
      </c>
      <c r="L105" s="3">
        <f>L106+Params!$B$9*Adds!L154</f>
        <v/>
      </c>
      <c r="M105" s="3">
        <f>M106+Params!$B$9*Adds!M154</f>
        <v/>
      </c>
      <c r="N105" s="3">
        <f>N106+Params!$B$9*Adds!N154</f>
        <v/>
      </c>
      <c r="O105" s="3">
        <f>O106+Params!$B$9*Adds!O154</f>
        <v/>
      </c>
      <c r="P105" s="3">
        <f>P106+Params!$B$9*Adds!P154</f>
        <v/>
      </c>
      <c r="Q105" s="3">
        <f>Q106+Params!$B$9*Adds!Q154</f>
        <v/>
      </c>
      <c r="R105" s="3">
        <f>R106+Params!$B$9*Adds!R154</f>
        <v/>
      </c>
      <c r="S105" s="3">
        <f>S106+Params!$B$9*Adds!S154</f>
        <v/>
      </c>
      <c r="T105" s="3">
        <f>T106+Params!$B$9*Adds!T154</f>
        <v/>
      </c>
      <c r="U105" s="3">
        <f>U106+Params!$B$9*Adds!U154</f>
        <v/>
      </c>
      <c r="V105" s="3">
        <f>V106+Params!$B$9*Adds!V154</f>
        <v/>
      </c>
      <c r="W105" s="3">
        <f>W106+Params!$B$9*Adds!W154</f>
        <v/>
      </c>
      <c r="X105" s="3">
        <f>X106+Params!$B$9*Adds!X154</f>
        <v/>
      </c>
      <c r="Y105" s="3">
        <f>Y106+Params!$B$9*Adds!Y154</f>
        <v/>
      </c>
      <c r="Z105" s="3">
        <f>Z106+Params!$B$9*Adds!Z154</f>
        <v/>
      </c>
      <c r="AA105" s="3">
        <f>AA106+Params!$B$9*Adds!AA154</f>
        <v/>
      </c>
      <c r="AB105" s="3">
        <f>AB106+Params!$B$9*Adds!AB154</f>
        <v/>
      </c>
      <c r="AC105" s="3">
        <f>AC106+Params!$B$9*Adds!AC154</f>
        <v/>
      </c>
      <c r="AD105" s="3">
        <f>AD106+Params!$B$9*Adds!AD154</f>
        <v/>
      </c>
      <c r="AE105" s="3">
        <f>AE106+Params!$B$9*Adds!AE154</f>
        <v/>
      </c>
      <c r="AF105" s="3">
        <f>AF106+Params!$B$9*Adds!AF154</f>
        <v/>
      </c>
      <c r="AG105" s="3">
        <f>AG106+Params!$B$9*Adds!AG154</f>
        <v/>
      </c>
      <c r="AH105" s="3">
        <f>AH106+Params!$B$9*Adds!AH154</f>
        <v/>
      </c>
      <c r="AI105" s="3">
        <f>AI106+Params!$B$9*Adds!AI154</f>
        <v/>
      </c>
      <c r="AJ105" s="3">
        <f>AJ106+Params!$B$9*Adds!AJ154</f>
        <v/>
      </c>
      <c r="AK105" s="3">
        <f>AK106+Params!$B$9*Adds!AK154</f>
        <v/>
      </c>
      <c r="AL105" s="3">
        <f>AL106+Params!$B$9*Adds!AL154</f>
        <v/>
      </c>
      <c r="AM105" s="3">
        <f>AM106+Params!$B$9*Adds!AM154</f>
        <v/>
      </c>
      <c r="AN105" s="3">
        <f>AN106+Params!$B$9*Adds!AN154</f>
        <v/>
      </c>
      <c r="AO105" s="3">
        <f>AO106+Params!$B$9*Adds!AO154</f>
        <v/>
      </c>
      <c r="AP105" s="3">
        <f>AP106+Params!$B$9*Adds!AP154</f>
        <v/>
      </c>
      <c r="AQ105" s="3">
        <f>AQ106+Params!$B$9*Adds!AQ154</f>
        <v/>
      </c>
      <c r="AR105" s="3">
        <f>AR106+Params!$B$9*Adds!AR154</f>
        <v/>
      </c>
      <c r="AS105" s="3">
        <f>AS106+Params!$B$9*Adds!AS154</f>
        <v/>
      </c>
      <c r="AT105" s="3">
        <f>AT106+Params!$B$9*Adds!AT154</f>
        <v/>
      </c>
      <c r="AU105" s="3">
        <f>AU106+Params!$B$9*Adds!AU154</f>
        <v/>
      </c>
      <c r="AV105" s="3">
        <f>AV106+Params!$B$9*Adds!AV154</f>
        <v/>
      </c>
      <c r="AW105" s="3">
        <f>AW106+Params!$B$9*Adds!AW154</f>
        <v/>
      </c>
      <c r="AX105" s="3">
        <f>AX106+Params!$B$9*Adds!AX154</f>
        <v/>
      </c>
      <c r="AY105" s="3">
        <f>AY106+Params!$B$9*Adds!AY154</f>
        <v/>
      </c>
      <c r="AZ105" s="3">
        <f>AZ106+Params!$B$9*Adds!AZ154</f>
        <v/>
      </c>
      <c r="BA105" s="3">
        <f>BA106+Params!$B$9*Adds!BA154</f>
        <v/>
      </c>
      <c r="BB105" s="3">
        <f>BB106+Params!$B$9*Adds!BB154</f>
        <v/>
      </c>
      <c r="BC105" s="3">
        <f>BC106+Params!$B$9*Adds!BC154</f>
        <v/>
      </c>
      <c r="BD105" s="3">
        <f>BD106+Params!$B$9*Adds!BD154</f>
        <v/>
      </c>
      <c r="BE105" s="3">
        <f>BE106+Params!$B$9*Adds!BE154</f>
        <v/>
      </c>
      <c r="BF105" s="3">
        <f>BF106+Params!$B$9*Adds!BF154</f>
        <v/>
      </c>
      <c r="BG105" s="3">
        <f>BG106+Params!$B$9*Adds!BG154</f>
        <v/>
      </c>
      <c r="BH105" s="3">
        <f>BH106+Params!$B$9*Adds!BH154</f>
        <v/>
      </c>
      <c r="BI105" s="3">
        <f>BI106+Params!$B$9*Adds!BI154</f>
        <v/>
      </c>
      <c r="BJ105" s="3">
        <f>BJ106+Params!$B$9*Adds!BJ154</f>
        <v/>
      </c>
      <c r="BK105" s="3">
        <f>BK106+Params!$B$9*Adds!BK154</f>
        <v/>
      </c>
      <c r="BL105" s="3">
        <f>BL106+Params!$B$9*Adds!BL154</f>
        <v/>
      </c>
      <c r="BM105" s="3">
        <f>BM106+Params!$B$9*Adds!BM154</f>
        <v/>
      </c>
      <c r="BN105" s="3">
        <f>BN106+Params!$B$9*Adds!BN154</f>
        <v/>
      </c>
      <c r="BO105" s="3">
        <f>BO106+Params!$B$9*Adds!BO154</f>
        <v/>
      </c>
      <c r="BP105" s="3">
        <f>BP106+Params!$B$9*Adds!BP154</f>
        <v/>
      </c>
      <c r="BQ105" s="3">
        <f>BQ106+Params!$B$9*Adds!BQ154</f>
        <v/>
      </c>
      <c r="BR105" s="3">
        <f>BR106+Params!$B$9*Adds!BR154</f>
        <v/>
      </c>
      <c r="BS105" s="3">
        <f>BS106+Params!$B$9*Adds!BS154</f>
        <v/>
      </c>
      <c r="BT105" s="3">
        <f>BT106+Params!$B$9*Adds!BT154</f>
        <v/>
      </c>
      <c r="BU105" s="3">
        <f>BU106+Params!$B$9*Adds!BU154</f>
        <v/>
      </c>
      <c r="BV105" s="3">
        <f>BV106+Params!$B$9*Adds!BV154</f>
        <v/>
      </c>
    </row>
    <row r="106">
      <c r="A106" t="inlineStr">
        <is>
          <t>paying</t>
        </is>
      </c>
      <c r="B106" t="inlineStr">
        <is>
          <t>APAC|NITRO_A</t>
        </is>
      </c>
      <c r="C106" s="3">
        <f>Legacy!C58+Paid!C55+React!C97</f>
        <v/>
      </c>
      <c r="D106" s="3">
        <f>Legacy!D58+Paid!D55+React!D97</f>
        <v/>
      </c>
      <c r="E106" s="3">
        <f>Legacy!E58+Paid!E55+React!E97</f>
        <v/>
      </c>
      <c r="F106" s="3">
        <f>Legacy!F58+Paid!F55+React!F97</f>
        <v/>
      </c>
      <c r="G106" s="3">
        <f>Legacy!G58+Paid!G55+React!G97</f>
        <v/>
      </c>
      <c r="H106" s="3">
        <f>Legacy!H58+Paid!H55+React!H97</f>
        <v/>
      </c>
      <c r="I106" s="3">
        <f>Legacy!I58+Paid!I55+React!I97</f>
        <v/>
      </c>
      <c r="J106" s="3">
        <f>Legacy!J58+Paid!J55+React!J97</f>
        <v/>
      </c>
      <c r="K106" s="3">
        <f>Legacy!K58+Paid!K55+React!K97</f>
        <v/>
      </c>
      <c r="L106" s="3">
        <f>Legacy!L58+Paid!L55+React!L97</f>
        <v/>
      </c>
      <c r="M106" s="3">
        <f>Legacy!M58+Paid!M55+React!M97</f>
        <v/>
      </c>
      <c r="N106" s="3">
        <f>Legacy!N58+Paid!N55+React!N97</f>
        <v/>
      </c>
      <c r="O106" s="3">
        <f>Legacy!O58+Paid!O55+React!O97</f>
        <v/>
      </c>
      <c r="P106" s="3">
        <f>Legacy!P58+Paid!P55+React!P97</f>
        <v/>
      </c>
      <c r="Q106" s="3">
        <f>Legacy!Q58+Paid!Q55+React!Q97</f>
        <v/>
      </c>
      <c r="R106" s="3">
        <f>Legacy!R58+Paid!R55+React!R97</f>
        <v/>
      </c>
      <c r="S106" s="3">
        <f>Legacy!S58+Paid!S55+React!S97</f>
        <v/>
      </c>
      <c r="T106" s="3">
        <f>Legacy!T58+Paid!T55+React!T97</f>
        <v/>
      </c>
      <c r="U106" s="3">
        <f>Legacy!U58+Paid!U55+React!U97</f>
        <v/>
      </c>
      <c r="V106" s="3">
        <f>Legacy!V58+Paid!V55+React!V97</f>
        <v/>
      </c>
      <c r="W106" s="3">
        <f>Legacy!W58+Paid!W55+React!W97</f>
        <v/>
      </c>
      <c r="X106" s="3">
        <f>Legacy!X58+Paid!X55+React!X97</f>
        <v/>
      </c>
      <c r="Y106" s="3">
        <f>Legacy!Y58+Paid!Y55+React!Y97</f>
        <v/>
      </c>
      <c r="Z106" s="3">
        <f>Legacy!Z58+Paid!Z55+React!Z97</f>
        <v/>
      </c>
      <c r="AA106" s="3">
        <f>Legacy!AA58+Paid!AA55+React!AA97</f>
        <v/>
      </c>
      <c r="AB106" s="3">
        <f>Legacy!AB58+Paid!AB55+React!AB97</f>
        <v/>
      </c>
      <c r="AC106" s="3">
        <f>Legacy!AC58+Paid!AC55+React!AC97</f>
        <v/>
      </c>
      <c r="AD106" s="3">
        <f>Legacy!AD58+Paid!AD55+React!AD97</f>
        <v/>
      </c>
      <c r="AE106" s="3">
        <f>Legacy!AE58+Paid!AE55+React!AE97</f>
        <v/>
      </c>
      <c r="AF106" s="3">
        <f>Legacy!AF58+Paid!AF55+React!AF97</f>
        <v/>
      </c>
      <c r="AG106" s="3">
        <f>Legacy!AG58+Paid!AG55+React!AG97</f>
        <v/>
      </c>
      <c r="AH106" s="3">
        <f>Legacy!AH58+Paid!AH55+React!AH97</f>
        <v/>
      </c>
      <c r="AI106" s="3">
        <f>Legacy!AI58+Paid!AI55+React!AI97</f>
        <v/>
      </c>
      <c r="AJ106" s="3">
        <f>Legacy!AJ58+Paid!AJ55+React!AJ97</f>
        <v/>
      </c>
      <c r="AK106" s="3">
        <f>Legacy!AK58+Paid!AK55+React!AK97</f>
        <v/>
      </c>
      <c r="AL106" s="3">
        <f>Legacy!AL58+Paid!AL55+React!AL97</f>
        <v/>
      </c>
      <c r="AM106" s="3">
        <f>Legacy!AM58+Paid!AM55+React!AM97</f>
        <v/>
      </c>
      <c r="AN106" s="3">
        <f>Legacy!AN58+Paid!AN55+React!AN97</f>
        <v/>
      </c>
      <c r="AO106" s="3">
        <f>Legacy!AO58+Paid!AO55+React!AO97</f>
        <v/>
      </c>
      <c r="AP106" s="3">
        <f>Legacy!AP58+Paid!AP55+React!AP97</f>
        <v/>
      </c>
      <c r="AQ106" s="3">
        <f>Legacy!AQ58+Paid!AQ55+React!AQ97</f>
        <v/>
      </c>
      <c r="AR106" s="3">
        <f>Legacy!AR58+Paid!AR55+React!AR97</f>
        <v/>
      </c>
      <c r="AS106" s="3">
        <f>Legacy!AS58+Paid!AS55+React!AS97</f>
        <v/>
      </c>
      <c r="AT106" s="3">
        <f>Legacy!AT58+Paid!AT55+React!AT97</f>
        <v/>
      </c>
      <c r="AU106" s="3">
        <f>Legacy!AU58+Paid!AU55+React!AU97</f>
        <v/>
      </c>
      <c r="AV106" s="3">
        <f>Legacy!AV58+Paid!AV55+React!AV97</f>
        <v/>
      </c>
      <c r="AW106" s="3">
        <f>Legacy!AW58+Paid!AW55+React!AW97</f>
        <v/>
      </c>
      <c r="AX106" s="3">
        <f>Legacy!AX58+Paid!AX55+React!AX97</f>
        <v/>
      </c>
      <c r="AY106" s="3">
        <f>Legacy!AY58+Paid!AY55+React!AY97</f>
        <v/>
      </c>
      <c r="AZ106" s="3">
        <f>Legacy!AZ58+Paid!AZ55+React!AZ97</f>
        <v/>
      </c>
      <c r="BA106" s="3">
        <f>Legacy!BA58+Paid!BA55+React!BA97</f>
        <v/>
      </c>
      <c r="BB106" s="3">
        <f>Legacy!BB58+Paid!BB55+React!BB97</f>
        <v/>
      </c>
      <c r="BC106" s="3">
        <f>Legacy!BC58+Paid!BC55+React!BC97</f>
        <v/>
      </c>
      <c r="BD106" s="3">
        <f>Legacy!BD58+Paid!BD55+React!BD97</f>
        <v/>
      </c>
      <c r="BE106" s="3">
        <f>Legacy!BE58+Paid!BE55+React!BE97</f>
        <v/>
      </c>
      <c r="BF106" s="3">
        <f>Legacy!BF58+Paid!BF55+React!BF97</f>
        <v/>
      </c>
      <c r="BG106" s="3">
        <f>Legacy!BG58+Paid!BG55+React!BG97</f>
        <v/>
      </c>
      <c r="BH106" s="3">
        <f>Legacy!BH58+Paid!BH55+React!BH97</f>
        <v/>
      </c>
      <c r="BI106" s="3">
        <f>Legacy!BI58+Paid!BI55+React!BI97</f>
        <v/>
      </c>
      <c r="BJ106" s="3">
        <f>Legacy!BJ58+Paid!BJ55+React!BJ97</f>
        <v/>
      </c>
      <c r="BK106" s="3">
        <f>Legacy!BK58+Paid!BK55+React!BK97</f>
        <v/>
      </c>
      <c r="BL106" s="3">
        <f>Legacy!BL58+Paid!BL55+React!BL97</f>
        <v/>
      </c>
      <c r="BM106" s="3">
        <f>Legacy!BM58+Paid!BM55+React!BM97</f>
        <v/>
      </c>
      <c r="BN106" s="3">
        <f>Legacy!BN58+Paid!BN55+React!BN97</f>
        <v/>
      </c>
      <c r="BO106" s="3">
        <f>Legacy!BO58+Paid!BO55+React!BO97</f>
        <v/>
      </c>
      <c r="BP106" s="3">
        <f>Legacy!BP58+Paid!BP55+React!BP97</f>
        <v/>
      </c>
      <c r="BQ106" s="3">
        <f>Legacy!BQ58+Paid!BQ55+React!BQ97</f>
        <v/>
      </c>
      <c r="BR106" s="3">
        <f>Legacy!BR58+Paid!BR55+React!BR97</f>
        <v/>
      </c>
      <c r="BS106" s="3">
        <f>Legacy!BS58+Paid!BS55+React!BS97</f>
        <v/>
      </c>
      <c r="BT106" s="3">
        <f>Legacy!BT58+Paid!BT55+React!BT97</f>
        <v/>
      </c>
      <c r="BU106" s="3">
        <f>Legacy!BU58+Paid!BU55+React!BU97</f>
        <v/>
      </c>
      <c r="BV106" s="3">
        <f>Legacy!BV58+Paid!BV55+React!BV97</f>
        <v/>
      </c>
    </row>
    <row r="108">
      <c r="A108" t="inlineStr">
        <is>
          <t>opening</t>
        </is>
      </c>
      <c r="B108" t="inlineStr">
        <is>
          <t>APAC|BASIC_M</t>
        </is>
      </c>
      <c r="C108" s="3">
        <f>Legacy!$C$61</f>
        <v/>
      </c>
      <c r="D108" s="3">
        <f>C112</f>
        <v/>
      </c>
      <c r="E108" s="3">
        <f>D112</f>
        <v/>
      </c>
      <c r="F108" s="3">
        <f>E112</f>
        <v/>
      </c>
      <c r="G108" s="3">
        <f>F112</f>
        <v/>
      </c>
      <c r="H108" s="3">
        <f>G112</f>
        <v/>
      </c>
      <c r="I108" s="3">
        <f>H112</f>
        <v/>
      </c>
      <c r="J108" s="3">
        <f>I112</f>
        <v/>
      </c>
      <c r="K108" s="3">
        <f>J112</f>
        <v/>
      </c>
      <c r="L108" s="3">
        <f>K112</f>
        <v/>
      </c>
      <c r="M108" s="3">
        <f>L112</f>
        <v/>
      </c>
      <c r="N108" s="3">
        <f>M112</f>
        <v/>
      </c>
      <c r="O108" s="3">
        <f>N112</f>
        <v/>
      </c>
      <c r="P108" s="3">
        <f>O112</f>
        <v/>
      </c>
      <c r="Q108" s="3">
        <f>P112</f>
        <v/>
      </c>
      <c r="R108" s="3">
        <f>Q112</f>
        <v/>
      </c>
      <c r="S108" s="3">
        <f>R112</f>
        <v/>
      </c>
      <c r="T108" s="3">
        <f>S112</f>
        <v/>
      </c>
      <c r="U108" s="3">
        <f>T112</f>
        <v/>
      </c>
      <c r="V108" s="3">
        <f>U112</f>
        <v/>
      </c>
      <c r="W108" s="3">
        <f>V112</f>
        <v/>
      </c>
      <c r="X108" s="3">
        <f>W112</f>
        <v/>
      </c>
      <c r="Y108" s="3">
        <f>X112</f>
        <v/>
      </c>
      <c r="Z108" s="3">
        <f>Y112</f>
        <v/>
      </c>
      <c r="AA108" s="3">
        <f>Z112</f>
        <v/>
      </c>
      <c r="AB108" s="3">
        <f>AA112</f>
        <v/>
      </c>
      <c r="AC108" s="3">
        <f>AB112</f>
        <v/>
      </c>
      <c r="AD108" s="3">
        <f>AC112</f>
        <v/>
      </c>
      <c r="AE108" s="3">
        <f>AD112</f>
        <v/>
      </c>
      <c r="AF108" s="3">
        <f>AE112</f>
        <v/>
      </c>
      <c r="AG108" s="3">
        <f>AF112</f>
        <v/>
      </c>
      <c r="AH108" s="3">
        <f>AG112</f>
        <v/>
      </c>
      <c r="AI108" s="3">
        <f>AH112</f>
        <v/>
      </c>
      <c r="AJ108" s="3">
        <f>AI112</f>
        <v/>
      </c>
      <c r="AK108" s="3">
        <f>AJ112</f>
        <v/>
      </c>
      <c r="AL108" s="3">
        <f>AK112</f>
        <v/>
      </c>
      <c r="AM108" s="3">
        <f>AL112</f>
        <v/>
      </c>
      <c r="AN108" s="3">
        <f>AM112</f>
        <v/>
      </c>
      <c r="AO108" s="3">
        <f>AN112</f>
        <v/>
      </c>
      <c r="AP108" s="3">
        <f>AO112</f>
        <v/>
      </c>
      <c r="AQ108" s="3">
        <f>AP112</f>
        <v/>
      </c>
      <c r="AR108" s="3">
        <f>AQ112</f>
        <v/>
      </c>
      <c r="AS108" s="3">
        <f>AR112</f>
        <v/>
      </c>
      <c r="AT108" s="3">
        <f>AS112</f>
        <v/>
      </c>
      <c r="AU108" s="3">
        <f>AT112</f>
        <v/>
      </c>
      <c r="AV108" s="3">
        <f>AU112</f>
        <v/>
      </c>
      <c r="AW108" s="3">
        <f>AV112</f>
        <v/>
      </c>
      <c r="AX108" s="3">
        <f>AW112</f>
        <v/>
      </c>
      <c r="AY108" s="3">
        <f>AX112</f>
        <v/>
      </c>
      <c r="AZ108" s="3">
        <f>AY112</f>
        <v/>
      </c>
      <c r="BA108" s="3">
        <f>AZ112</f>
        <v/>
      </c>
      <c r="BB108" s="3">
        <f>BA112</f>
        <v/>
      </c>
      <c r="BC108" s="3">
        <f>BB112</f>
        <v/>
      </c>
      <c r="BD108" s="3">
        <f>BC112</f>
        <v/>
      </c>
      <c r="BE108" s="3">
        <f>BD112</f>
        <v/>
      </c>
      <c r="BF108" s="3">
        <f>BE112</f>
        <v/>
      </c>
      <c r="BG108" s="3">
        <f>BF112</f>
        <v/>
      </c>
      <c r="BH108" s="3">
        <f>BG112</f>
        <v/>
      </c>
      <c r="BI108" s="3">
        <f>BH112</f>
        <v/>
      </c>
      <c r="BJ108" s="3">
        <f>BI112</f>
        <v/>
      </c>
      <c r="BK108" s="3">
        <f>BJ112</f>
        <v/>
      </c>
      <c r="BL108" s="3">
        <f>BK112</f>
        <v/>
      </c>
      <c r="BM108" s="3">
        <f>BL112</f>
        <v/>
      </c>
      <c r="BN108" s="3">
        <f>BM112</f>
        <v/>
      </c>
      <c r="BO108" s="3">
        <f>BN112</f>
        <v/>
      </c>
      <c r="BP108" s="3">
        <f>BO112</f>
        <v/>
      </c>
      <c r="BQ108" s="3">
        <f>BP112</f>
        <v/>
      </c>
      <c r="BR108" s="3">
        <f>BQ112</f>
        <v/>
      </c>
      <c r="BS108" s="3">
        <f>BR112</f>
        <v/>
      </c>
      <c r="BT108" s="3">
        <f>BS112</f>
        <v/>
      </c>
      <c r="BU108" s="3">
        <f>BT112</f>
        <v/>
      </c>
      <c r="BV108" s="3">
        <f>BU112</f>
        <v/>
      </c>
    </row>
    <row r="109">
      <c r="A109" t="inlineStr">
        <is>
          <t>new</t>
        </is>
      </c>
      <c r="B109" t="inlineStr">
        <is>
          <t>APAC|BASIC_M</t>
        </is>
      </c>
      <c r="C109" s="3">
        <f>Adds!C159+IF(Params!$B$9=1,Adds!C158,Adds!C161)</f>
        <v/>
      </c>
      <c r="D109" s="3">
        <f>Adds!D159+IF(Params!$B$9=1,Adds!D158,Adds!D161)</f>
        <v/>
      </c>
      <c r="E109" s="3">
        <f>Adds!E159+IF(Params!$B$9=1,Adds!E158,Adds!E161)</f>
        <v/>
      </c>
      <c r="F109" s="3">
        <f>Adds!F159+IF(Params!$B$9=1,Adds!F158,Adds!F161)</f>
        <v/>
      </c>
      <c r="G109" s="3">
        <f>Adds!G159+IF(Params!$B$9=1,Adds!G158,Adds!G161)</f>
        <v/>
      </c>
      <c r="H109" s="3">
        <f>Adds!H159+IF(Params!$B$9=1,Adds!H158,Adds!H161)</f>
        <v/>
      </c>
      <c r="I109" s="3">
        <f>Adds!I159+IF(Params!$B$9=1,Adds!I158,Adds!I161)</f>
        <v/>
      </c>
      <c r="J109" s="3">
        <f>Adds!J159+IF(Params!$B$9=1,Adds!J158,Adds!J161)</f>
        <v/>
      </c>
      <c r="K109" s="3">
        <f>Adds!K159+IF(Params!$B$9=1,Adds!K158,Adds!K161)</f>
        <v/>
      </c>
      <c r="L109" s="3">
        <f>Adds!L159+IF(Params!$B$9=1,Adds!L158,Adds!L161)</f>
        <v/>
      </c>
      <c r="M109" s="3">
        <f>Adds!M159+IF(Params!$B$9=1,Adds!M158,Adds!M161)</f>
        <v/>
      </c>
      <c r="N109" s="3">
        <f>Adds!N159+IF(Params!$B$9=1,Adds!N158,Adds!N161)</f>
        <v/>
      </c>
      <c r="O109" s="3">
        <f>Adds!O159+IF(Params!$B$9=1,Adds!O158,Adds!O161)</f>
        <v/>
      </c>
      <c r="P109" s="3">
        <f>Adds!P159+IF(Params!$B$9=1,Adds!P158,Adds!P161)</f>
        <v/>
      </c>
      <c r="Q109" s="3">
        <f>Adds!Q159+IF(Params!$B$9=1,Adds!Q158,Adds!Q161)</f>
        <v/>
      </c>
      <c r="R109" s="3">
        <f>Adds!R159+IF(Params!$B$9=1,Adds!R158,Adds!R161)</f>
        <v/>
      </c>
      <c r="S109" s="3">
        <f>Adds!S159+IF(Params!$B$9=1,Adds!S158,Adds!S161)</f>
        <v/>
      </c>
      <c r="T109" s="3">
        <f>Adds!T159+IF(Params!$B$9=1,Adds!T158,Adds!T161)</f>
        <v/>
      </c>
      <c r="U109" s="3">
        <f>Adds!U159+IF(Params!$B$9=1,Adds!U158,Adds!U161)</f>
        <v/>
      </c>
      <c r="V109" s="3">
        <f>Adds!V159+IF(Params!$B$9=1,Adds!V158,Adds!V161)</f>
        <v/>
      </c>
      <c r="W109" s="3">
        <f>Adds!W159+IF(Params!$B$9=1,Adds!W158,Adds!W161)</f>
        <v/>
      </c>
      <c r="X109" s="3">
        <f>Adds!X159+IF(Params!$B$9=1,Adds!X158,Adds!X161)</f>
        <v/>
      </c>
      <c r="Y109" s="3">
        <f>Adds!Y159+IF(Params!$B$9=1,Adds!Y158,Adds!Y161)</f>
        <v/>
      </c>
      <c r="Z109" s="3">
        <f>Adds!Z159+IF(Params!$B$9=1,Adds!Z158,Adds!Z161)</f>
        <v/>
      </c>
      <c r="AA109" s="3">
        <f>Adds!AA159+IF(Params!$B$9=1,Adds!AA158,Adds!AA161)</f>
        <v/>
      </c>
      <c r="AB109" s="3">
        <f>Adds!AB159+IF(Params!$B$9=1,Adds!AB158,Adds!AB161)</f>
        <v/>
      </c>
      <c r="AC109" s="3">
        <f>Adds!AC159+IF(Params!$B$9=1,Adds!AC158,Adds!AC161)</f>
        <v/>
      </c>
      <c r="AD109" s="3">
        <f>Adds!AD159+IF(Params!$B$9=1,Adds!AD158,Adds!AD161)</f>
        <v/>
      </c>
      <c r="AE109" s="3">
        <f>Adds!AE159+IF(Params!$B$9=1,Adds!AE158,Adds!AE161)</f>
        <v/>
      </c>
      <c r="AF109" s="3">
        <f>Adds!AF159+IF(Params!$B$9=1,Adds!AF158,Adds!AF161)</f>
        <v/>
      </c>
      <c r="AG109" s="3">
        <f>Adds!AG159+IF(Params!$B$9=1,Adds!AG158,Adds!AG161)</f>
        <v/>
      </c>
      <c r="AH109" s="3">
        <f>Adds!AH159+IF(Params!$B$9=1,Adds!AH158,Adds!AH161)</f>
        <v/>
      </c>
      <c r="AI109" s="3">
        <f>Adds!AI159+IF(Params!$B$9=1,Adds!AI158,Adds!AI161)</f>
        <v/>
      </c>
      <c r="AJ109" s="3">
        <f>Adds!AJ159+IF(Params!$B$9=1,Adds!AJ158,Adds!AJ161)</f>
        <v/>
      </c>
      <c r="AK109" s="3">
        <f>Adds!AK159+IF(Params!$B$9=1,Adds!AK158,Adds!AK161)</f>
        <v/>
      </c>
      <c r="AL109" s="3">
        <f>Adds!AL159+IF(Params!$B$9=1,Adds!AL158,Adds!AL161)</f>
        <v/>
      </c>
      <c r="AM109" s="3">
        <f>Adds!AM159+IF(Params!$B$9=1,Adds!AM158,Adds!AM161)</f>
        <v/>
      </c>
      <c r="AN109" s="3">
        <f>Adds!AN159+IF(Params!$B$9=1,Adds!AN158,Adds!AN161)</f>
        <v/>
      </c>
      <c r="AO109" s="3">
        <f>Adds!AO159+IF(Params!$B$9=1,Adds!AO158,Adds!AO161)</f>
        <v/>
      </c>
      <c r="AP109" s="3">
        <f>Adds!AP159+IF(Params!$B$9=1,Adds!AP158,Adds!AP161)</f>
        <v/>
      </c>
      <c r="AQ109" s="3">
        <f>Adds!AQ159+IF(Params!$B$9=1,Adds!AQ158,Adds!AQ161)</f>
        <v/>
      </c>
      <c r="AR109" s="3">
        <f>Adds!AR159+IF(Params!$B$9=1,Adds!AR158,Adds!AR161)</f>
        <v/>
      </c>
      <c r="AS109" s="3">
        <f>Adds!AS159+IF(Params!$B$9=1,Adds!AS158,Adds!AS161)</f>
        <v/>
      </c>
      <c r="AT109" s="3">
        <f>Adds!AT159+IF(Params!$B$9=1,Adds!AT158,Adds!AT161)</f>
        <v/>
      </c>
      <c r="AU109" s="3">
        <f>Adds!AU159+IF(Params!$B$9=1,Adds!AU158,Adds!AU161)</f>
        <v/>
      </c>
      <c r="AV109" s="3">
        <f>Adds!AV159+IF(Params!$B$9=1,Adds!AV158,Adds!AV161)</f>
        <v/>
      </c>
      <c r="AW109" s="3">
        <f>Adds!AW159+IF(Params!$B$9=1,Adds!AW158,Adds!AW161)</f>
        <v/>
      </c>
      <c r="AX109" s="3">
        <f>Adds!AX159+IF(Params!$B$9=1,Adds!AX158,Adds!AX161)</f>
        <v/>
      </c>
      <c r="AY109" s="3">
        <f>Adds!AY159+IF(Params!$B$9=1,Adds!AY158,Adds!AY161)</f>
        <v/>
      </c>
      <c r="AZ109" s="3">
        <f>Adds!AZ159+IF(Params!$B$9=1,Adds!AZ158,Adds!AZ161)</f>
        <v/>
      </c>
      <c r="BA109" s="3">
        <f>Adds!BA159+IF(Params!$B$9=1,Adds!BA158,Adds!BA161)</f>
        <v/>
      </c>
      <c r="BB109" s="3">
        <f>Adds!BB159+IF(Params!$B$9=1,Adds!BB158,Adds!BB161)</f>
        <v/>
      </c>
      <c r="BC109" s="3">
        <f>Adds!BC159+IF(Params!$B$9=1,Adds!BC158,Adds!BC161)</f>
        <v/>
      </c>
      <c r="BD109" s="3">
        <f>Adds!BD159+IF(Params!$B$9=1,Adds!BD158,Adds!BD161)</f>
        <v/>
      </c>
      <c r="BE109" s="3">
        <f>Adds!BE159+IF(Params!$B$9=1,Adds!BE158,Adds!BE161)</f>
        <v/>
      </c>
      <c r="BF109" s="3">
        <f>Adds!BF159+IF(Params!$B$9=1,Adds!BF158,Adds!BF161)</f>
        <v/>
      </c>
      <c r="BG109" s="3">
        <f>Adds!BG159+IF(Params!$B$9=1,Adds!BG158,Adds!BG161)</f>
        <v/>
      </c>
      <c r="BH109" s="3">
        <f>Adds!BH159+IF(Params!$B$9=1,Adds!BH158,Adds!BH161)</f>
        <v/>
      </c>
      <c r="BI109" s="3">
        <f>Adds!BI159+IF(Params!$B$9=1,Adds!BI158,Adds!BI161)</f>
        <v/>
      </c>
      <c r="BJ109" s="3">
        <f>Adds!BJ159+IF(Params!$B$9=1,Adds!BJ158,Adds!BJ161)</f>
        <v/>
      </c>
      <c r="BK109" s="3">
        <f>Adds!BK159+IF(Params!$B$9=1,Adds!BK158,Adds!BK161)</f>
        <v/>
      </c>
      <c r="BL109" s="3">
        <f>Adds!BL159+IF(Params!$B$9=1,Adds!BL158,Adds!BL161)</f>
        <v/>
      </c>
      <c r="BM109" s="3">
        <f>Adds!BM159+IF(Params!$B$9=1,Adds!BM158,Adds!BM161)</f>
        <v/>
      </c>
      <c r="BN109" s="3">
        <f>Adds!BN159+IF(Params!$B$9=1,Adds!BN158,Adds!BN161)</f>
        <v/>
      </c>
      <c r="BO109" s="3">
        <f>Adds!BO159+IF(Params!$B$9=1,Adds!BO158,Adds!BO161)</f>
        <v/>
      </c>
      <c r="BP109" s="3">
        <f>Adds!BP159+IF(Params!$B$9=1,Adds!BP158,Adds!BP161)</f>
        <v/>
      </c>
      <c r="BQ109" s="3">
        <f>Adds!BQ159+IF(Params!$B$9=1,Adds!BQ158,Adds!BQ161)</f>
        <v/>
      </c>
      <c r="BR109" s="3">
        <f>Adds!BR159+IF(Params!$B$9=1,Adds!BR158,Adds!BR161)</f>
        <v/>
      </c>
      <c r="BS109" s="3">
        <f>Adds!BS159+IF(Params!$B$9=1,Adds!BS158,Adds!BS161)</f>
        <v/>
      </c>
      <c r="BT109" s="3">
        <f>Adds!BT159+IF(Params!$B$9=1,Adds!BT158,Adds!BT161)</f>
        <v/>
      </c>
      <c r="BU109" s="3">
        <f>Adds!BU159+IF(Params!$B$9=1,Adds!BU158,Adds!BU161)</f>
        <v/>
      </c>
      <c r="BV109" s="3">
        <f>Adds!BV159+IF(Params!$B$9=1,Adds!BV158,Adds!BV161)</f>
        <v/>
      </c>
    </row>
    <row r="110">
      <c r="A110" t="inlineStr">
        <is>
          <t>reactivated</t>
        </is>
      </c>
      <c r="B110" t="inlineStr">
        <is>
          <t>APAC|BASIC_M</t>
        </is>
      </c>
      <c r="C110" s="3">
        <f>React!C103</f>
        <v/>
      </c>
      <c r="D110" s="3">
        <f>React!D103</f>
        <v/>
      </c>
      <c r="E110" s="3">
        <f>React!E103</f>
        <v/>
      </c>
      <c r="F110" s="3">
        <f>React!F103</f>
        <v/>
      </c>
      <c r="G110" s="3">
        <f>React!G103</f>
        <v/>
      </c>
      <c r="H110" s="3">
        <f>React!H103</f>
        <v/>
      </c>
      <c r="I110" s="3">
        <f>React!I103</f>
        <v/>
      </c>
      <c r="J110" s="3">
        <f>React!J103</f>
        <v/>
      </c>
      <c r="K110" s="3">
        <f>React!K103</f>
        <v/>
      </c>
      <c r="L110" s="3">
        <f>React!L103</f>
        <v/>
      </c>
      <c r="M110" s="3">
        <f>React!M103</f>
        <v/>
      </c>
      <c r="N110" s="3">
        <f>React!N103</f>
        <v/>
      </c>
      <c r="O110" s="3">
        <f>React!O103</f>
        <v/>
      </c>
      <c r="P110" s="3">
        <f>React!P103</f>
        <v/>
      </c>
      <c r="Q110" s="3">
        <f>React!Q103</f>
        <v/>
      </c>
      <c r="R110" s="3">
        <f>React!R103</f>
        <v/>
      </c>
      <c r="S110" s="3">
        <f>React!S103</f>
        <v/>
      </c>
      <c r="T110" s="3">
        <f>React!T103</f>
        <v/>
      </c>
      <c r="U110" s="3">
        <f>React!U103</f>
        <v/>
      </c>
      <c r="V110" s="3">
        <f>React!V103</f>
        <v/>
      </c>
      <c r="W110" s="3">
        <f>React!W103</f>
        <v/>
      </c>
      <c r="X110" s="3">
        <f>React!X103</f>
        <v/>
      </c>
      <c r="Y110" s="3">
        <f>React!Y103</f>
        <v/>
      </c>
      <c r="Z110" s="3">
        <f>React!Z103</f>
        <v/>
      </c>
      <c r="AA110" s="3">
        <f>React!AA103</f>
        <v/>
      </c>
      <c r="AB110" s="3">
        <f>React!AB103</f>
        <v/>
      </c>
      <c r="AC110" s="3">
        <f>React!AC103</f>
        <v/>
      </c>
      <c r="AD110" s="3">
        <f>React!AD103</f>
        <v/>
      </c>
      <c r="AE110" s="3">
        <f>React!AE103</f>
        <v/>
      </c>
      <c r="AF110" s="3">
        <f>React!AF103</f>
        <v/>
      </c>
      <c r="AG110" s="3">
        <f>React!AG103</f>
        <v/>
      </c>
      <c r="AH110" s="3">
        <f>React!AH103</f>
        <v/>
      </c>
      <c r="AI110" s="3">
        <f>React!AI103</f>
        <v/>
      </c>
      <c r="AJ110" s="3">
        <f>React!AJ103</f>
        <v/>
      </c>
      <c r="AK110" s="3">
        <f>React!AK103</f>
        <v/>
      </c>
      <c r="AL110" s="3">
        <f>React!AL103</f>
        <v/>
      </c>
      <c r="AM110" s="3">
        <f>React!AM103</f>
        <v/>
      </c>
      <c r="AN110" s="3">
        <f>React!AN103</f>
        <v/>
      </c>
      <c r="AO110" s="3">
        <f>React!AO103</f>
        <v/>
      </c>
      <c r="AP110" s="3">
        <f>React!AP103</f>
        <v/>
      </c>
      <c r="AQ110" s="3">
        <f>React!AQ103</f>
        <v/>
      </c>
      <c r="AR110" s="3">
        <f>React!AR103</f>
        <v/>
      </c>
      <c r="AS110" s="3">
        <f>React!AS103</f>
        <v/>
      </c>
      <c r="AT110" s="3">
        <f>React!AT103</f>
        <v/>
      </c>
      <c r="AU110" s="3">
        <f>React!AU103</f>
        <v/>
      </c>
      <c r="AV110" s="3">
        <f>React!AV103</f>
        <v/>
      </c>
      <c r="AW110" s="3">
        <f>React!AW103</f>
        <v/>
      </c>
      <c r="AX110" s="3">
        <f>React!AX103</f>
        <v/>
      </c>
      <c r="AY110" s="3">
        <f>React!AY103</f>
        <v/>
      </c>
      <c r="AZ110" s="3">
        <f>React!AZ103</f>
        <v/>
      </c>
      <c r="BA110" s="3">
        <f>React!BA103</f>
        <v/>
      </c>
      <c r="BB110" s="3">
        <f>React!BB103</f>
        <v/>
      </c>
      <c r="BC110" s="3">
        <f>React!BC103</f>
        <v/>
      </c>
      <c r="BD110" s="3">
        <f>React!BD103</f>
        <v/>
      </c>
      <c r="BE110" s="3">
        <f>React!BE103</f>
        <v/>
      </c>
      <c r="BF110" s="3">
        <f>React!BF103</f>
        <v/>
      </c>
      <c r="BG110" s="3">
        <f>React!BG103</f>
        <v/>
      </c>
      <c r="BH110" s="3">
        <f>React!BH103</f>
        <v/>
      </c>
      <c r="BI110" s="3">
        <f>React!BI103</f>
        <v/>
      </c>
      <c r="BJ110" s="3">
        <f>React!BJ103</f>
        <v/>
      </c>
      <c r="BK110" s="3">
        <f>React!BK103</f>
        <v/>
      </c>
      <c r="BL110" s="3">
        <f>React!BL103</f>
        <v/>
      </c>
      <c r="BM110" s="3">
        <f>React!BM103</f>
        <v/>
      </c>
      <c r="BN110" s="3">
        <f>React!BN103</f>
        <v/>
      </c>
      <c r="BO110" s="3">
        <f>React!BO103</f>
        <v/>
      </c>
      <c r="BP110" s="3">
        <f>React!BP103</f>
        <v/>
      </c>
      <c r="BQ110" s="3">
        <f>React!BQ103</f>
        <v/>
      </c>
      <c r="BR110" s="3">
        <f>React!BR103</f>
        <v/>
      </c>
      <c r="BS110" s="3">
        <f>React!BS103</f>
        <v/>
      </c>
      <c r="BT110" s="3">
        <f>React!BT103</f>
        <v/>
      </c>
      <c r="BU110" s="3">
        <f>React!BU103</f>
        <v/>
      </c>
      <c r="BV110" s="3">
        <f>React!BV103</f>
        <v/>
      </c>
    </row>
    <row r="111">
      <c r="A111" t="inlineStr">
        <is>
          <t>churned</t>
        </is>
      </c>
      <c r="B111" t="inlineStr">
        <is>
          <t>APAC|BASIC_M</t>
        </is>
      </c>
      <c r="C111" s="3">
        <f>Legacy!C63+Paid!C61+React!C106+Params!$B$9*Adds!C162</f>
        <v/>
      </c>
      <c r="D111" s="3">
        <f>Legacy!D63+Paid!D61+React!D106+Params!$B$9*Adds!D162</f>
        <v/>
      </c>
      <c r="E111" s="3">
        <f>Legacy!E63+Paid!E61+React!E106+Params!$B$9*Adds!E162</f>
        <v/>
      </c>
      <c r="F111" s="3">
        <f>Legacy!F63+Paid!F61+React!F106+Params!$B$9*Adds!F162</f>
        <v/>
      </c>
      <c r="G111" s="3">
        <f>Legacy!G63+Paid!G61+React!G106+Params!$B$9*Adds!G162</f>
        <v/>
      </c>
      <c r="H111" s="3">
        <f>Legacy!H63+Paid!H61+React!H106+Params!$B$9*Adds!H162</f>
        <v/>
      </c>
      <c r="I111" s="3">
        <f>Legacy!I63+Paid!I61+React!I106+Params!$B$9*Adds!I162</f>
        <v/>
      </c>
      <c r="J111" s="3">
        <f>Legacy!J63+Paid!J61+React!J106+Params!$B$9*Adds!J162</f>
        <v/>
      </c>
      <c r="K111" s="3">
        <f>Legacy!K63+Paid!K61+React!K106+Params!$B$9*Adds!K162</f>
        <v/>
      </c>
      <c r="L111" s="3">
        <f>Legacy!L63+Paid!L61+React!L106+Params!$B$9*Adds!L162</f>
        <v/>
      </c>
      <c r="M111" s="3">
        <f>Legacy!M63+Paid!M61+React!M106+Params!$B$9*Adds!M162</f>
        <v/>
      </c>
      <c r="N111" s="3">
        <f>Legacy!N63+Paid!N61+React!N106+Params!$B$9*Adds!N162</f>
        <v/>
      </c>
      <c r="O111" s="3">
        <f>Legacy!O63+Paid!O61+React!O106+Params!$B$9*Adds!O162</f>
        <v/>
      </c>
      <c r="P111" s="3">
        <f>Legacy!P63+Paid!P61+React!P106+Params!$B$9*Adds!P162</f>
        <v/>
      </c>
      <c r="Q111" s="3">
        <f>Legacy!Q63+Paid!Q61+React!Q106+Params!$B$9*Adds!Q162</f>
        <v/>
      </c>
      <c r="R111" s="3">
        <f>Legacy!R63+Paid!R61+React!R106+Params!$B$9*Adds!R162</f>
        <v/>
      </c>
      <c r="S111" s="3">
        <f>Legacy!S63+Paid!S61+React!S106+Params!$B$9*Adds!S162</f>
        <v/>
      </c>
      <c r="T111" s="3">
        <f>Legacy!T63+Paid!T61+React!T106+Params!$B$9*Adds!T162</f>
        <v/>
      </c>
      <c r="U111" s="3">
        <f>Legacy!U63+Paid!U61+React!U106+Params!$B$9*Adds!U162</f>
        <v/>
      </c>
      <c r="V111" s="3">
        <f>Legacy!V63+Paid!V61+React!V106+Params!$B$9*Adds!V162</f>
        <v/>
      </c>
      <c r="W111" s="3">
        <f>Legacy!W63+Paid!W61+React!W106+Params!$B$9*Adds!W162</f>
        <v/>
      </c>
      <c r="X111" s="3">
        <f>Legacy!X63+Paid!X61+React!X106+Params!$B$9*Adds!X162</f>
        <v/>
      </c>
      <c r="Y111" s="3">
        <f>Legacy!Y63+Paid!Y61+React!Y106+Params!$B$9*Adds!Y162</f>
        <v/>
      </c>
      <c r="Z111" s="3">
        <f>Legacy!Z63+Paid!Z61+React!Z106+Params!$B$9*Adds!Z162</f>
        <v/>
      </c>
      <c r="AA111" s="3">
        <f>Legacy!AA63+Paid!AA61+React!AA106+Params!$B$9*Adds!AA162</f>
        <v/>
      </c>
      <c r="AB111" s="3">
        <f>Legacy!AB63+Paid!AB61+React!AB106+Params!$B$9*Adds!AB162</f>
        <v/>
      </c>
      <c r="AC111" s="3">
        <f>Legacy!AC63+Paid!AC61+React!AC106+Params!$B$9*Adds!AC162</f>
        <v/>
      </c>
      <c r="AD111" s="3">
        <f>Legacy!AD63+Paid!AD61+React!AD106+Params!$B$9*Adds!AD162</f>
        <v/>
      </c>
      <c r="AE111" s="3">
        <f>Legacy!AE63+Paid!AE61+React!AE106+Params!$B$9*Adds!AE162</f>
        <v/>
      </c>
      <c r="AF111" s="3">
        <f>Legacy!AF63+Paid!AF61+React!AF106+Params!$B$9*Adds!AF162</f>
        <v/>
      </c>
      <c r="AG111" s="3">
        <f>Legacy!AG63+Paid!AG61+React!AG106+Params!$B$9*Adds!AG162</f>
        <v/>
      </c>
      <c r="AH111" s="3">
        <f>Legacy!AH63+Paid!AH61+React!AH106+Params!$B$9*Adds!AH162</f>
        <v/>
      </c>
      <c r="AI111" s="3">
        <f>Legacy!AI63+Paid!AI61+React!AI106+Params!$B$9*Adds!AI162</f>
        <v/>
      </c>
      <c r="AJ111" s="3">
        <f>Legacy!AJ63+Paid!AJ61+React!AJ106+Params!$B$9*Adds!AJ162</f>
        <v/>
      </c>
      <c r="AK111" s="3">
        <f>Legacy!AK63+Paid!AK61+React!AK106+Params!$B$9*Adds!AK162</f>
        <v/>
      </c>
      <c r="AL111" s="3">
        <f>Legacy!AL63+Paid!AL61+React!AL106+Params!$B$9*Adds!AL162</f>
        <v/>
      </c>
      <c r="AM111" s="3">
        <f>Legacy!AM63+Paid!AM61+React!AM106+Params!$B$9*Adds!AM162</f>
        <v/>
      </c>
      <c r="AN111" s="3">
        <f>Legacy!AN63+Paid!AN61+React!AN106+Params!$B$9*Adds!AN162</f>
        <v/>
      </c>
      <c r="AO111" s="3">
        <f>Legacy!AO63+Paid!AO61+React!AO106+Params!$B$9*Adds!AO162</f>
        <v/>
      </c>
      <c r="AP111" s="3">
        <f>Legacy!AP63+Paid!AP61+React!AP106+Params!$B$9*Adds!AP162</f>
        <v/>
      </c>
      <c r="AQ111" s="3">
        <f>Legacy!AQ63+Paid!AQ61+React!AQ106+Params!$B$9*Adds!AQ162</f>
        <v/>
      </c>
      <c r="AR111" s="3">
        <f>Legacy!AR63+Paid!AR61+React!AR106+Params!$B$9*Adds!AR162</f>
        <v/>
      </c>
      <c r="AS111" s="3">
        <f>Legacy!AS63+Paid!AS61+React!AS106+Params!$B$9*Adds!AS162</f>
        <v/>
      </c>
      <c r="AT111" s="3">
        <f>Legacy!AT63+Paid!AT61+React!AT106+Params!$B$9*Adds!AT162</f>
        <v/>
      </c>
      <c r="AU111" s="3">
        <f>Legacy!AU63+Paid!AU61+React!AU106+Params!$B$9*Adds!AU162</f>
        <v/>
      </c>
      <c r="AV111" s="3">
        <f>Legacy!AV63+Paid!AV61+React!AV106+Params!$B$9*Adds!AV162</f>
        <v/>
      </c>
      <c r="AW111" s="3">
        <f>Legacy!AW63+Paid!AW61+React!AW106+Params!$B$9*Adds!AW162</f>
        <v/>
      </c>
      <c r="AX111" s="3">
        <f>Legacy!AX63+Paid!AX61+React!AX106+Params!$B$9*Adds!AX162</f>
        <v/>
      </c>
      <c r="AY111" s="3">
        <f>Legacy!AY63+Paid!AY61+React!AY106+Params!$B$9*Adds!AY162</f>
        <v/>
      </c>
      <c r="AZ111" s="3">
        <f>Legacy!AZ63+Paid!AZ61+React!AZ106+Params!$B$9*Adds!AZ162</f>
        <v/>
      </c>
      <c r="BA111" s="3">
        <f>Legacy!BA63+Paid!BA61+React!BA106+Params!$B$9*Adds!BA162</f>
        <v/>
      </c>
      <c r="BB111" s="3">
        <f>Legacy!BB63+Paid!BB61+React!BB106+Params!$B$9*Adds!BB162</f>
        <v/>
      </c>
      <c r="BC111" s="3">
        <f>Legacy!BC63+Paid!BC61+React!BC106+Params!$B$9*Adds!BC162</f>
        <v/>
      </c>
      <c r="BD111" s="3">
        <f>Legacy!BD63+Paid!BD61+React!BD106+Params!$B$9*Adds!BD162</f>
        <v/>
      </c>
      <c r="BE111" s="3">
        <f>Legacy!BE63+Paid!BE61+React!BE106+Params!$B$9*Adds!BE162</f>
        <v/>
      </c>
      <c r="BF111" s="3">
        <f>Legacy!BF63+Paid!BF61+React!BF106+Params!$B$9*Adds!BF162</f>
        <v/>
      </c>
      <c r="BG111" s="3">
        <f>Legacy!BG63+Paid!BG61+React!BG106+Params!$B$9*Adds!BG162</f>
        <v/>
      </c>
      <c r="BH111" s="3">
        <f>Legacy!BH63+Paid!BH61+React!BH106+Params!$B$9*Adds!BH162</f>
        <v/>
      </c>
      <c r="BI111" s="3">
        <f>Legacy!BI63+Paid!BI61+React!BI106+Params!$B$9*Adds!BI162</f>
        <v/>
      </c>
      <c r="BJ111" s="3">
        <f>Legacy!BJ63+Paid!BJ61+React!BJ106+Params!$B$9*Adds!BJ162</f>
        <v/>
      </c>
      <c r="BK111" s="3">
        <f>Legacy!BK63+Paid!BK61+React!BK106+Params!$B$9*Adds!BK162</f>
        <v/>
      </c>
      <c r="BL111" s="3">
        <f>Legacy!BL63+Paid!BL61+React!BL106+Params!$B$9*Adds!BL162</f>
        <v/>
      </c>
      <c r="BM111" s="3">
        <f>Legacy!BM63+Paid!BM61+React!BM106+Params!$B$9*Adds!BM162</f>
        <v/>
      </c>
      <c r="BN111" s="3">
        <f>Legacy!BN63+Paid!BN61+React!BN106+Params!$B$9*Adds!BN162</f>
        <v/>
      </c>
      <c r="BO111" s="3">
        <f>Legacy!BO63+Paid!BO61+React!BO106+Params!$B$9*Adds!BO162</f>
        <v/>
      </c>
      <c r="BP111" s="3">
        <f>Legacy!BP63+Paid!BP61+React!BP106+Params!$B$9*Adds!BP162</f>
        <v/>
      </c>
      <c r="BQ111" s="3">
        <f>Legacy!BQ63+Paid!BQ61+React!BQ106+Params!$B$9*Adds!BQ162</f>
        <v/>
      </c>
      <c r="BR111" s="3">
        <f>Legacy!BR63+Paid!BR61+React!BR106+Params!$B$9*Adds!BR162</f>
        <v/>
      </c>
      <c r="BS111" s="3">
        <f>Legacy!BS63+Paid!BS61+React!BS106+Params!$B$9*Adds!BS162</f>
        <v/>
      </c>
      <c r="BT111" s="3">
        <f>Legacy!BT63+Paid!BT61+React!BT106+Params!$B$9*Adds!BT162</f>
        <v/>
      </c>
      <c r="BU111" s="3">
        <f>Legacy!BU63+Paid!BU61+React!BU106+Params!$B$9*Adds!BU162</f>
        <v/>
      </c>
      <c r="BV111" s="3">
        <f>Legacy!BV63+Paid!BV61+React!BV106+Params!$B$9*Adds!BV162</f>
        <v/>
      </c>
    </row>
    <row r="112">
      <c r="A112" t="inlineStr">
        <is>
          <t>closing</t>
        </is>
      </c>
      <c r="B112" t="inlineStr">
        <is>
          <t>APAC|BASIC_M</t>
        </is>
      </c>
      <c r="C112" s="3">
        <f>C113+Params!$B$9*Adds!C165</f>
        <v/>
      </c>
      <c r="D112" s="3">
        <f>D113+Params!$B$9*Adds!D165</f>
        <v/>
      </c>
      <c r="E112" s="3">
        <f>E113+Params!$B$9*Adds!E165</f>
        <v/>
      </c>
      <c r="F112" s="3">
        <f>F113+Params!$B$9*Adds!F165</f>
        <v/>
      </c>
      <c r="G112" s="3">
        <f>G113+Params!$B$9*Adds!G165</f>
        <v/>
      </c>
      <c r="H112" s="3">
        <f>H113+Params!$B$9*Adds!H165</f>
        <v/>
      </c>
      <c r="I112" s="3">
        <f>I113+Params!$B$9*Adds!I165</f>
        <v/>
      </c>
      <c r="J112" s="3">
        <f>J113+Params!$B$9*Adds!J165</f>
        <v/>
      </c>
      <c r="K112" s="3">
        <f>K113+Params!$B$9*Adds!K165</f>
        <v/>
      </c>
      <c r="L112" s="3">
        <f>L113+Params!$B$9*Adds!L165</f>
        <v/>
      </c>
      <c r="M112" s="3">
        <f>M113+Params!$B$9*Adds!M165</f>
        <v/>
      </c>
      <c r="N112" s="3">
        <f>N113+Params!$B$9*Adds!N165</f>
        <v/>
      </c>
      <c r="O112" s="3">
        <f>O113+Params!$B$9*Adds!O165</f>
        <v/>
      </c>
      <c r="P112" s="3">
        <f>P113+Params!$B$9*Adds!P165</f>
        <v/>
      </c>
      <c r="Q112" s="3">
        <f>Q113+Params!$B$9*Adds!Q165</f>
        <v/>
      </c>
      <c r="R112" s="3">
        <f>R113+Params!$B$9*Adds!R165</f>
        <v/>
      </c>
      <c r="S112" s="3">
        <f>S113+Params!$B$9*Adds!S165</f>
        <v/>
      </c>
      <c r="T112" s="3">
        <f>T113+Params!$B$9*Adds!T165</f>
        <v/>
      </c>
      <c r="U112" s="3">
        <f>U113+Params!$B$9*Adds!U165</f>
        <v/>
      </c>
      <c r="V112" s="3">
        <f>V113+Params!$B$9*Adds!V165</f>
        <v/>
      </c>
      <c r="W112" s="3">
        <f>W113+Params!$B$9*Adds!W165</f>
        <v/>
      </c>
      <c r="X112" s="3">
        <f>X113+Params!$B$9*Adds!X165</f>
        <v/>
      </c>
      <c r="Y112" s="3">
        <f>Y113+Params!$B$9*Adds!Y165</f>
        <v/>
      </c>
      <c r="Z112" s="3">
        <f>Z113+Params!$B$9*Adds!Z165</f>
        <v/>
      </c>
      <c r="AA112" s="3">
        <f>AA113+Params!$B$9*Adds!AA165</f>
        <v/>
      </c>
      <c r="AB112" s="3">
        <f>AB113+Params!$B$9*Adds!AB165</f>
        <v/>
      </c>
      <c r="AC112" s="3">
        <f>AC113+Params!$B$9*Adds!AC165</f>
        <v/>
      </c>
      <c r="AD112" s="3">
        <f>AD113+Params!$B$9*Adds!AD165</f>
        <v/>
      </c>
      <c r="AE112" s="3">
        <f>AE113+Params!$B$9*Adds!AE165</f>
        <v/>
      </c>
      <c r="AF112" s="3">
        <f>AF113+Params!$B$9*Adds!AF165</f>
        <v/>
      </c>
      <c r="AG112" s="3">
        <f>AG113+Params!$B$9*Adds!AG165</f>
        <v/>
      </c>
      <c r="AH112" s="3">
        <f>AH113+Params!$B$9*Adds!AH165</f>
        <v/>
      </c>
      <c r="AI112" s="3">
        <f>AI113+Params!$B$9*Adds!AI165</f>
        <v/>
      </c>
      <c r="AJ112" s="3">
        <f>AJ113+Params!$B$9*Adds!AJ165</f>
        <v/>
      </c>
      <c r="AK112" s="3">
        <f>AK113+Params!$B$9*Adds!AK165</f>
        <v/>
      </c>
      <c r="AL112" s="3">
        <f>AL113+Params!$B$9*Adds!AL165</f>
        <v/>
      </c>
      <c r="AM112" s="3">
        <f>AM113+Params!$B$9*Adds!AM165</f>
        <v/>
      </c>
      <c r="AN112" s="3">
        <f>AN113+Params!$B$9*Adds!AN165</f>
        <v/>
      </c>
      <c r="AO112" s="3">
        <f>AO113+Params!$B$9*Adds!AO165</f>
        <v/>
      </c>
      <c r="AP112" s="3">
        <f>AP113+Params!$B$9*Adds!AP165</f>
        <v/>
      </c>
      <c r="AQ112" s="3">
        <f>AQ113+Params!$B$9*Adds!AQ165</f>
        <v/>
      </c>
      <c r="AR112" s="3">
        <f>AR113+Params!$B$9*Adds!AR165</f>
        <v/>
      </c>
      <c r="AS112" s="3">
        <f>AS113+Params!$B$9*Adds!AS165</f>
        <v/>
      </c>
      <c r="AT112" s="3">
        <f>AT113+Params!$B$9*Adds!AT165</f>
        <v/>
      </c>
      <c r="AU112" s="3">
        <f>AU113+Params!$B$9*Adds!AU165</f>
        <v/>
      </c>
      <c r="AV112" s="3">
        <f>AV113+Params!$B$9*Adds!AV165</f>
        <v/>
      </c>
      <c r="AW112" s="3">
        <f>AW113+Params!$B$9*Adds!AW165</f>
        <v/>
      </c>
      <c r="AX112" s="3">
        <f>AX113+Params!$B$9*Adds!AX165</f>
        <v/>
      </c>
      <c r="AY112" s="3">
        <f>AY113+Params!$B$9*Adds!AY165</f>
        <v/>
      </c>
      <c r="AZ112" s="3">
        <f>AZ113+Params!$B$9*Adds!AZ165</f>
        <v/>
      </c>
      <c r="BA112" s="3">
        <f>BA113+Params!$B$9*Adds!BA165</f>
        <v/>
      </c>
      <c r="BB112" s="3">
        <f>BB113+Params!$B$9*Adds!BB165</f>
        <v/>
      </c>
      <c r="BC112" s="3">
        <f>BC113+Params!$B$9*Adds!BC165</f>
        <v/>
      </c>
      <c r="BD112" s="3">
        <f>BD113+Params!$B$9*Adds!BD165</f>
        <v/>
      </c>
      <c r="BE112" s="3">
        <f>BE113+Params!$B$9*Adds!BE165</f>
        <v/>
      </c>
      <c r="BF112" s="3">
        <f>BF113+Params!$B$9*Adds!BF165</f>
        <v/>
      </c>
      <c r="BG112" s="3">
        <f>BG113+Params!$B$9*Adds!BG165</f>
        <v/>
      </c>
      <c r="BH112" s="3">
        <f>BH113+Params!$B$9*Adds!BH165</f>
        <v/>
      </c>
      <c r="BI112" s="3">
        <f>BI113+Params!$B$9*Adds!BI165</f>
        <v/>
      </c>
      <c r="BJ112" s="3">
        <f>BJ113+Params!$B$9*Adds!BJ165</f>
        <v/>
      </c>
      <c r="BK112" s="3">
        <f>BK113+Params!$B$9*Adds!BK165</f>
        <v/>
      </c>
      <c r="BL112" s="3">
        <f>BL113+Params!$B$9*Adds!BL165</f>
        <v/>
      </c>
      <c r="BM112" s="3">
        <f>BM113+Params!$B$9*Adds!BM165</f>
        <v/>
      </c>
      <c r="BN112" s="3">
        <f>BN113+Params!$B$9*Adds!BN165</f>
        <v/>
      </c>
      <c r="BO112" s="3">
        <f>BO113+Params!$B$9*Adds!BO165</f>
        <v/>
      </c>
      <c r="BP112" s="3">
        <f>BP113+Params!$B$9*Adds!BP165</f>
        <v/>
      </c>
      <c r="BQ112" s="3">
        <f>BQ113+Params!$B$9*Adds!BQ165</f>
        <v/>
      </c>
      <c r="BR112" s="3">
        <f>BR113+Params!$B$9*Adds!BR165</f>
        <v/>
      </c>
      <c r="BS112" s="3">
        <f>BS113+Params!$B$9*Adds!BS165</f>
        <v/>
      </c>
      <c r="BT112" s="3">
        <f>BT113+Params!$B$9*Adds!BT165</f>
        <v/>
      </c>
      <c r="BU112" s="3">
        <f>BU113+Params!$B$9*Adds!BU165</f>
        <v/>
      </c>
      <c r="BV112" s="3">
        <f>BV113+Params!$B$9*Adds!BV165</f>
        <v/>
      </c>
    </row>
    <row r="113">
      <c r="A113" t="inlineStr">
        <is>
          <t>paying</t>
        </is>
      </c>
      <c r="B113" t="inlineStr">
        <is>
          <t>APAC|BASIC_M</t>
        </is>
      </c>
      <c r="C113" s="3">
        <f>Legacy!C62+Paid!C59+React!C104</f>
        <v/>
      </c>
      <c r="D113" s="3">
        <f>Legacy!D62+Paid!D59+React!D104</f>
        <v/>
      </c>
      <c r="E113" s="3">
        <f>Legacy!E62+Paid!E59+React!E104</f>
        <v/>
      </c>
      <c r="F113" s="3">
        <f>Legacy!F62+Paid!F59+React!F104</f>
        <v/>
      </c>
      <c r="G113" s="3">
        <f>Legacy!G62+Paid!G59+React!G104</f>
        <v/>
      </c>
      <c r="H113" s="3">
        <f>Legacy!H62+Paid!H59+React!H104</f>
        <v/>
      </c>
      <c r="I113" s="3">
        <f>Legacy!I62+Paid!I59+React!I104</f>
        <v/>
      </c>
      <c r="J113" s="3">
        <f>Legacy!J62+Paid!J59+React!J104</f>
        <v/>
      </c>
      <c r="K113" s="3">
        <f>Legacy!K62+Paid!K59+React!K104</f>
        <v/>
      </c>
      <c r="L113" s="3">
        <f>Legacy!L62+Paid!L59+React!L104</f>
        <v/>
      </c>
      <c r="M113" s="3">
        <f>Legacy!M62+Paid!M59+React!M104</f>
        <v/>
      </c>
      <c r="N113" s="3">
        <f>Legacy!N62+Paid!N59+React!N104</f>
        <v/>
      </c>
      <c r="O113" s="3">
        <f>Legacy!O62+Paid!O59+React!O104</f>
        <v/>
      </c>
      <c r="P113" s="3">
        <f>Legacy!P62+Paid!P59+React!P104</f>
        <v/>
      </c>
      <c r="Q113" s="3">
        <f>Legacy!Q62+Paid!Q59+React!Q104</f>
        <v/>
      </c>
      <c r="R113" s="3">
        <f>Legacy!R62+Paid!R59+React!R104</f>
        <v/>
      </c>
      <c r="S113" s="3">
        <f>Legacy!S62+Paid!S59+React!S104</f>
        <v/>
      </c>
      <c r="T113" s="3">
        <f>Legacy!T62+Paid!T59+React!T104</f>
        <v/>
      </c>
      <c r="U113" s="3">
        <f>Legacy!U62+Paid!U59+React!U104</f>
        <v/>
      </c>
      <c r="V113" s="3">
        <f>Legacy!V62+Paid!V59+React!V104</f>
        <v/>
      </c>
      <c r="W113" s="3">
        <f>Legacy!W62+Paid!W59+React!W104</f>
        <v/>
      </c>
      <c r="X113" s="3">
        <f>Legacy!X62+Paid!X59+React!X104</f>
        <v/>
      </c>
      <c r="Y113" s="3">
        <f>Legacy!Y62+Paid!Y59+React!Y104</f>
        <v/>
      </c>
      <c r="Z113" s="3">
        <f>Legacy!Z62+Paid!Z59+React!Z104</f>
        <v/>
      </c>
      <c r="AA113" s="3">
        <f>Legacy!AA62+Paid!AA59+React!AA104</f>
        <v/>
      </c>
      <c r="AB113" s="3">
        <f>Legacy!AB62+Paid!AB59+React!AB104</f>
        <v/>
      </c>
      <c r="AC113" s="3">
        <f>Legacy!AC62+Paid!AC59+React!AC104</f>
        <v/>
      </c>
      <c r="AD113" s="3">
        <f>Legacy!AD62+Paid!AD59+React!AD104</f>
        <v/>
      </c>
      <c r="AE113" s="3">
        <f>Legacy!AE62+Paid!AE59+React!AE104</f>
        <v/>
      </c>
      <c r="AF113" s="3">
        <f>Legacy!AF62+Paid!AF59+React!AF104</f>
        <v/>
      </c>
      <c r="AG113" s="3">
        <f>Legacy!AG62+Paid!AG59+React!AG104</f>
        <v/>
      </c>
      <c r="AH113" s="3">
        <f>Legacy!AH62+Paid!AH59+React!AH104</f>
        <v/>
      </c>
      <c r="AI113" s="3">
        <f>Legacy!AI62+Paid!AI59+React!AI104</f>
        <v/>
      </c>
      <c r="AJ113" s="3">
        <f>Legacy!AJ62+Paid!AJ59+React!AJ104</f>
        <v/>
      </c>
      <c r="AK113" s="3">
        <f>Legacy!AK62+Paid!AK59+React!AK104</f>
        <v/>
      </c>
      <c r="AL113" s="3">
        <f>Legacy!AL62+Paid!AL59+React!AL104</f>
        <v/>
      </c>
      <c r="AM113" s="3">
        <f>Legacy!AM62+Paid!AM59+React!AM104</f>
        <v/>
      </c>
      <c r="AN113" s="3">
        <f>Legacy!AN62+Paid!AN59+React!AN104</f>
        <v/>
      </c>
      <c r="AO113" s="3">
        <f>Legacy!AO62+Paid!AO59+React!AO104</f>
        <v/>
      </c>
      <c r="AP113" s="3">
        <f>Legacy!AP62+Paid!AP59+React!AP104</f>
        <v/>
      </c>
      <c r="AQ113" s="3">
        <f>Legacy!AQ62+Paid!AQ59+React!AQ104</f>
        <v/>
      </c>
      <c r="AR113" s="3">
        <f>Legacy!AR62+Paid!AR59+React!AR104</f>
        <v/>
      </c>
      <c r="AS113" s="3">
        <f>Legacy!AS62+Paid!AS59+React!AS104</f>
        <v/>
      </c>
      <c r="AT113" s="3">
        <f>Legacy!AT62+Paid!AT59+React!AT104</f>
        <v/>
      </c>
      <c r="AU113" s="3">
        <f>Legacy!AU62+Paid!AU59+React!AU104</f>
        <v/>
      </c>
      <c r="AV113" s="3">
        <f>Legacy!AV62+Paid!AV59+React!AV104</f>
        <v/>
      </c>
      <c r="AW113" s="3">
        <f>Legacy!AW62+Paid!AW59+React!AW104</f>
        <v/>
      </c>
      <c r="AX113" s="3">
        <f>Legacy!AX62+Paid!AX59+React!AX104</f>
        <v/>
      </c>
      <c r="AY113" s="3">
        <f>Legacy!AY62+Paid!AY59+React!AY104</f>
        <v/>
      </c>
      <c r="AZ113" s="3">
        <f>Legacy!AZ62+Paid!AZ59+React!AZ104</f>
        <v/>
      </c>
      <c r="BA113" s="3">
        <f>Legacy!BA62+Paid!BA59+React!BA104</f>
        <v/>
      </c>
      <c r="BB113" s="3">
        <f>Legacy!BB62+Paid!BB59+React!BB104</f>
        <v/>
      </c>
      <c r="BC113" s="3">
        <f>Legacy!BC62+Paid!BC59+React!BC104</f>
        <v/>
      </c>
      <c r="BD113" s="3">
        <f>Legacy!BD62+Paid!BD59+React!BD104</f>
        <v/>
      </c>
      <c r="BE113" s="3">
        <f>Legacy!BE62+Paid!BE59+React!BE104</f>
        <v/>
      </c>
      <c r="BF113" s="3">
        <f>Legacy!BF62+Paid!BF59+React!BF104</f>
        <v/>
      </c>
      <c r="BG113" s="3">
        <f>Legacy!BG62+Paid!BG59+React!BG104</f>
        <v/>
      </c>
      <c r="BH113" s="3">
        <f>Legacy!BH62+Paid!BH59+React!BH104</f>
        <v/>
      </c>
      <c r="BI113" s="3">
        <f>Legacy!BI62+Paid!BI59+React!BI104</f>
        <v/>
      </c>
      <c r="BJ113" s="3">
        <f>Legacy!BJ62+Paid!BJ59+React!BJ104</f>
        <v/>
      </c>
      <c r="BK113" s="3">
        <f>Legacy!BK62+Paid!BK59+React!BK104</f>
        <v/>
      </c>
      <c r="BL113" s="3">
        <f>Legacy!BL62+Paid!BL59+React!BL104</f>
        <v/>
      </c>
      <c r="BM113" s="3">
        <f>Legacy!BM62+Paid!BM59+React!BM104</f>
        <v/>
      </c>
      <c r="BN113" s="3">
        <f>Legacy!BN62+Paid!BN59+React!BN104</f>
        <v/>
      </c>
      <c r="BO113" s="3">
        <f>Legacy!BO62+Paid!BO59+React!BO104</f>
        <v/>
      </c>
      <c r="BP113" s="3">
        <f>Legacy!BP62+Paid!BP59+React!BP104</f>
        <v/>
      </c>
      <c r="BQ113" s="3">
        <f>Legacy!BQ62+Paid!BQ59+React!BQ104</f>
        <v/>
      </c>
      <c r="BR113" s="3">
        <f>Legacy!BR62+Paid!BR59+React!BR104</f>
        <v/>
      </c>
      <c r="BS113" s="3">
        <f>Legacy!BS62+Paid!BS59+React!BS104</f>
        <v/>
      </c>
      <c r="BT113" s="3">
        <f>Legacy!BT62+Paid!BT59+React!BT104</f>
        <v/>
      </c>
      <c r="BU113" s="3">
        <f>Legacy!BU62+Paid!BU59+React!BU104</f>
        <v/>
      </c>
      <c r="BV113" s="3">
        <f>Legacy!BV62+Paid!BV59+React!BV104</f>
        <v/>
      </c>
    </row>
    <row r="115">
      <c r="A115" t="inlineStr">
        <is>
          <t>opening</t>
        </is>
      </c>
      <c r="B115" t="inlineStr">
        <is>
          <t>APAC|BASIC_A</t>
        </is>
      </c>
      <c r="C115" s="3">
        <f>Legacy!$C$65</f>
        <v/>
      </c>
      <c r="D115" s="3">
        <f>C119</f>
        <v/>
      </c>
      <c r="E115" s="3">
        <f>D119</f>
        <v/>
      </c>
      <c r="F115" s="3">
        <f>E119</f>
        <v/>
      </c>
      <c r="G115" s="3">
        <f>F119</f>
        <v/>
      </c>
      <c r="H115" s="3">
        <f>G119</f>
        <v/>
      </c>
      <c r="I115" s="3">
        <f>H119</f>
        <v/>
      </c>
      <c r="J115" s="3">
        <f>I119</f>
        <v/>
      </c>
      <c r="K115" s="3">
        <f>J119</f>
        <v/>
      </c>
      <c r="L115" s="3">
        <f>K119</f>
        <v/>
      </c>
      <c r="M115" s="3">
        <f>L119</f>
        <v/>
      </c>
      <c r="N115" s="3">
        <f>M119</f>
        <v/>
      </c>
      <c r="O115" s="3">
        <f>N119</f>
        <v/>
      </c>
      <c r="P115" s="3">
        <f>O119</f>
        <v/>
      </c>
      <c r="Q115" s="3">
        <f>P119</f>
        <v/>
      </c>
      <c r="R115" s="3">
        <f>Q119</f>
        <v/>
      </c>
      <c r="S115" s="3">
        <f>R119</f>
        <v/>
      </c>
      <c r="T115" s="3">
        <f>S119</f>
        <v/>
      </c>
      <c r="U115" s="3">
        <f>T119</f>
        <v/>
      </c>
      <c r="V115" s="3">
        <f>U119</f>
        <v/>
      </c>
      <c r="W115" s="3">
        <f>V119</f>
        <v/>
      </c>
      <c r="X115" s="3">
        <f>W119</f>
        <v/>
      </c>
      <c r="Y115" s="3">
        <f>X119</f>
        <v/>
      </c>
      <c r="Z115" s="3">
        <f>Y119</f>
        <v/>
      </c>
      <c r="AA115" s="3">
        <f>Z119</f>
        <v/>
      </c>
      <c r="AB115" s="3">
        <f>AA119</f>
        <v/>
      </c>
      <c r="AC115" s="3">
        <f>AB119</f>
        <v/>
      </c>
      <c r="AD115" s="3">
        <f>AC119</f>
        <v/>
      </c>
      <c r="AE115" s="3">
        <f>AD119</f>
        <v/>
      </c>
      <c r="AF115" s="3">
        <f>AE119</f>
        <v/>
      </c>
      <c r="AG115" s="3">
        <f>AF119</f>
        <v/>
      </c>
      <c r="AH115" s="3">
        <f>AG119</f>
        <v/>
      </c>
      <c r="AI115" s="3">
        <f>AH119</f>
        <v/>
      </c>
      <c r="AJ115" s="3">
        <f>AI119</f>
        <v/>
      </c>
      <c r="AK115" s="3">
        <f>AJ119</f>
        <v/>
      </c>
      <c r="AL115" s="3">
        <f>AK119</f>
        <v/>
      </c>
      <c r="AM115" s="3">
        <f>AL119</f>
        <v/>
      </c>
      <c r="AN115" s="3">
        <f>AM119</f>
        <v/>
      </c>
      <c r="AO115" s="3">
        <f>AN119</f>
        <v/>
      </c>
      <c r="AP115" s="3">
        <f>AO119</f>
        <v/>
      </c>
      <c r="AQ115" s="3">
        <f>AP119</f>
        <v/>
      </c>
      <c r="AR115" s="3">
        <f>AQ119</f>
        <v/>
      </c>
      <c r="AS115" s="3">
        <f>AR119</f>
        <v/>
      </c>
      <c r="AT115" s="3">
        <f>AS119</f>
        <v/>
      </c>
      <c r="AU115" s="3">
        <f>AT119</f>
        <v/>
      </c>
      <c r="AV115" s="3">
        <f>AU119</f>
        <v/>
      </c>
      <c r="AW115" s="3">
        <f>AV119</f>
        <v/>
      </c>
      <c r="AX115" s="3">
        <f>AW119</f>
        <v/>
      </c>
      <c r="AY115" s="3">
        <f>AX119</f>
        <v/>
      </c>
      <c r="AZ115" s="3">
        <f>AY119</f>
        <v/>
      </c>
      <c r="BA115" s="3">
        <f>AZ119</f>
        <v/>
      </c>
      <c r="BB115" s="3">
        <f>BA119</f>
        <v/>
      </c>
      <c r="BC115" s="3">
        <f>BB119</f>
        <v/>
      </c>
      <c r="BD115" s="3">
        <f>BC119</f>
        <v/>
      </c>
      <c r="BE115" s="3">
        <f>BD119</f>
        <v/>
      </c>
      <c r="BF115" s="3">
        <f>BE119</f>
        <v/>
      </c>
      <c r="BG115" s="3">
        <f>BF119</f>
        <v/>
      </c>
      <c r="BH115" s="3">
        <f>BG119</f>
        <v/>
      </c>
      <c r="BI115" s="3">
        <f>BH119</f>
        <v/>
      </c>
      <c r="BJ115" s="3">
        <f>BI119</f>
        <v/>
      </c>
      <c r="BK115" s="3">
        <f>BJ119</f>
        <v/>
      </c>
      <c r="BL115" s="3">
        <f>BK119</f>
        <v/>
      </c>
      <c r="BM115" s="3">
        <f>BL119</f>
        <v/>
      </c>
      <c r="BN115" s="3">
        <f>BM119</f>
        <v/>
      </c>
      <c r="BO115" s="3">
        <f>BN119</f>
        <v/>
      </c>
      <c r="BP115" s="3">
        <f>BO119</f>
        <v/>
      </c>
      <c r="BQ115" s="3">
        <f>BP119</f>
        <v/>
      </c>
      <c r="BR115" s="3">
        <f>BQ119</f>
        <v/>
      </c>
      <c r="BS115" s="3">
        <f>BR119</f>
        <v/>
      </c>
      <c r="BT115" s="3">
        <f>BS119</f>
        <v/>
      </c>
      <c r="BU115" s="3">
        <f>BT119</f>
        <v/>
      </c>
      <c r="BV115" s="3">
        <f>BU119</f>
        <v/>
      </c>
    </row>
    <row r="116">
      <c r="A116" t="inlineStr">
        <is>
          <t>new</t>
        </is>
      </c>
      <c r="B116" t="inlineStr">
        <is>
          <t>APAC|BASIC_A</t>
        </is>
      </c>
      <c r="C116" s="3">
        <f>Adds!C170+IF(Params!$B$9=1,Adds!C169,Adds!C172)</f>
        <v/>
      </c>
      <c r="D116" s="3">
        <f>Adds!D170+IF(Params!$B$9=1,Adds!D169,Adds!D172)</f>
        <v/>
      </c>
      <c r="E116" s="3">
        <f>Adds!E170+IF(Params!$B$9=1,Adds!E169,Adds!E172)</f>
        <v/>
      </c>
      <c r="F116" s="3">
        <f>Adds!F170+IF(Params!$B$9=1,Adds!F169,Adds!F172)</f>
        <v/>
      </c>
      <c r="G116" s="3">
        <f>Adds!G170+IF(Params!$B$9=1,Adds!G169,Adds!G172)</f>
        <v/>
      </c>
      <c r="H116" s="3">
        <f>Adds!H170+IF(Params!$B$9=1,Adds!H169,Adds!H172)</f>
        <v/>
      </c>
      <c r="I116" s="3">
        <f>Adds!I170+IF(Params!$B$9=1,Adds!I169,Adds!I172)</f>
        <v/>
      </c>
      <c r="J116" s="3">
        <f>Adds!J170+IF(Params!$B$9=1,Adds!J169,Adds!J172)</f>
        <v/>
      </c>
      <c r="K116" s="3">
        <f>Adds!K170+IF(Params!$B$9=1,Adds!K169,Adds!K172)</f>
        <v/>
      </c>
      <c r="L116" s="3">
        <f>Adds!L170+IF(Params!$B$9=1,Adds!L169,Adds!L172)</f>
        <v/>
      </c>
      <c r="M116" s="3">
        <f>Adds!M170+IF(Params!$B$9=1,Adds!M169,Adds!M172)</f>
        <v/>
      </c>
      <c r="N116" s="3">
        <f>Adds!N170+IF(Params!$B$9=1,Adds!N169,Adds!N172)</f>
        <v/>
      </c>
      <c r="O116" s="3">
        <f>Adds!O170+IF(Params!$B$9=1,Adds!O169,Adds!O172)</f>
        <v/>
      </c>
      <c r="P116" s="3">
        <f>Adds!P170+IF(Params!$B$9=1,Adds!P169,Adds!P172)</f>
        <v/>
      </c>
      <c r="Q116" s="3">
        <f>Adds!Q170+IF(Params!$B$9=1,Adds!Q169,Adds!Q172)</f>
        <v/>
      </c>
      <c r="R116" s="3">
        <f>Adds!R170+IF(Params!$B$9=1,Adds!R169,Adds!R172)</f>
        <v/>
      </c>
      <c r="S116" s="3">
        <f>Adds!S170+IF(Params!$B$9=1,Adds!S169,Adds!S172)</f>
        <v/>
      </c>
      <c r="T116" s="3">
        <f>Adds!T170+IF(Params!$B$9=1,Adds!T169,Adds!T172)</f>
        <v/>
      </c>
      <c r="U116" s="3">
        <f>Adds!U170+IF(Params!$B$9=1,Adds!U169,Adds!U172)</f>
        <v/>
      </c>
      <c r="V116" s="3">
        <f>Adds!V170+IF(Params!$B$9=1,Adds!V169,Adds!V172)</f>
        <v/>
      </c>
      <c r="W116" s="3">
        <f>Adds!W170+IF(Params!$B$9=1,Adds!W169,Adds!W172)</f>
        <v/>
      </c>
      <c r="X116" s="3">
        <f>Adds!X170+IF(Params!$B$9=1,Adds!X169,Adds!X172)</f>
        <v/>
      </c>
      <c r="Y116" s="3">
        <f>Adds!Y170+IF(Params!$B$9=1,Adds!Y169,Adds!Y172)</f>
        <v/>
      </c>
      <c r="Z116" s="3">
        <f>Adds!Z170+IF(Params!$B$9=1,Adds!Z169,Adds!Z172)</f>
        <v/>
      </c>
      <c r="AA116" s="3">
        <f>Adds!AA170+IF(Params!$B$9=1,Adds!AA169,Adds!AA172)</f>
        <v/>
      </c>
      <c r="AB116" s="3">
        <f>Adds!AB170+IF(Params!$B$9=1,Adds!AB169,Adds!AB172)</f>
        <v/>
      </c>
      <c r="AC116" s="3">
        <f>Adds!AC170+IF(Params!$B$9=1,Adds!AC169,Adds!AC172)</f>
        <v/>
      </c>
      <c r="AD116" s="3">
        <f>Adds!AD170+IF(Params!$B$9=1,Adds!AD169,Adds!AD172)</f>
        <v/>
      </c>
      <c r="AE116" s="3">
        <f>Adds!AE170+IF(Params!$B$9=1,Adds!AE169,Adds!AE172)</f>
        <v/>
      </c>
      <c r="AF116" s="3">
        <f>Adds!AF170+IF(Params!$B$9=1,Adds!AF169,Adds!AF172)</f>
        <v/>
      </c>
      <c r="AG116" s="3">
        <f>Adds!AG170+IF(Params!$B$9=1,Adds!AG169,Adds!AG172)</f>
        <v/>
      </c>
      <c r="AH116" s="3">
        <f>Adds!AH170+IF(Params!$B$9=1,Adds!AH169,Adds!AH172)</f>
        <v/>
      </c>
      <c r="AI116" s="3">
        <f>Adds!AI170+IF(Params!$B$9=1,Adds!AI169,Adds!AI172)</f>
        <v/>
      </c>
      <c r="AJ116" s="3">
        <f>Adds!AJ170+IF(Params!$B$9=1,Adds!AJ169,Adds!AJ172)</f>
        <v/>
      </c>
      <c r="AK116" s="3">
        <f>Adds!AK170+IF(Params!$B$9=1,Adds!AK169,Adds!AK172)</f>
        <v/>
      </c>
      <c r="AL116" s="3">
        <f>Adds!AL170+IF(Params!$B$9=1,Adds!AL169,Adds!AL172)</f>
        <v/>
      </c>
      <c r="AM116" s="3">
        <f>Adds!AM170+IF(Params!$B$9=1,Adds!AM169,Adds!AM172)</f>
        <v/>
      </c>
      <c r="AN116" s="3">
        <f>Adds!AN170+IF(Params!$B$9=1,Adds!AN169,Adds!AN172)</f>
        <v/>
      </c>
      <c r="AO116" s="3">
        <f>Adds!AO170+IF(Params!$B$9=1,Adds!AO169,Adds!AO172)</f>
        <v/>
      </c>
      <c r="AP116" s="3">
        <f>Adds!AP170+IF(Params!$B$9=1,Adds!AP169,Adds!AP172)</f>
        <v/>
      </c>
      <c r="AQ116" s="3">
        <f>Adds!AQ170+IF(Params!$B$9=1,Adds!AQ169,Adds!AQ172)</f>
        <v/>
      </c>
      <c r="AR116" s="3">
        <f>Adds!AR170+IF(Params!$B$9=1,Adds!AR169,Adds!AR172)</f>
        <v/>
      </c>
      <c r="AS116" s="3">
        <f>Adds!AS170+IF(Params!$B$9=1,Adds!AS169,Adds!AS172)</f>
        <v/>
      </c>
      <c r="AT116" s="3">
        <f>Adds!AT170+IF(Params!$B$9=1,Adds!AT169,Adds!AT172)</f>
        <v/>
      </c>
      <c r="AU116" s="3">
        <f>Adds!AU170+IF(Params!$B$9=1,Adds!AU169,Adds!AU172)</f>
        <v/>
      </c>
      <c r="AV116" s="3">
        <f>Adds!AV170+IF(Params!$B$9=1,Adds!AV169,Adds!AV172)</f>
        <v/>
      </c>
      <c r="AW116" s="3">
        <f>Adds!AW170+IF(Params!$B$9=1,Adds!AW169,Adds!AW172)</f>
        <v/>
      </c>
      <c r="AX116" s="3">
        <f>Adds!AX170+IF(Params!$B$9=1,Adds!AX169,Adds!AX172)</f>
        <v/>
      </c>
      <c r="AY116" s="3">
        <f>Adds!AY170+IF(Params!$B$9=1,Adds!AY169,Adds!AY172)</f>
        <v/>
      </c>
      <c r="AZ116" s="3">
        <f>Adds!AZ170+IF(Params!$B$9=1,Adds!AZ169,Adds!AZ172)</f>
        <v/>
      </c>
      <c r="BA116" s="3">
        <f>Adds!BA170+IF(Params!$B$9=1,Adds!BA169,Adds!BA172)</f>
        <v/>
      </c>
      <c r="BB116" s="3">
        <f>Adds!BB170+IF(Params!$B$9=1,Adds!BB169,Adds!BB172)</f>
        <v/>
      </c>
      <c r="BC116" s="3">
        <f>Adds!BC170+IF(Params!$B$9=1,Adds!BC169,Adds!BC172)</f>
        <v/>
      </c>
      <c r="BD116" s="3">
        <f>Adds!BD170+IF(Params!$B$9=1,Adds!BD169,Adds!BD172)</f>
        <v/>
      </c>
      <c r="BE116" s="3">
        <f>Adds!BE170+IF(Params!$B$9=1,Adds!BE169,Adds!BE172)</f>
        <v/>
      </c>
      <c r="BF116" s="3">
        <f>Adds!BF170+IF(Params!$B$9=1,Adds!BF169,Adds!BF172)</f>
        <v/>
      </c>
      <c r="BG116" s="3">
        <f>Adds!BG170+IF(Params!$B$9=1,Adds!BG169,Adds!BG172)</f>
        <v/>
      </c>
      <c r="BH116" s="3">
        <f>Adds!BH170+IF(Params!$B$9=1,Adds!BH169,Adds!BH172)</f>
        <v/>
      </c>
      <c r="BI116" s="3">
        <f>Adds!BI170+IF(Params!$B$9=1,Adds!BI169,Adds!BI172)</f>
        <v/>
      </c>
      <c r="BJ116" s="3">
        <f>Adds!BJ170+IF(Params!$B$9=1,Adds!BJ169,Adds!BJ172)</f>
        <v/>
      </c>
      <c r="BK116" s="3">
        <f>Adds!BK170+IF(Params!$B$9=1,Adds!BK169,Adds!BK172)</f>
        <v/>
      </c>
      <c r="BL116" s="3">
        <f>Adds!BL170+IF(Params!$B$9=1,Adds!BL169,Adds!BL172)</f>
        <v/>
      </c>
      <c r="BM116" s="3">
        <f>Adds!BM170+IF(Params!$B$9=1,Adds!BM169,Adds!BM172)</f>
        <v/>
      </c>
      <c r="BN116" s="3">
        <f>Adds!BN170+IF(Params!$B$9=1,Adds!BN169,Adds!BN172)</f>
        <v/>
      </c>
      <c r="BO116" s="3">
        <f>Adds!BO170+IF(Params!$B$9=1,Adds!BO169,Adds!BO172)</f>
        <v/>
      </c>
      <c r="BP116" s="3">
        <f>Adds!BP170+IF(Params!$B$9=1,Adds!BP169,Adds!BP172)</f>
        <v/>
      </c>
      <c r="BQ116" s="3">
        <f>Adds!BQ170+IF(Params!$B$9=1,Adds!BQ169,Adds!BQ172)</f>
        <v/>
      </c>
      <c r="BR116" s="3">
        <f>Adds!BR170+IF(Params!$B$9=1,Adds!BR169,Adds!BR172)</f>
        <v/>
      </c>
      <c r="BS116" s="3">
        <f>Adds!BS170+IF(Params!$B$9=1,Adds!BS169,Adds!BS172)</f>
        <v/>
      </c>
      <c r="BT116" s="3">
        <f>Adds!BT170+IF(Params!$B$9=1,Adds!BT169,Adds!BT172)</f>
        <v/>
      </c>
      <c r="BU116" s="3">
        <f>Adds!BU170+IF(Params!$B$9=1,Adds!BU169,Adds!BU172)</f>
        <v/>
      </c>
      <c r="BV116" s="3">
        <f>Adds!BV170+IF(Params!$B$9=1,Adds!BV169,Adds!BV172)</f>
        <v/>
      </c>
    </row>
    <row r="117">
      <c r="A117" t="inlineStr">
        <is>
          <t>reactivated</t>
        </is>
      </c>
      <c r="B117" t="inlineStr">
        <is>
          <t>APAC|BASIC_A</t>
        </is>
      </c>
      <c r="C117" s="3">
        <f>React!C110</f>
        <v/>
      </c>
      <c r="D117" s="3">
        <f>React!D110</f>
        <v/>
      </c>
      <c r="E117" s="3">
        <f>React!E110</f>
        <v/>
      </c>
      <c r="F117" s="3">
        <f>React!F110</f>
        <v/>
      </c>
      <c r="G117" s="3">
        <f>React!G110</f>
        <v/>
      </c>
      <c r="H117" s="3">
        <f>React!H110</f>
        <v/>
      </c>
      <c r="I117" s="3">
        <f>React!I110</f>
        <v/>
      </c>
      <c r="J117" s="3">
        <f>React!J110</f>
        <v/>
      </c>
      <c r="K117" s="3">
        <f>React!K110</f>
        <v/>
      </c>
      <c r="L117" s="3">
        <f>React!L110</f>
        <v/>
      </c>
      <c r="M117" s="3">
        <f>React!M110</f>
        <v/>
      </c>
      <c r="N117" s="3">
        <f>React!N110</f>
        <v/>
      </c>
      <c r="O117" s="3">
        <f>React!O110</f>
        <v/>
      </c>
      <c r="P117" s="3">
        <f>React!P110</f>
        <v/>
      </c>
      <c r="Q117" s="3">
        <f>React!Q110</f>
        <v/>
      </c>
      <c r="R117" s="3">
        <f>React!R110</f>
        <v/>
      </c>
      <c r="S117" s="3">
        <f>React!S110</f>
        <v/>
      </c>
      <c r="T117" s="3">
        <f>React!T110</f>
        <v/>
      </c>
      <c r="U117" s="3">
        <f>React!U110</f>
        <v/>
      </c>
      <c r="V117" s="3">
        <f>React!V110</f>
        <v/>
      </c>
      <c r="W117" s="3">
        <f>React!W110</f>
        <v/>
      </c>
      <c r="X117" s="3">
        <f>React!X110</f>
        <v/>
      </c>
      <c r="Y117" s="3">
        <f>React!Y110</f>
        <v/>
      </c>
      <c r="Z117" s="3">
        <f>React!Z110</f>
        <v/>
      </c>
      <c r="AA117" s="3">
        <f>React!AA110</f>
        <v/>
      </c>
      <c r="AB117" s="3">
        <f>React!AB110</f>
        <v/>
      </c>
      <c r="AC117" s="3">
        <f>React!AC110</f>
        <v/>
      </c>
      <c r="AD117" s="3">
        <f>React!AD110</f>
        <v/>
      </c>
      <c r="AE117" s="3">
        <f>React!AE110</f>
        <v/>
      </c>
      <c r="AF117" s="3">
        <f>React!AF110</f>
        <v/>
      </c>
      <c r="AG117" s="3">
        <f>React!AG110</f>
        <v/>
      </c>
      <c r="AH117" s="3">
        <f>React!AH110</f>
        <v/>
      </c>
      <c r="AI117" s="3">
        <f>React!AI110</f>
        <v/>
      </c>
      <c r="AJ117" s="3">
        <f>React!AJ110</f>
        <v/>
      </c>
      <c r="AK117" s="3">
        <f>React!AK110</f>
        <v/>
      </c>
      <c r="AL117" s="3">
        <f>React!AL110</f>
        <v/>
      </c>
      <c r="AM117" s="3">
        <f>React!AM110</f>
        <v/>
      </c>
      <c r="AN117" s="3">
        <f>React!AN110</f>
        <v/>
      </c>
      <c r="AO117" s="3">
        <f>React!AO110</f>
        <v/>
      </c>
      <c r="AP117" s="3">
        <f>React!AP110</f>
        <v/>
      </c>
      <c r="AQ117" s="3">
        <f>React!AQ110</f>
        <v/>
      </c>
      <c r="AR117" s="3">
        <f>React!AR110</f>
        <v/>
      </c>
      <c r="AS117" s="3">
        <f>React!AS110</f>
        <v/>
      </c>
      <c r="AT117" s="3">
        <f>React!AT110</f>
        <v/>
      </c>
      <c r="AU117" s="3">
        <f>React!AU110</f>
        <v/>
      </c>
      <c r="AV117" s="3">
        <f>React!AV110</f>
        <v/>
      </c>
      <c r="AW117" s="3">
        <f>React!AW110</f>
        <v/>
      </c>
      <c r="AX117" s="3">
        <f>React!AX110</f>
        <v/>
      </c>
      <c r="AY117" s="3">
        <f>React!AY110</f>
        <v/>
      </c>
      <c r="AZ117" s="3">
        <f>React!AZ110</f>
        <v/>
      </c>
      <c r="BA117" s="3">
        <f>React!BA110</f>
        <v/>
      </c>
      <c r="BB117" s="3">
        <f>React!BB110</f>
        <v/>
      </c>
      <c r="BC117" s="3">
        <f>React!BC110</f>
        <v/>
      </c>
      <c r="BD117" s="3">
        <f>React!BD110</f>
        <v/>
      </c>
      <c r="BE117" s="3">
        <f>React!BE110</f>
        <v/>
      </c>
      <c r="BF117" s="3">
        <f>React!BF110</f>
        <v/>
      </c>
      <c r="BG117" s="3">
        <f>React!BG110</f>
        <v/>
      </c>
      <c r="BH117" s="3">
        <f>React!BH110</f>
        <v/>
      </c>
      <c r="BI117" s="3">
        <f>React!BI110</f>
        <v/>
      </c>
      <c r="BJ117" s="3">
        <f>React!BJ110</f>
        <v/>
      </c>
      <c r="BK117" s="3">
        <f>React!BK110</f>
        <v/>
      </c>
      <c r="BL117" s="3">
        <f>React!BL110</f>
        <v/>
      </c>
      <c r="BM117" s="3">
        <f>React!BM110</f>
        <v/>
      </c>
      <c r="BN117" s="3">
        <f>React!BN110</f>
        <v/>
      </c>
      <c r="BO117" s="3">
        <f>React!BO110</f>
        <v/>
      </c>
      <c r="BP117" s="3">
        <f>React!BP110</f>
        <v/>
      </c>
      <c r="BQ117" s="3">
        <f>React!BQ110</f>
        <v/>
      </c>
      <c r="BR117" s="3">
        <f>React!BR110</f>
        <v/>
      </c>
      <c r="BS117" s="3">
        <f>React!BS110</f>
        <v/>
      </c>
      <c r="BT117" s="3">
        <f>React!BT110</f>
        <v/>
      </c>
      <c r="BU117" s="3">
        <f>React!BU110</f>
        <v/>
      </c>
      <c r="BV117" s="3">
        <f>React!BV110</f>
        <v/>
      </c>
    </row>
    <row r="118">
      <c r="A118" t="inlineStr">
        <is>
          <t>churned</t>
        </is>
      </c>
      <c r="B118" t="inlineStr">
        <is>
          <t>APAC|BASIC_A</t>
        </is>
      </c>
      <c r="C118" s="3">
        <f>Legacy!C67+Paid!C65+React!C113+Params!$B$9*Adds!C173</f>
        <v/>
      </c>
      <c r="D118" s="3">
        <f>Legacy!D67+Paid!D65+React!D113+Params!$B$9*Adds!D173</f>
        <v/>
      </c>
      <c r="E118" s="3">
        <f>Legacy!E67+Paid!E65+React!E113+Params!$B$9*Adds!E173</f>
        <v/>
      </c>
      <c r="F118" s="3">
        <f>Legacy!F67+Paid!F65+React!F113+Params!$B$9*Adds!F173</f>
        <v/>
      </c>
      <c r="G118" s="3">
        <f>Legacy!G67+Paid!G65+React!G113+Params!$B$9*Adds!G173</f>
        <v/>
      </c>
      <c r="H118" s="3">
        <f>Legacy!H67+Paid!H65+React!H113+Params!$B$9*Adds!H173</f>
        <v/>
      </c>
      <c r="I118" s="3">
        <f>Legacy!I67+Paid!I65+React!I113+Params!$B$9*Adds!I173</f>
        <v/>
      </c>
      <c r="J118" s="3">
        <f>Legacy!J67+Paid!J65+React!J113+Params!$B$9*Adds!J173</f>
        <v/>
      </c>
      <c r="K118" s="3">
        <f>Legacy!K67+Paid!K65+React!K113+Params!$B$9*Adds!K173</f>
        <v/>
      </c>
      <c r="L118" s="3">
        <f>Legacy!L67+Paid!L65+React!L113+Params!$B$9*Adds!L173</f>
        <v/>
      </c>
      <c r="M118" s="3">
        <f>Legacy!M67+Paid!M65+React!M113+Params!$B$9*Adds!M173</f>
        <v/>
      </c>
      <c r="N118" s="3">
        <f>Legacy!N67+Paid!N65+React!N113+Params!$B$9*Adds!N173</f>
        <v/>
      </c>
      <c r="O118" s="3">
        <f>Legacy!O67+Paid!O65+React!O113+Params!$B$9*Adds!O173</f>
        <v/>
      </c>
      <c r="P118" s="3">
        <f>Legacy!P67+Paid!P65+React!P113+Params!$B$9*Adds!P173</f>
        <v/>
      </c>
      <c r="Q118" s="3">
        <f>Legacy!Q67+Paid!Q65+React!Q113+Params!$B$9*Adds!Q173</f>
        <v/>
      </c>
      <c r="R118" s="3">
        <f>Legacy!R67+Paid!R65+React!R113+Params!$B$9*Adds!R173</f>
        <v/>
      </c>
      <c r="S118" s="3">
        <f>Legacy!S67+Paid!S65+React!S113+Params!$B$9*Adds!S173</f>
        <v/>
      </c>
      <c r="T118" s="3">
        <f>Legacy!T67+Paid!T65+React!T113+Params!$B$9*Adds!T173</f>
        <v/>
      </c>
      <c r="U118" s="3">
        <f>Legacy!U67+Paid!U65+React!U113+Params!$B$9*Adds!U173</f>
        <v/>
      </c>
      <c r="V118" s="3">
        <f>Legacy!V67+Paid!V65+React!V113+Params!$B$9*Adds!V173</f>
        <v/>
      </c>
      <c r="W118" s="3">
        <f>Legacy!W67+Paid!W65+React!W113+Params!$B$9*Adds!W173</f>
        <v/>
      </c>
      <c r="X118" s="3">
        <f>Legacy!X67+Paid!X65+React!X113+Params!$B$9*Adds!X173</f>
        <v/>
      </c>
      <c r="Y118" s="3">
        <f>Legacy!Y67+Paid!Y65+React!Y113+Params!$B$9*Adds!Y173</f>
        <v/>
      </c>
      <c r="Z118" s="3">
        <f>Legacy!Z67+Paid!Z65+React!Z113+Params!$B$9*Adds!Z173</f>
        <v/>
      </c>
      <c r="AA118" s="3">
        <f>Legacy!AA67+Paid!AA65+React!AA113+Params!$B$9*Adds!AA173</f>
        <v/>
      </c>
      <c r="AB118" s="3">
        <f>Legacy!AB67+Paid!AB65+React!AB113+Params!$B$9*Adds!AB173</f>
        <v/>
      </c>
      <c r="AC118" s="3">
        <f>Legacy!AC67+Paid!AC65+React!AC113+Params!$B$9*Adds!AC173</f>
        <v/>
      </c>
      <c r="AD118" s="3">
        <f>Legacy!AD67+Paid!AD65+React!AD113+Params!$B$9*Adds!AD173</f>
        <v/>
      </c>
      <c r="AE118" s="3">
        <f>Legacy!AE67+Paid!AE65+React!AE113+Params!$B$9*Adds!AE173</f>
        <v/>
      </c>
      <c r="AF118" s="3">
        <f>Legacy!AF67+Paid!AF65+React!AF113+Params!$B$9*Adds!AF173</f>
        <v/>
      </c>
      <c r="AG118" s="3">
        <f>Legacy!AG67+Paid!AG65+React!AG113+Params!$B$9*Adds!AG173</f>
        <v/>
      </c>
      <c r="AH118" s="3">
        <f>Legacy!AH67+Paid!AH65+React!AH113+Params!$B$9*Adds!AH173</f>
        <v/>
      </c>
      <c r="AI118" s="3">
        <f>Legacy!AI67+Paid!AI65+React!AI113+Params!$B$9*Adds!AI173</f>
        <v/>
      </c>
      <c r="AJ118" s="3">
        <f>Legacy!AJ67+Paid!AJ65+React!AJ113+Params!$B$9*Adds!AJ173</f>
        <v/>
      </c>
      <c r="AK118" s="3">
        <f>Legacy!AK67+Paid!AK65+React!AK113+Params!$B$9*Adds!AK173</f>
        <v/>
      </c>
      <c r="AL118" s="3">
        <f>Legacy!AL67+Paid!AL65+React!AL113+Params!$B$9*Adds!AL173</f>
        <v/>
      </c>
      <c r="AM118" s="3">
        <f>Legacy!AM67+Paid!AM65+React!AM113+Params!$B$9*Adds!AM173</f>
        <v/>
      </c>
      <c r="AN118" s="3">
        <f>Legacy!AN67+Paid!AN65+React!AN113+Params!$B$9*Adds!AN173</f>
        <v/>
      </c>
      <c r="AO118" s="3">
        <f>Legacy!AO67+Paid!AO65+React!AO113+Params!$B$9*Adds!AO173</f>
        <v/>
      </c>
      <c r="AP118" s="3">
        <f>Legacy!AP67+Paid!AP65+React!AP113+Params!$B$9*Adds!AP173</f>
        <v/>
      </c>
      <c r="AQ118" s="3">
        <f>Legacy!AQ67+Paid!AQ65+React!AQ113+Params!$B$9*Adds!AQ173</f>
        <v/>
      </c>
      <c r="AR118" s="3">
        <f>Legacy!AR67+Paid!AR65+React!AR113+Params!$B$9*Adds!AR173</f>
        <v/>
      </c>
      <c r="AS118" s="3">
        <f>Legacy!AS67+Paid!AS65+React!AS113+Params!$B$9*Adds!AS173</f>
        <v/>
      </c>
      <c r="AT118" s="3">
        <f>Legacy!AT67+Paid!AT65+React!AT113+Params!$B$9*Adds!AT173</f>
        <v/>
      </c>
      <c r="AU118" s="3">
        <f>Legacy!AU67+Paid!AU65+React!AU113+Params!$B$9*Adds!AU173</f>
        <v/>
      </c>
      <c r="AV118" s="3">
        <f>Legacy!AV67+Paid!AV65+React!AV113+Params!$B$9*Adds!AV173</f>
        <v/>
      </c>
      <c r="AW118" s="3">
        <f>Legacy!AW67+Paid!AW65+React!AW113+Params!$B$9*Adds!AW173</f>
        <v/>
      </c>
      <c r="AX118" s="3">
        <f>Legacy!AX67+Paid!AX65+React!AX113+Params!$B$9*Adds!AX173</f>
        <v/>
      </c>
      <c r="AY118" s="3">
        <f>Legacy!AY67+Paid!AY65+React!AY113+Params!$B$9*Adds!AY173</f>
        <v/>
      </c>
      <c r="AZ118" s="3">
        <f>Legacy!AZ67+Paid!AZ65+React!AZ113+Params!$B$9*Adds!AZ173</f>
        <v/>
      </c>
      <c r="BA118" s="3">
        <f>Legacy!BA67+Paid!BA65+React!BA113+Params!$B$9*Adds!BA173</f>
        <v/>
      </c>
      <c r="BB118" s="3">
        <f>Legacy!BB67+Paid!BB65+React!BB113+Params!$B$9*Adds!BB173</f>
        <v/>
      </c>
      <c r="BC118" s="3">
        <f>Legacy!BC67+Paid!BC65+React!BC113+Params!$B$9*Adds!BC173</f>
        <v/>
      </c>
      <c r="BD118" s="3">
        <f>Legacy!BD67+Paid!BD65+React!BD113+Params!$B$9*Adds!BD173</f>
        <v/>
      </c>
      <c r="BE118" s="3">
        <f>Legacy!BE67+Paid!BE65+React!BE113+Params!$B$9*Adds!BE173</f>
        <v/>
      </c>
      <c r="BF118" s="3">
        <f>Legacy!BF67+Paid!BF65+React!BF113+Params!$B$9*Adds!BF173</f>
        <v/>
      </c>
      <c r="BG118" s="3">
        <f>Legacy!BG67+Paid!BG65+React!BG113+Params!$B$9*Adds!BG173</f>
        <v/>
      </c>
      <c r="BH118" s="3">
        <f>Legacy!BH67+Paid!BH65+React!BH113+Params!$B$9*Adds!BH173</f>
        <v/>
      </c>
      <c r="BI118" s="3">
        <f>Legacy!BI67+Paid!BI65+React!BI113+Params!$B$9*Adds!BI173</f>
        <v/>
      </c>
      <c r="BJ118" s="3">
        <f>Legacy!BJ67+Paid!BJ65+React!BJ113+Params!$B$9*Adds!BJ173</f>
        <v/>
      </c>
      <c r="BK118" s="3">
        <f>Legacy!BK67+Paid!BK65+React!BK113+Params!$B$9*Adds!BK173</f>
        <v/>
      </c>
      <c r="BL118" s="3">
        <f>Legacy!BL67+Paid!BL65+React!BL113+Params!$B$9*Adds!BL173</f>
        <v/>
      </c>
      <c r="BM118" s="3">
        <f>Legacy!BM67+Paid!BM65+React!BM113+Params!$B$9*Adds!BM173</f>
        <v/>
      </c>
      <c r="BN118" s="3">
        <f>Legacy!BN67+Paid!BN65+React!BN113+Params!$B$9*Adds!BN173</f>
        <v/>
      </c>
      <c r="BO118" s="3">
        <f>Legacy!BO67+Paid!BO65+React!BO113+Params!$B$9*Adds!BO173</f>
        <v/>
      </c>
      <c r="BP118" s="3">
        <f>Legacy!BP67+Paid!BP65+React!BP113+Params!$B$9*Adds!BP173</f>
        <v/>
      </c>
      <c r="BQ118" s="3">
        <f>Legacy!BQ67+Paid!BQ65+React!BQ113+Params!$B$9*Adds!BQ173</f>
        <v/>
      </c>
      <c r="BR118" s="3">
        <f>Legacy!BR67+Paid!BR65+React!BR113+Params!$B$9*Adds!BR173</f>
        <v/>
      </c>
      <c r="BS118" s="3">
        <f>Legacy!BS67+Paid!BS65+React!BS113+Params!$B$9*Adds!BS173</f>
        <v/>
      </c>
      <c r="BT118" s="3">
        <f>Legacy!BT67+Paid!BT65+React!BT113+Params!$B$9*Adds!BT173</f>
        <v/>
      </c>
      <c r="BU118" s="3">
        <f>Legacy!BU67+Paid!BU65+React!BU113+Params!$B$9*Adds!BU173</f>
        <v/>
      </c>
      <c r="BV118" s="3">
        <f>Legacy!BV67+Paid!BV65+React!BV113+Params!$B$9*Adds!BV173</f>
        <v/>
      </c>
    </row>
    <row r="119">
      <c r="A119" t="inlineStr">
        <is>
          <t>closing</t>
        </is>
      </c>
      <c r="B119" t="inlineStr">
        <is>
          <t>APAC|BASIC_A</t>
        </is>
      </c>
      <c r="C119" s="3">
        <f>C120+Params!$B$9*Adds!C176</f>
        <v/>
      </c>
      <c r="D119" s="3">
        <f>D120+Params!$B$9*Adds!D176</f>
        <v/>
      </c>
      <c r="E119" s="3">
        <f>E120+Params!$B$9*Adds!E176</f>
        <v/>
      </c>
      <c r="F119" s="3">
        <f>F120+Params!$B$9*Adds!F176</f>
        <v/>
      </c>
      <c r="G119" s="3">
        <f>G120+Params!$B$9*Adds!G176</f>
        <v/>
      </c>
      <c r="H119" s="3">
        <f>H120+Params!$B$9*Adds!H176</f>
        <v/>
      </c>
      <c r="I119" s="3">
        <f>I120+Params!$B$9*Adds!I176</f>
        <v/>
      </c>
      <c r="J119" s="3">
        <f>J120+Params!$B$9*Adds!J176</f>
        <v/>
      </c>
      <c r="K119" s="3">
        <f>K120+Params!$B$9*Adds!K176</f>
        <v/>
      </c>
      <c r="L119" s="3">
        <f>L120+Params!$B$9*Adds!L176</f>
        <v/>
      </c>
      <c r="M119" s="3">
        <f>M120+Params!$B$9*Adds!M176</f>
        <v/>
      </c>
      <c r="N119" s="3">
        <f>N120+Params!$B$9*Adds!N176</f>
        <v/>
      </c>
      <c r="O119" s="3">
        <f>O120+Params!$B$9*Adds!O176</f>
        <v/>
      </c>
      <c r="P119" s="3">
        <f>P120+Params!$B$9*Adds!P176</f>
        <v/>
      </c>
      <c r="Q119" s="3">
        <f>Q120+Params!$B$9*Adds!Q176</f>
        <v/>
      </c>
      <c r="R119" s="3">
        <f>R120+Params!$B$9*Adds!R176</f>
        <v/>
      </c>
      <c r="S119" s="3">
        <f>S120+Params!$B$9*Adds!S176</f>
        <v/>
      </c>
      <c r="T119" s="3">
        <f>T120+Params!$B$9*Adds!T176</f>
        <v/>
      </c>
      <c r="U119" s="3">
        <f>U120+Params!$B$9*Adds!U176</f>
        <v/>
      </c>
      <c r="V119" s="3">
        <f>V120+Params!$B$9*Adds!V176</f>
        <v/>
      </c>
      <c r="W119" s="3">
        <f>W120+Params!$B$9*Adds!W176</f>
        <v/>
      </c>
      <c r="X119" s="3">
        <f>X120+Params!$B$9*Adds!X176</f>
        <v/>
      </c>
      <c r="Y119" s="3">
        <f>Y120+Params!$B$9*Adds!Y176</f>
        <v/>
      </c>
      <c r="Z119" s="3">
        <f>Z120+Params!$B$9*Adds!Z176</f>
        <v/>
      </c>
      <c r="AA119" s="3">
        <f>AA120+Params!$B$9*Adds!AA176</f>
        <v/>
      </c>
      <c r="AB119" s="3">
        <f>AB120+Params!$B$9*Adds!AB176</f>
        <v/>
      </c>
      <c r="AC119" s="3">
        <f>AC120+Params!$B$9*Adds!AC176</f>
        <v/>
      </c>
      <c r="AD119" s="3">
        <f>AD120+Params!$B$9*Adds!AD176</f>
        <v/>
      </c>
      <c r="AE119" s="3">
        <f>AE120+Params!$B$9*Adds!AE176</f>
        <v/>
      </c>
      <c r="AF119" s="3">
        <f>AF120+Params!$B$9*Adds!AF176</f>
        <v/>
      </c>
      <c r="AG119" s="3">
        <f>AG120+Params!$B$9*Adds!AG176</f>
        <v/>
      </c>
      <c r="AH119" s="3">
        <f>AH120+Params!$B$9*Adds!AH176</f>
        <v/>
      </c>
      <c r="AI119" s="3">
        <f>AI120+Params!$B$9*Adds!AI176</f>
        <v/>
      </c>
      <c r="AJ119" s="3">
        <f>AJ120+Params!$B$9*Adds!AJ176</f>
        <v/>
      </c>
      <c r="AK119" s="3">
        <f>AK120+Params!$B$9*Adds!AK176</f>
        <v/>
      </c>
      <c r="AL119" s="3">
        <f>AL120+Params!$B$9*Adds!AL176</f>
        <v/>
      </c>
      <c r="AM119" s="3">
        <f>AM120+Params!$B$9*Adds!AM176</f>
        <v/>
      </c>
      <c r="AN119" s="3">
        <f>AN120+Params!$B$9*Adds!AN176</f>
        <v/>
      </c>
      <c r="AO119" s="3">
        <f>AO120+Params!$B$9*Adds!AO176</f>
        <v/>
      </c>
      <c r="AP119" s="3">
        <f>AP120+Params!$B$9*Adds!AP176</f>
        <v/>
      </c>
      <c r="AQ119" s="3">
        <f>AQ120+Params!$B$9*Adds!AQ176</f>
        <v/>
      </c>
      <c r="AR119" s="3">
        <f>AR120+Params!$B$9*Adds!AR176</f>
        <v/>
      </c>
      <c r="AS119" s="3">
        <f>AS120+Params!$B$9*Adds!AS176</f>
        <v/>
      </c>
      <c r="AT119" s="3">
        <f>AT120+Params!$B$9*Adds!AT176</f>
        <v/>
      </c>
      <c r="AU119" s="3">
        <f>AU120+Params!$B$9*Adds!AU176</f>
        <v/>
      </c>
      <c r="AV119" s="3">
        <f>AV120+Params!$B$9*Adds!AV176</f>
        <v/>
      </c>
      <c r="AW119" s="3">
        <f>AW120+Params!$B$9*Adds!AW176</f>
        <v/>
      </c>
      <c r="AX119" s="3">
        <f>AX120+Params!$B$9*Adds!AX176</f>
        <v/>
      </c>
      <c r="AY119" s="3">
        <f>AY120+Params!$B$9*Adds!AY176</f>
        <v/>
      </c>
      <c r="AZ119" s="3">
        <f>AZ120+Params!$B$9*Adds!AZ176</f>
        <v/>
      </c>
      <c r="BA119" s="3">
        <f>BA120+Params!$B$9*Adds!BA176</f>
        <v/>
      </c>
      <c r="BB119" s="3">
        <f>BB120+Params!$B$9*Adds!BB176</f>
        <v/>
      </c>
      <c r="BC119" s="3">
        <f>BC120+Params!$B$9*Adds!BC176</f>
        <v/>
      </c>
      <c r="BD119" s="3">
        <f>BD120+Params!$B$9*Adds!BD176</f>
        <v/>
      </c>
      <c r="BE119" s="3">
        <f>BE120+Params!$B$9*Adds!BE176</f>
        <v/>
      </c>
      <c r="BF119" s="3">
        <f>BF120+Params!$B$9*Adds!BF176</f>
        <v/>
      </c>
      <c r="BG119" s="3">
        <f>BG120+Params!$B$9*Adds!BG176</f>
        <v/>
      </c>
      <c r="BH119" s="3">
        <f>BH120+Params!$B$9*Adds!BH176</f>
        <v/>
      </c>
      <c r="BI119" s="3">
        <f>BI120+Params!$B$9*Adds!BI176</f>
        <v/>
      </c>
      <c r="BJ119" s="3">
        <f>BJ120+Params!$B$9*Adds!BJ176</f>
        <v/>
      </c>
      <c r="BK119" s="3">
        <f>BK120+Params!$B$9*Adds!BK176</f>
        <v/>
      </c>
      <c r="BL119" s="3">
        <f>BL120+Params!$B$9*Adds!BL176</f>
        <v/>
      </c>
      <c r="BM119" s="3">
        <f>BM120+Params!$B$9*Adds!BM176</f>
        <v/>
      </c>
      <c r="BN119" s="3">
        <f>BN120+Params!$B$9*Adds!BN176</f>
        <v/>
      </c>
      <c r="BO119" s="3">
        <f>BO120+Params!$B$9*Adds!BO176</f>
        <v/>
      </c>
      <c r="BP119" s="3">
        <f>BP120+Params!$B$9*Adds!BP176</f>
        <v/>
      </c>
      <c r="BQ119" s="3">
        <f>BQ120+Params!$B$9*Adds!BQ176</f>
        <v/>
      </c>
      <c r="BR119" s="3">
        <f>BR120+Params!$B$9*Adds!BR176</f>
        <v/>
      </c>
      <c r="BS119" s="3">
        <f>BS120+Params!$B$9*Adds!BS176</f>
        <v/>
      </c>
      <c r="BT119" s="3">
        <f>BT120+Params!$B$9*Adds!BT176</f>
        <v/>
      </c>
      <c r="BU119" s="3">
        <f>BU120+Params!$B$9*Adds!BU176</f>
        <v/>
      </c>
      <c r="BV119" s="3">
        <f>BV120+Params!$B$9*Adds!BV176</f>
        <v/>
      </c>
    </row>
    <row r="120">
      <c r="A120" t="inlineStr">
        <is>
          <t>paying</t>
        </is>
      </c>
      <c r="B120" t="inlineStr">
        <is>
          <t>APAC|BASIC_A</t>
        </is>
      </c>
      <c r="C120" s="3">
        <f>Legacy!C66+Paid!C63+React!C111</f>
        <v/>
      </c>
      <c r="D120" s="3">
        <f>Legacy!D66+Paid!D63+React!D111</f>
        <v/>
      </c>
      <c r="E120" s="3">
        <f>Legacy!E66+Paid!E63+React!E111</f>
        <v/>
      </c>
      <c r="F120" s="3">
        <f>Legacy!F66+Paid!F63+React!F111</f>
        <v/>
      </c>
      <c r="G120" s="3">
        <f>Legacy!G66+Paid!G63+React!G111</f>
        <v/>
      </c>
      <c r="H120" s="3">
        <f>Legacy!H66+Paid!H63+React!H111</f>
        <v/>
      </c>
      <c r="I120" s="3">
        <f>Legacy!I66+Paid!I63+React!I111</f>
        <v/>
      </c>
      <c r="J120" s="3">
        <f>Legacy!J66+Paid!J63+React!J111</f>
        <v/>
      </c>
      <c r="K120" s="3">
        <f>Legacy!K66+Paid!K63+React!K111</f>
        <v/>
      </c>
      <c r="L120" s="3">
        <f>Legacy!L66+Paid!L63+React!L111</f>
        <v/>
      </c>
      <c r="M120" s="3">
        <f>Legacy!M66+Paid!M63+React!M111</f>
        <v/>
      </c>
      <c r="N120" s="3">
        <f>Legacy!N66+Paid!N63+React!N111</f>
        <v/>
      </c>
      <c r="O120" s="3">
        <f>Legacy!O66+Paid!O63+React!O111</f>
        <v/>
      </c>
      <c r="P120" s="3">
        <f>Legacy!P66+Paid!P63+React!P111</f>
        <v/>
      </c>
      <c r="Q120" s="3">
        <f>Legacy!Q66+Paid!Q63+React!Q111</f>
        <v/>
      </c>
      <c r="R120" s="3">
        <f>Legacy!R66+Paid!R63+React!R111</f>
        <v/>
      </c>
      <c r="S120" s="3">
        <f>Legacy!S66+Paid!S63+React!S111</f>
        <v/>
      </c>
      <c r="T120" s="3">
        <f>Legacy!T66+Paid!T63+React!T111</f>
        <v/>
      </c>
      <c r="U120" s="3">
        <f>Legacy!U66+Paid!U63+React!U111</f>
        <v/>
      </c>
      <c r="V120" s="3">
        <f>Legacy!V66+Paid!V63+React!V111</f>
        <v/>
      </c>
      <c r="W120" s="3">
        <f>Legacy!W66+Paid!W63+React!W111</f>
        <v/>
      </c>
      <c r="X120" s="3">
        <f>Legacy!X66+Paid!X63+React!X111</f>
        <v/>
      </c>
      <c r="Y120" s="3">
        <f>Legacy!Y66+Paid!Y63+React!Y111</f>
        <v/>
      </c>
      <c r="Z120" s="3">
        <f>Legacy!Z66+Paid!Z63+React!Z111</f>
        <v/>
      </c>
      <c r="AA120" s="3">
        <f>Legacy!AA66+Paid!AA63+React!AA111</f>
        <v/>
      </c>
      <c r="AB120" s="3">
        <f>Legacy!AB66+Paid!AB63+React!AB111</f>
        <v/>
      </c>
      <c r="AC120" s="3">
        <f>Legacy!AC66+Paid!AC63+React!AC111</f>
        <v/>
      </c>
      <c r="AD120" s="3">
        <f>Legacy!AD66+Paid!AD63+React!AD111</f>
        <v/>
      </c>
      <c r="AE120" s="3">
        <f>Legacy!AE66+Paid!AE63+React!AE111</f>
        <v/>
      </c>
      <c r="AF120" s="3">
        <f>Legacy!AF66+Paid!AF63+React!AF111</f>
        <v/>
      </c>
      <c r="AG120" s="3">
        <f>Legacy!AG66+Paid!AG63+React!AG111</f>
        <v/>
      </c>
      <c r="AH120" s="3">
        <f>Legacy!AH66+Paid!AH63+React!AH111</f>
        <v/>
      </c>
      <c r="AI120" s="3">
        <f>Legacy!AI66+Paid!AI63+React!AI111</f>
        <v/>
      </c>
      <c r="AJ120" s="3">
        <f>Legacy!AJ66+Paid!AJ63+React!AJ111</f>
        <v/>
      </c>
      <c r="AK120" s="3">
        <f>Legacy!AK66+Paid!AK63+React!AK111</f>
        <v/>
      </c>
      <c r="AL120" s="3">
        <f>Legacy!AL66+Paid!AL63+React!AL111</f>
        <v/>
      </c>
      <c r="AM120" s="3">
        <f>Legacy!AM66+Paid!AM63+React!AM111</f>
        <v/>
      </c>
      <c r="AN120" s="3">
        <f>Legacy!AN66+Paid!AN63+React!AN111</f>
        <v/>
      </c>
      <c r="AO120" s="3">
        <f>Legacy!AO66+Paid!AO63+React!AO111</f>
        <v/>
      </c>
      <c r="AP120" s="3">
        <f>Legacy!AP66+Paid!AP63+React!AP111</f>
        <v/>
      </c>
      <c r="AQ120" s="3">
        <f>Legacy!AQ66+Paid!AQ63+React!AQ111</f>
        <v/>
      </c>
      <c r="AR120" s="3">
        <f>Legacy!AR66+Paid!AR63+React!AR111</f>
        <v/>
      </c>
      <c r="AS120" s="3">
        <f>Legacy!AS66+Paid!AS63+React!AS111</f>
        <v/>
      </c>
      <c r="AT120" s="3">
        <f>Legacy!AT66+Paid!AT63+React!AT111</f>
        <v/>
      </c>
      <c r="AU120" s="3">
        <f>Legacy!AU66+Paid!AU63+React!AU111</f>
        <v/>
      </c>
      <c r="AV120" s="3">
        <f>Legacy!AV66+Paid!AV63+React!AV111</f>
        <v/>
      </c>
      <c r="AW120" s="3">
        <f>Legacy!AW66+Paid!AW63+React!AW111</f>
        <v/>
      </c>
      <c r="AX120" s="3">
        <f>Legacy!AX66+Paid!AX63+React!AX111</f>
        <v/>
      </c>
      <c r="AY120" s="3">
        <f>Legacy!AY66+Paid!AY63+React!AY111</f>
        <v/>
      </c>
      <c r="AZ120" s="3">
        <f>Legacy!AZ66+Paid!AZ63+React!AZ111</f>
        <v/>
      </c>
      <c r="BA120" s="3">
        <f>Legacy!BA66+Paid!BA63+React!BA111</f>
        <v/>
      </c>
      <c r="BB120" s="3">
        <f>Legacy!BB66+Paid!BB63+React!BB111</f>
        <v/>
      </c>
      <c r="BC120" s="3">
        <f>Legacy!BC66+Paid!BC63+React!BC111</f>
        <v/>
      </c>
      <c r="BD120" s="3">
        <f>Legacy!BD66+Paid!BD63+React!BD111</f>
        <v/>
      </c>
      <c r="BE120" s="3">
        <f>Legacy!BE66+Paid!BE63+React!BE111</f>
        <v/>
      </c>
      <c r="BF120" s="3">
        <f>Legacy!BF66+Paid!BF63+React!BF111</f>
        <v/>
      </c>
      <c r="BG120" s="3">
        <f>Legacy!BG66+Paid!BG63+React!BG111</f>
        <v/>
      </c>
      <c r="BH120" s="3">
        <f>Legacy!BH66+Paid!BH63+React!BH111</f>
        <v/>
      </c>
      <c r="BI120" s="3">
        <f>Legacy!BI66+Paid!BI63+React!BI111</f>
        <v/>
      </c>
      <c r="BJ120" s="3">
        <f>Legacy!BJ66+Paid!BJ63+React!BJ111</f>
        <v/>
      </c>
      <c r="BK120" s="3">
        <f>Legacy!BK66+Paid!BK63+React!BK111</f>
        <v/>
      </c>
      <c r="BL120" s="3">
        <f>Legacy!BL66+Paid!BL63+React!BL111</f>
        <v/>
      </c>
      <c r="BM120" s="3">
        <f>Legacy!BM66+Paid!BM63+React!BM111</f>
        <v/>
      </c>
      <c r="BN120" s="3">
        <f>Legacy!BN66+Paid!BN63+React!BN111</f>
        <v/>
      </c>
      <c r="BO120" s="3">
        <f>Legacy!BO66+Paid!BO63+React!BO111</f>
        <v/>
      </c>
      <c r="BP120" s="3">
        <f>Legacy!BP66+Paid!BP63+React!BP111</f>
        <v/>
      </c>
      <c r="BQ120" s="3">
        <f>Legacy!BQ66+Paid!BQ63+React!BQ111</f>
        <v/>
      </c>
      <c r="BR120" s="3">
        <f>Legacy!BR66+Paid!BR63+React!BR111</f>
        <v/>
      </c>
      <c r="BS120" s="3">
        <f>Legacy!BS66+Paid!BS63+React!BS111</f>
        <v/>
      </c>
      <c r="BT120" s="3">
        <f>Legacy!BT66+Paid!BT63+React!BT111</f>
        <v/>
      </c>
      <c r="BU120" s="3">
        <f>Legacy!BU66+Paid!BU63+React!BU111</f>
        <v/>
      </c>
      <c r="BV120" s="3">
        <f>Legacy!BV66+Paid!BV63+React!BV111</f>
        <v/>
      </c>
    </row>
    <row r="122">
      <c r="A122" t="inlineStr">
        <is>
          <t>opening</t>
        </is>
      </c>
      <c r="B122" t="inlineStr">
        <is>
          <t>ROW|NITRO_M</t>
        </is>
      </c>
      <c r="C122" s="3">
        <f>Legacy!$C$69</f>
        <v/>
      </c>
      <c r="D122" s="3">
        <f>C126</f>
        <v/>
      </c>
      <c r="E122" s="3">
        <f>D126</f>
        <v/>
      </c>
      <c r="F122" s="3">
        <f>E126</f>
        <v/>
      </c>
      <c r="G122" s="3">
        <f>F126</f>
        <v/>
      </c>
      <c r="H122" s="3">
        <f>G126</f>
        <v/>
      </c>
      <c r="I122" s="3">
        <f>H126</f>
        <v/>
      </c>
      <c r="J122" s="3">
        <f>I126</f>
        <v/>
      </c>
      <c r="K122" s="3">
        <f>J126</f>
        <v/>
      </c>
      <c r="L122" s="3">
        <f>K126</f>
        <v/>
      </c>
      <c r="M122" s="3">
        <f>L126</f>
        <v/>
      </c>
      <c r="N122" s="3">
        <f>M126</f>
        <v/>
      </c>
      <c r="O122" s="3">
        <f>N126</f>
        <v/>
      </c>
      <c r="P122" s="3">
        <f>O126</f>
        <v/>
      </c>
      <c r="Q122" s="3">
        <f>P126</f>
        <v/>
      </c>
      <c r="R122" s="3">
        <f>Q126</f>
        <v/>
      </c>
      <c r="S122" s="3">
        <f>R126</f>
        <v/>
      </c>
      <c r="T122" s="3">
        <f>S126</f>
        <v/>
      </c>
      <c r="U122" s="3">
        <f>T126</f>
        <v/>
      </c>
      <c r="V122" s="3">
        <f>U126</f>
        <v/>
      </c>
      <c r="W122" s="3">
        <f>V126</f>
        <v/>
      </c>
      <c r="X122" s="3">
        <f>W126</f>
        <v/>
      </c>
      <c r="Y122" s="3">
        <f>X126</f>
        <v/>
      </c>
      <c r="Z122" s="3">
        <f>Y126</f>
        <v/>
      </c>
      <c r="AA122" s="3">
        <f>Z126</f>
        <v/>
      </c>
      <c r="AB122" s="3">
        <f>AA126</f>
        <v/>
      </c>
      <c r="AC122" s="3">
        <f>AB126</f>
        <v/>
      </c>
      <c r="AD122" s="3">
        <f>AC126</f>
        <v/>
      </c>
      <c r="AE122" s="3">
        <f>AD126</f>
        <v/>
      </c>
      <c r="AF122" s="3">
        <f>AE126</f>
        <v/>
      </c>
      <c r="AG122" s="3">
        <f>AF126</f>
        <v/>
      </c>
      <c r="AH122" s="3">
        <f>AG126</f>
        <v/>
      </c>
      <c r="AI122" s="3">
        <f>AH126</f>
        <v/>
      </c>
      <c r="AJ122" s="3">
        <f>AI126</f>
        <v/>
      </c>
      <c r="AK122" s="3">
        <f>AJ126</f>
        <v/>
      </c>
      <c r="AL122" s="3">
        <f>AK126</f>
        <v/>
      </c>
      <c r="AM122" s="3">
        <f>AL126</f>
        <v/>
      </c>
      <c r="AN122" s="3">
        <f>AM126</f>
        <v/>
      </c>
      <c r="AO122" s="3">
        <f>AN126</f>
        <v/>
      </c>
      <c r="AP122" s="3">
        <f>AO126</f>
        <v/>
      </c>
      <c r="AQ122" s="3">
        <f>AP126</f>
        <v/>
      </c>
      <c r="AR122" s="3">
        <f>AQ126</f>
        <v/>
      </c>
      <c r="AS122" s="3">
        <f>AR126</f>
        <v/>
      </c>
      <c r="AT122" s="3">
        <f>AS126</f>
        <v/>
      </c>
      <c r="AU122" s="3">
        <f>AT126</f>
        <v/>
      </c>
      <c r="AV122" s="3">
        <f>AU126</f>
        <v/>
      </c>
      <c r="AW122" s="3">
        <f>AV126</f>
        <v/>
      </c>
      <c r="AX122" s="3">
        <f>AW126</f>
        <v/>
      </c>
      <c r="AY122" s="3">
        <f>AX126</f>
        <v/>
      </c>
      <c r="AZ122" s="3">
        <f>AY126</f>
        <v/>
      </c>
      <c r="BA122" s="3">
        <f>AZ126</f>
        <v/>
      </c>
      <c r="BB122" s="3">
        <f>BA126</f>
        <v/>
      </c>
      <c r="BC122" s="3">
        <f>BB126</f>
        <v/>
      </c>
      <c r="BD122" s="3">
        <f>BC126</f>
        <v/>
      </c>
      <c r="BE122" s="3">
        <f>BD126</f>
        <v/>
      </c>
      <c r="BF122" s="3">
        <f>BE126</f>
        <v/>
      </c>
      <c r="BG122" s="3">
        <f>BF126</f>
        <v/>
      </c>
      <c r="BH122" s="3">
        <f>BG126</f>
        <v/>
      </c>
      <c r="BI122" s="3">
        <f>BH126</f>
        <v/>
      </c>
      <c r="BJ122" s="3">
        <f>BI126</f>
        <v/>
      </c>
      <c r="BK122" s="3">
        <f>BJ126</f>
        <v/>
      </c>
      <c r="BL122" s="3">
        <f>BK126</f>
        <v/>
      </c>
      <c r="BM122" s="3">
        <f>BL126</f>
        <v/>
      </c>
      <c r="BN122" s="3">
        <f>BM126</f>
        <v/>
      </c>
      <c r="BO122" s="3">
        <f>BN126</f>
        <v/>
      </c>
      <c r="BP122" s="3">
        <f>BO126</f>
        <v/>
      </c>
      <c r="BQ122" s="3">
        <f>BP126</f>
        <v/>
      </c>
      <c r="BR122" s="3">
        <f>BQ126</f>
        <v/>
      </c>
      <c r="BS122" s="3">
        <f>BR126</f>
        <v/>
      </c>
      <c r="BT122" s="3">
        <f>BS126</f>
        <v/>
      </c>
      <c r="BU122" s="3">
        <f>BT126</f>
        <v/>
      </c>
      <c r="BV122" s="3">
        <f>BU126</f>
        <v/>
      </c>
    </row>
    <row r="123">
      <c r="A123" t="inlineStr">
        <is>
          <t>new</t>
        </is>
      </c>
      <c r="B123" t="inlineStr">
        <is>
          <t>ROW|NITRO_M</t>
        </is>
      </c>
      <c r="C123" s="3">
        <f>Adds!C181+IF(Params!$B$9=1,Adds!C180,Adds!C183)</f>
        <v/>
      </c>
      <c r="D123" s="3">
        <f>Adds!D181+IF(Params!$B$9=1,Adds!D180,Adds!D183)</f>
        <v/>
      </c>
      <c r="E123" s="3">
        <f>Adds!E181+IF(Params!$B$9=1,Adds!E180,Adds!E183)</f>
        <v/>
      </c>
      <c r="F123" s="3">
        <f>Adds!F181+IF(Params!$B$9=1,Adds!F180,Adds!F183)</f>
        <v/>
      </c>
      <c r="G123" s="3">
        <f>Adds!G181+IF(Params!$B$9=1,Adds!G180,Adds!G183)</f>
        <v/>
      </c>
      <c r="H123" s="3">
        <f>Adds!H181+IF(Params!$B$9=1,Adds!H180,Adds!H183)</f>
        <v/>
      </c>
      <c r="I123" s="3">
        <f>Adds!I181+IF(Params!$B$9=1,Adds!I180,Adds!I183)</f>
        <v/>
      </c>
      <c r="J123" s="3">
        <f>Adds!J181+IF(Params!$B$9=1,Adds!J180,Adds!J183)</f>
        <v/>
      </c>
      <c r="K123" s="3">
        <f>Adds!K181+IF(Params!$B$9=1,Adds!K180,Adds!K183)</f>
        <v/>
      </c>
      <c r="L123" s="3">
        <f>Adds!L181+IF(Params!$B$9=1,Adds!L180,Adds!L183)</f>
        <v/>
      </c>
      <c r="M123" s="3">
        <f>Adds!M181+IF(Params!$B$9=1,Adds!M180,Adds!M183)</f>
        <v/>
      </c>
      <c r="N123" s="3">
        <f>Adds!N181+IF(Params!$B$9=1,Adds!N180,Adds!N183)</f>
        <v/>
      </c>
      <c r="O123" s="3">
        <f>Adds!O181+IF(Params!$B$9=1,Adds!O180,Adds!O183)</f>
        <v/>
      </c>
      <c r="P123" s="3">
        <f>Adds!P181+IF(Params!$B$9=1,Adds!P180,Adds!P183)</f>
        <v/>
      </c>
      <c r="Q123" s="3">
        <f>Adds!Q181+IF(Params!$B$9=1,Adds!Q180,Adds!Q183)</f>
        <v/>
      </c>
      <c r="R123" s="3">
        <f>Adds!R181+IF(Params!$B$9=1,Adds!R180,Adds!R183)</f>
        <v/>
      </c>
      <c r="S123" s="3">
        <f>Adds!S181+IF(Params!$B$9=1,Adds!S180,Adds!S183)</f>
        <v/>
      </c>
      <c r="T123" s="3">
        <f>Adds!T181+IF(Params!$B$9=1,Adds!T180,Adds!T183)</f>
        <v/>
      </c>
      <c r="U123" s="3">
        <f>Adds!U181+IF(Params!$B$9=1,Adds!U180,Adds!U183)</f>
        <v/>
      </c>
      <c r="V123" s="3">
        <f>Adds!V181+IF(Params!$B$9=1,Adds!V180,Adds!V183)</f>
        <v/>
      </c>
      <c r="W123" s="3">
        <f>Adds!W181+IF(Params!$B$9=1,Adds!W180,Adds!W183)</f>
        <v/>
      </c>
      <c r="X123" s="3">
        <f>Adds!X181+IF(Params!$B$9=1,Adds!X180,Adds!X183)</f>
        <v/>
      </c>
      <c r="Y123" s="3">
        <f>Adds!Y181+IF(Params!$B$9=1,Adds!Y180,Adds!Y183)</f>
        <v/>
      </c>
      <c r="Z123" s="3">
        <f>Adds!Z181+IF(Params!$B$9=1,Adds!Z180,Adds!Z183)</f>
        <v/>
      </c>
      <c r="AA123" s="3">
        <f>Adds!AA181+IF(Params!$B$9=1,Adds!AA180,Adds!AA183)</f>
        <v/>
      </c>
      <c r="AB123" s="3">
        <f>Adds!AB181+IF(Params!$B$9=1,Adds!AB180,Adds!AB183)</f>
        <v/>
      </c>
      <c r="AC123" s="3">
        <f>Adds!AC181+IF(Params!$B$9=1,Adds!AC180,Adds!AC183)</f>
        <v/>
      </c>
      <c r="AD123" s="3">
        <f>Adds!AD181+IF(Params!$B$9=1,Adds!AD180,Adds!AD183)</f>
        <v/>
      </c>
      <c r="AE123" s="3">
        <f>Adds!AE181+IF(Params!$B$9=1,Adds!AE180,Adds!AE183)</f>
        <v/>
      </c>
      <c r="AF123" s="3">
        <f>Adds!AF181+IF(Params!$B$9=1,Adds!AF180,Adds!AF183)</f>
        <v/>
      </c>
      <c r="AG123" s="3">
        <f>Adds!AG181+IF(Params!$B$9=1,Adds!AG180,Adds!AG183)</f>
        <v/>
      </c>
      <c r="AH123" s="3">
        <f>Adds!AH181+IF(Params!$B$9=1,Adds!AH180,Adds!AH183)</f>
        <v/>
      </c>
      <c r="AI123" s="3">
        <f>Adds!AI181+IF(Params!$B$9=1,Adds!AI180,Adds!AI183)</f>
        <v/>
      </c>
      <c r="AJ123" s="3">
        <f>Adds!AJ181+IF(Params!$B$9=1,Adds!AJ180,Adds!AJ183)</f>
        <v/>
      </c>
      <c r="AK123" s="3">
        <f>Adds!AK181+IF(Params!$B$9=1,Adds!AK180,Adds!AK183)</f>
        <v/>
      </c>
      <c r="AL123" s="3">
        <f>Adds!AL181+IF(Params!$B$9=1,Adds!AL180,Adds!AL183)</f>
        <v/>
      </c>
      <c r="AM123" s="3">
        <f>Adds!AM181+IF(Params!$B$9=1,Adds!AM180,Adds!AM183)</f>
        <v/>
      </c>
      <c r="AN123" s="3">
        <f>Adds!AN181+IF(Params!$B$9=1,Adds!AN180,Adds!AN183)</f>
        <v/>
      </c>
      <c r="AO123" s="3">
        <f>Adds!AO181+IF(Params!$B$9=1,Adds!AO180,Adds!AO183)</f>
        <v/>
      </c>
      <c r="AP123" s="3">
        <f>Adds!AP181+IF(Params!$B$9=1,Adds!AP180,Adds!AP183)</f>
        <v/>
      </c>
      <c r="AQ123" s="3">
        <f>Adds!AQ181+IF(Params!$B$9=1,Adds!AQ180,Adds!AQ183)</f>
        <v/>
      </c>
      <c r="AR123" s="3">
        <f>Adds!AR181+IF(Params!$B$9=1,Adds!AR180,Adds!AR183)</f>
        <v/>
      </c>
      <c r="AS123" s="3">
        <f>Adds!AS181+IF(Params!$B$9=1,Adds!AS180,Adds!AS183)</f>
        <v/>
      </c>
      <c r="AT123" s="3">
        <f>Adds!AT181+IF(Params!$B$9=1,Adds!AT180,Adds!AT183)</f>
        <v/>
      </c>
      <c r="AU123" s="3">
        <f>Adds!AU181+IF(Params!$B$9=1,Adds!AU180,Adds!AU183)</f>
        <v/>
      </c>
      <c r="AV123" s="3">
        <f>Adds!AV181+IF(Params!$B$9=1,Adds!AV180,Adds!AV183)</f>
        <v/>
      </c>
      <c r="AW123" s="3">
        <f>Adds!AW181+IF(Params!$B$9=1,Adds!AW180,Adds!AW183)</f>
        <v/>
      </c>
      <c r="AX123" s="3">
        <f>Adds!AX181+IF(Params!$B$9=1,Adds!AX180,Adds!AX183)</f>
        <v/>
      </c>
      <c r="AY123" s="3">
        <f>Adds!AY181+IF(Params!$B$9=1,Adds!AY180,Adds!AY183)</f>
        <v/>
      </c>
      <c r="AZ123" s="3">
        <f>Adds!AZ181+IF(Params!$B$9=1,Adds!AZ180,Adds!AZ183)</f>
        <v/>
      </c>
      <c r="BA123" s="3">
        <f>Adds!BA181+IF(Params!$B$9=1,Adds!BA180,Adds!BA183)</f>
        <v/>
      </c>
      <c r="BB123" s="3">
        <f>Adds!BB181+IF(Params!$B$9=1,Adds!BB180,Adds!BB183)</f>
        <v/>
      </c>
      <c r="BC123" s="3">
        <f>Adds!BC181+IF(Params!$B$9=1,Adds!BC180,Adds!BC183)</f>
        <v/>
      </c>
      <c r="BD123" s="3">
        <f>Adds!BD181+IF(Params!$B$9=1,Adds!BD180,Adds!BD183)</f>
        <v/>
      </c>
      <c r="BE123" s="3">
        <f>Adds!BE181+IF(Params!$B$9=1,Adds!BE180,Adds!BE183)</f>
        <v/>
      </c>
      <c r="BF123" s="3">
        <f>Adds!BF181+IF(Params!$B$9=1,Adds!BF180,Adds!BF183)</f>
        <v/>
      </c>
      <c r="BG123" s="3">
        <f>Adds!BG181+IF(Params!$B$9=1,Adds!BG180,Adds!BG183)</f>
        <v/>
      </c>
      <c r="BH123" s="3">
        <f>Adds!BH181+IF(Params!$B$9=1,Adds!BH180,Adds!BH183)</f>
        <v/>
      </c>
      <c r="BI123" s="3">
        <f>Adds!BI181+IF(Params!$B$9=1,Adds!BI180,Adds!BI183)</f>
        <v/>
      </c>
      <c r="BJ123" s="3">
        <f>Adds!BJ181+IF(Params!$B$9=1,Adds!BJ180,Adds!BJ183)</f>
        <v/>
      </c>
      <c r="BK123" s="3">
        <f>Adds!BK181+IF(Params!$B$9=1,Adds!BK180,Adds!BK183)</f>
        <v/>
      </c>
      <c r="BL123" s="3">
        <f>Adds!BL181+IF(Params!$B$9=1,Adds!BL180,Adds!BL183)</f>
        <v/>
      </c>
      <c r="BM123" s="3">
        <f>Adds!BM181+IF(Params!$B$9=1,Adds!BM180,Adds!BM183)</f>
        <v/>
      </c>
      <c r="BN123" s="3">
        <f>Adds!BN181+IF(Params!$B$9=1,Adds!BN180,Adds!BN183)</f>
        <v/>
      </c>
      <c r="BO123" s="3">
        <f>Adds!BO181+IF(Params!$B$9=1,Adds!BO180,Adds!BO183)</f>
        <v/>
      </c>
      <c r="BP123" s="3">
        <f>Adds!BP181+IF(Params!$B$9=1,Adds!BP180,Adds!BP183)</f>
        <v/>
      </c>
      <c r="BQ123" s="3">
        <f>Adds!BQ181+IF(Params!$B$9=1,Adds!BQ180,Adds!BQ183)</f>
        <v/>
      </c>
      <c r="BR123" s="3">
        <f>Adds!BR181+IF(Params!$B$9=1,Adds!BR180,Adds!BR183)</f>
        <v/>
      </c>
      <c r="BS123" s="3">
        <f>Adds!BS181+IF(Params!$B$9=1,Adds!BS180,Adds!BS183)</f>
        <v/>
      </c>
      <c r="BT123" s="3">
        <f>Adds!BT181+IF(Params!$B$9=1,Adds!BT180,Adds!BT183)</f>
        <v/>
      </c>
      <c r="BU123" s="3">
        <f>Adds!BU181+IF(Params!$B$9=1,Adds!BU180,Adds!BU183)</f>
        <v/>
      </c>
      <c r="BV123" s="3">
        <f>Adds!BV181+IF(Params!$B$9=1,Adds!BV180,Adds!BV183)</f>
        <v/>
      </c>
    </row>
    <row r="124">
      <c r="A124" t="inlineStr">
        <is>
          <t>reactivated</t>
        </is>
      </c>
      <c r="B124" t="inlineStr">
        <is>
          <t>ROW|NITRO_M</t>
        </is>
      </c>
      <c r="C124" s="3">
        <f>React!C117</f>
        <v/>
      </c>
      <c r="D124" s="3">
        <f>React!D117</f>
        <v/>
      </c>
      <c r="E124" s="3">
        <f>React!E117</f>
        <v/>
      </c>
      <c r="F124" s="3">
        <f>React!F117</f>
        <v/>
      </c>
      <c r="G124" s="3">
        <f>React!G117</f>
        <v/>
      </c>
      <c r="H124" s="3">
        <f>React!H117</f>
        <v/>
      </c>
      <c r="I124" s="3">
        <f>React!I117</f>
        <v/>
      </c>
      <c r="J124" s="3">
        <f>React!J117</f>
        <v/>
      </c>
      <c r="K124" s="3">
        <f>React!K117</f>
        <v/>
      </c>
      <c r="L124" s="3">
        <f>React!L117</f>
        <v/>
      </c>
      <c r="M124" s="3">
        <f>React!M117</f>
        <v/>
      </c>
      <c r="N124" s="3">
        <f>React!N117</f>
        <v/>
      </c>
      <c r="O124" s="3">
        <f>React!O117</f>
        <v/>
      </c>
      <c r="P124" s="3">
        <f>React!P117</f>
        <v/>
      </c>
      <c r="Q124" s="3">
        <f>React!Q117</f>
        <v/>
      </c>
      <c r="R124" s="3">
        <f>React!R117</f>
        <v/>
      </c>
      <c r="S124" s="3">
        <f>React!S117</f>
        <v/>
      </c>
      <c r="T124" s="3">
        <f>React!T117</f>
        <v/>
      </c>
      <c r="U124" s="3">
        <f>React!U117</f>
        <v/>
      </c>
      <c r="V124" s="3">
        <f>React!V117</f>
        <v/>
      </c>
      <c r="W124" s="3">
        <f>React!W117</f>
        <v/>
      </c>
      <c r="X124" s="3">
        <f>React!X117</f>
        <v/>
      </c>
      <c r="Y124" s="3">
        <f>React!Y117</f>
        <v/>
      </c>
      <c r="Z124" s="3">
        <f>React!Z117</f>
        <v/>
      </c>
      <c r="AA124" s="3">
        <f>React!AA117</f>
        <v/>
      </c>
      <c r="AB124" s="3">
        <f>React!AB117</f>
        <v/>
      </c>
      <c r="AC124" s="3">
        <f>React!AC117</f>
        <v/>
      </c>
      <c r="AD124" s="3">
        <f>React!AD117</f>
        <v/>
      </c>
      <c r="AE124" s="3">
        <f>React!AE117</f>
        <v/>
      </c>
      <c r="AF124" s="3">
        <f>React!AF117</f>
        <v/>
      </c>
      <c r="AG124" s="3">
        <f>React!AG117</f>
        <v/>
      </c>
      <c r="AH124" s="3">
        <f>React!AH117</f>
        <v/>
      </c>
      <c r="AI124" s="3">
        <f>React!AI117</f>
        <v/>
      </c>
      <c r="AJ124" s="3">
        <f>React!AJ117</f>
        <v/>
      </c>
      <c r="AK124" s="3">
        <f>React!AK117</f>
        <v/>
      </c>
      <c r="AL124" s="3">
        <f>React!AL117</f>
        <v/>
      </c>
      <c r="AM124" s="3">
        <f>React!AM117</f>
        <v/>
      </c>
      <c r="AN124" s="3">
        <f>React!AN117</f>
        <v/>
      </c>
      <c r="AO124" s="3">
        <f>React!AO117</f>
        <v/>
      </c>
      <c r="AP124" s="3">
        <f>React!AP117</f>
        <v/>
      </c>
      <c r="AQ124" s="3">
        <f>React!AQ117</f>
        <v/>
      </c>
      <c r="AR124" s="3">
        <f>React!AR117</f>
        <v/>
      </c>
      <c r="AS124" s="3">
        <f>React!AS117</f>
        <v/>
      </c>
      <c r="AT124" s="3">
        <f>React!AT117</f>
        <v/>
      </c>
      <c r="AU124" s="3">
        <f>React!AU117</f>
        <v/>
      </c>
      <c r="AV124" s="3">
        <f>React!AV117</f>
        <v/>
      </c>
      <c r="AW124" s="3">
        <f>React!AW117</f>
        <v/>
      </c>
      <c r="AX124" s="3">
        <f>React!AX117</f>
        <v/>
      </c>
      <c r="AY124" s="3">
        <f>React!AY117</f>
        <v/>
      </c>
      <c r="AZ124" s="3">
        <f>React!AZ117</f>
        <v/>
      </c>
      <c r="BA124" s="3">
        <f>React!BA117</f>
        <v/>
      </c>
      <c r="BB124" s="3">
        <f>React!BB117</f>
        <v/>
      </c>
      <c r="BC124" s="3">
        <f>React!BC117</f>
        <v/>
      </c>
      <c r="BD124" s="3">
        <f>React!BD117</f>
        <v/>
      </c>
      <c r="BE124" s="3">
        <f>React!BE117</f>
        <v/>
      </c>
      <c r="BF124" s="3">
        <f>React!BF117</f>
        <v/>
      </c>
      <c r="BG124" s="3">
        <f>React!BG117</f>
        <v/>
      </c>
      <c r="BH124" s="3">
        <f>React!BH117</f>
        <v/>
      </c>
      <c r="BI124" s="3">
        <f>React!BI117</f>
        <v/>
      </c>
      <c r="BJ124" s="3">
        <f>React!BJ117</f>
        <v/>
      </c>
      <c r="BK124" s="3">
        <f>React!BK117</f>
        <v/>
      </c>
      <c r="BL124" s="3">
        <f>React!BL117</f>
        <v/>
      </c>
      <c r="BM124" s="3">
        <f>React!BM117</f>
        <v/>
      </c>
      <c r="BN124" s="3">
        <f>React!BN117</f>
        <v/>
      </c>
      <c r="BO124" s="3">
        <f>React!BO117</f>
        <v/>
      </c>
      <c r="BP124" s="3">
        <f>React!BP117</f>
        <v/>
      </c>
      <c r="BQ124" s="3">
        <f>React!BQ117</f>
        <v/>
      </c>
      <c r="BR124" s="3">
        <f>React!BR117</f>
        <v/>
      </c>
      <c r="BS124" s="3">
        <f>React!BS117</f>
        <v/>
      </c>
      <c r="BT124" s="3">
        <f>React!BT117</f>
        <v/>
      </c>
      <c r="BU124" s="3">
        <f>React!BU117</f>
        <v/>
      </c>
      <c r="BV124" s="3">
        <f>React!BV117</f>
        <v/>
      </c>
    </row>
    <row r="125">
      <c r="A125" t="inlineStr">
        <is>
          <t>churned</t>
        </is>
      </c>
      <c r="B125" t="inlineStr">
        <is>
          <t>ROW|NITRO_M</t>
        </is>
      </c>
      <c r="C125" s="3">
        <f>Legacy!C71+Paid!C69+React!C120+Params!$B$9*Adds!C184</f>
        <v/>
      </c>
      <c r="D125" s="3">
        <f>Legacy!D71+Paid!D69+React!D120+Params!$B$9*Adds!D184</f>
        <v/>
      </c>
      <c r="E125" s="3">
        <f>Legacy!E71+Paid!E69+React!E120+Params!$B$9*Adds!E184</f>
        <v/>
      </c>
      <c r="F125" s="3">
        <f>Legacy!F71+Paid!F69+React!F120+Params!$B$9*Adds!F184</f>
        <v/>
      </c>
      <c r="G125" s="3">
        <f>Legacy!G71+Paid!G69+React!G120+Params!$B$9*Adds!G184</f>
        <v/>
      </c>
      <c r="H125" s="3">
        <f>Legacy!H71+Paid!H69+React!H120+Params!$B$9*Adds!H184</f>
        <v/>
      </c>
      <c r="I125" s="3">
        <f>Legacy!I71+Paid!I69+React!I120+Params!$B$9*Adds!I184</f>
        <v/>
      </c>
      <c r="J125" s="3">
        <f>Legacy!J71+Paid!J69+React!J120+Params!$B$9*Adds!J184</f>
        <v/>
      </c>
      <c r="K125" s="3">
        <f>Legacy!K71+Paid!K69+React!K120+Params!$B$9*Adds!K184</f>
        <v/>
      </c>
      <c r="L125" s="3">
        <f>Legacy!L71+Paid!L69+React!L120+Params!$B$9*Adds!L184</f>
        <v/>
      </c>
      <c r="M125" s="3">
        <f>Legacy!M71+Paid!M69+React!M120+Params!$B$9*Adds!M184</f>
        <v/>
      </c>
      <c r="N125" s="3">
        <f>Legacy!N71+Paid!N69+React!N120+Params!$B$9*Adds!N184</f>
        <v/>
      </c>
      <c r="O125" s="3">
        <f>Legacy!O71+Paid!O69+React!O120+Params!$B$9*Adds!O184</f>
        <v/>
      </c>
      <c r="P125" s="3">
        <f>Legacy!P71+Paid!P69+React!P120+Params!$B$9*Adds!P184</f>
        <v/>
      </c>
      <c r="Q125" s="3">
        <f>Legacy!Q71+Paid!Q69+React!Q120+Params!$B$9*Adds!Q184</f>
        <v/>
      </c>
      <c r="R125" s="3">
        <f>Legacy!R71+Paid!R69+React!R120+Params!$B$9*Adds!R184</f>
        <v/>
      </c>
      <c r="S125" s="3">
        <f>Legacy!S71+Paid!S69+React!S120+Params!$B$9*Adds!S184</f>
        <v/>
      </c>
      <c r="T125" s="3">
        <f>Legacy!T71+Paid!T69+React!T120+Params!$B$9*Adds!T184</f>
        <v/>
      </c>
      <c r="U125" s="3">
        <f>Legacy!U71+Paid!U69+React!U120+Params!$B$9*Adds!U184</f>
        <v/>
      </c>
      <c r="V125" s="3">
        <f>Legacy!V71+Paid!V69+React!V120+Params!$B$9*Adds!V184</f>
        <v/>
      </c>
      <c r="W125" s="3">
        <f>Legacy!W71+Paid!W69+React!W120+Params!$B$9*Adds!W184</f>
        <v/>
      </c>
      <c r="X125" s="3">
        <f>Legacy!X71+Paid!X69+React!X120+Params!$B$9*Adds!X184</f>
        <v/>
      </c>
      <c r="Y125" s="3">
        <f>Legacy!Y71+Paid!Y69+React!Y120+Params!$B$9*Adds!Y184</f>
        <v/>
      </c>
      <c r="Z125" s="3">
        <f>Legacy!Z71+Paid!Z69+React!Z120+Params!$B$9*Adds!Z184</f>
        <v/>
      </c>
      <c r="AA125" s="3">
        <f>Legacy!AA71+Paid!AA69+React!AA120+Params!$B$9*Adds!AA184</f>
        <v/>
      </c>
      <c r="AB125" s="3">
        <f>Legacy!AB71+Paid!AB69+React!AB120+Params!$B$9*Adds!AB184</f>
        <v/>
      </c>
      <c r="AC125" s="3">
        <f>Legacy!AC71+Paid!AC69+React!AC120+Params!$B$9*Adds!AC184</f>
        <v/>
      </c>
      <c r="AD125" s="3">
        <f>Legacy!AD71+Paid!AD69+React!AD120+Params!$B$9*Adds!AD184</f>
        <v/>
      </c>
      <c r="AE125" s="3">
        <f>Legacy!AE71+Paid!AE69+React!AE120+Params!$B$9*Adds!AE184</f>
        <v/>
      </c>
      <c r="AF125" s="3">
        <f>Legacy!AF71+Paid!AF69+React!AF120+Params!$B$9*Adds!AF184</f>
        <v/>
      </c>
      <c r="AG125" s="3">
        <f>Legacy!AG71+Paid!AG69+React!AG120+Params!$B$9*Adds!AG184</f>
        <v/>
      </c>
      <c r="AH125" s="3">
        <f>Legacy!AH71+Paid!AH69+React!AH120+Params!$B$9*Adds!AH184</f>
        <v/>
      </c>
      <c r="AI125" s="3">
        <f>Legacy!AI71+Paid!AI69+React!AI120+Params!$B$9*Adds!AI184</f>
        <v/>
      </c>
      <c r="AJ125" s="3">
        <f>Legacy!AJ71+Paid!AJ69+React!AJ120+Params!$B$9*Adds!AJ184</f>
        <v/>
      </c>
      <c r="AK125" s="3">
        <f>Legacy!AK71+Paid!AK69+React!AK120+Params!$B$9*Adds!AK184</f>
        <v/>
      </c>
      <c r="AL125" s="3">
        <f>Legacy!AL71+Paid!AL69+React!AL120+Params!$B$9*Adds!AL184</f>
        <v/>
      </c>
      <c r="AM125" s="3">
        <f>Legacy!AM71+Paid!AM69+React!AM120+Params!$B$9*Adds!AM184</f>
        <v/>
      </c>
      <c r="AN125" s="3">
        <f>Legacy!AN71+Paid!AN69+React!AN120+Params!$B$9*Adds!AN184</f>
        <v/>
      </c>
      <c r="AO125" s="3">
        <f>Legacy!AO71+Paid!AO69+React!AO120+Params!$B$9*Adds!AO184</f>
        <v/>
      </c>
      <c r="AP125" s="3">
        <f>Legacy!AP71+Paid!AP69+React!AP120+Params!$B$9*Adds!AP184</f>
        <v/>
      </c>
      <c r="AQ125" s="3">
        <f>Legacy!AQ71+Paid!AQ69+React!AQ120+Params!$B$9*Adds!AQ184</f>
        <v/>
      </c>
      <c r="AR125" s="3">
        <f>Legacy!AR71+Paid!AR69+React!AR120+Params!$B$9*Adds!AR184</f>
        <v/>
      </c>
      <c r="AS125" s="3">
        <f>Legacy!AS71+Paid!AS69+React!AS120+Params!$B$9*Adds!AS184</f>
        <v/>
      </c>
      <c r="AT125" s="3">
        <f>Legacy!AT71+Paid!AT69+React!AT120+Params!$B$9*Adds!AT184</f>
        <v/>
      </c>
      <c r="AU125" s="3">
        <f>Legacy!AU71+Paid!AU69+React!AU120+Params!$B$9*Adds!AU184</f>
        <v/>
      </c>
      <c r="AV125" s="3">
        <f>Legacy!AV71+Paid!AV69+React!AV120+Params!$B$9*Adds!AV184</f>
        <v/>
      </c>
      <c r="AW125" s="3">
        <f>Legacy!AW71+Paid!AW69+React!AW120+Params!$B$9*Adds!AW184</f>
        <v/>
      </c>
      <c r="AX125" s="3">
        <f>Legacy!AX71+Paid!AX69+React!AX120+Params!$B$9*Adds!AX184</f>
        <v/>
      </c>
      <c r="AY125" s="3">
        <f>Legacy!AY71+Paid!AY69+React!AY120+Params!$B$9*Adds!AY184</f>
        <v/>
      </c>
      <c r="AZ125" s="3">
        <f>Legacy!AZ71+Paid!AZ69+React!AZ120+Params!$B$9*Adds!AZ184</f>
        <v/>
      </c>
      <c r="BA125" s="3">
        <f>Legacy!BA71+Paid!BA69+React!BA120+Params!$B$9*Adds!BA184</f>
        <v/>
      </c>
      <c r="BB125" s="3">
        <f>Legacy!BB71+Paid!BB69+React!BB120+Params!$B$9*Adds!BB184</f>
        <v/>
      </c>
      <c r="BC125" s="3">
        <f>Legacy!BC71+Paid!BC69+React!BC120+Params!$B$9*Adds!BC184</f>
        <v/>
      </c>
      <c r="BD125" s="3">
        <f>Legacy!BD71+Paid!BD69+React!BD120+Params!$B$9*Adds!BD184</f>
        <v/>
      </c>
      <c r="BE125" s="3">
        <f>Legacy!BE71+Paid!BE69+React!BE120+Params!$B$9*Adds!BE184</f>
        <v/>
      </c>
      <c r="BF125" s="3">
        <f>Legacy!BF71+Paid!BF69+React!BF120+Params!$B$9*Adds!BF184</f>
        <v/>
      </c>
      <c r="BG125" s="3">
        <f>Legacy!BG71+Paid!BG69+React!BG120+Params!$B$9*Adds!BG184</f>
        <v/>
      </c>
      <c r="BH125" s="3">
        <f>Legacy!BH71+Paid!BH69+React!BH120+Params!$B$9*Adds!BH184</f>
        <v/>
      </c>
      <c r="BI125" s="3">
        <f>Legacy!BI71+Paid!BI69+React!BI120+Params!$B$9*Adds!BI184</f>
        <v/>
      </c>
      <c r="BJ125" s="3">
        <f>Legacy!BJ71+Paid!BJ69+React!BJ120+Params!$B$9*Adds!BJ184</f>
        <v/>
      </c>
      <c r="BK125" s="3">
        <f>Legacy!BK71+Paid!BK69+React!BK120+Params!$B$9*Adds!BK184</f>
        <v/>
      </c>
      <c r="BL125" s="3">
        <f>Legacy!BL71+Paid!BL69+React!BL120+Params!$B$9*Adds!BL184</f>
        <v/>
      </c>
      <c r="BM125" s="3">
        <f>Legacy!BM71+Paid!BM69+React!BM120+Params!$B$9*Adds!BM184</f>
        <v/>
      </c>
      <c r="BN125" s="3">
        <f>Legacy!BN71+Paid!BN69+React!BN120+Params!$B$9*Adds!BN184</f>
        <v/>
      </c>
      <c r="BO125" s="3">
        <f>Legacy!BO71+Paid!BO69+React!BO120+Params!$B$9*Adds!BO184</f>
        <v/>
      </c>
      <c r="BP125" s="3">
        <f>Legacy!BP71+Paid!BP69+React!BP120+Params!$B$9*Adds!BP184</f>
        <v/>
      </c>
      <c r="BQ125" s="3">
        <f>Legacy!BQ71+Paid!BQ69+React!BQ120+Params!$B$9*Adds!BQ184</f>
        <v/>
      </c>
      <c r="BR125" s="3">
        <f>Legacy!BR71+Paid!BR69+React!BR120+Params!$B$9*Adds!BR184</f>
        <v/>
      </c>
      <c r="BS125" s="3">
        <f>Legacy!BS71+Paid!BS69+React!BS120+Params!$B$9*Adds!BS184</f>
        <v/>
      </c>
      <c r="BT125" s="3">
        <f>Legacy!BT71+Paid!BT69+React!BT120+Params!$B$9*Adds!BT184</f>
        <v/>
      </c>
      <c r="BU125" s="3">
        <f>Legacy!BU71+Paid!BU69+React!BU120+Params!$B$9*Adds!BU184</f>
        <v/>
      </c>
      <c r="BV125" s="3">
        <f>Legacy!BV71+Paid!BV69+React!BV120+Params!$B$9*Adds!BV184</f>
        <v/>
      </c>
    </row>
    <row r="126">
      <c r="A126" t="inlineStr">
        <is>
          <t>closing</t>
        </is>
      </c>
      <c r="B126" t="inlineStr">
        <is>
          <t>ROW|NITRO_M</t>
        </is>
      </c>
      <c r="C126" s="3">
        <f>C127+Params!$B$9*Adds!C187</f>
        <v/>
      </c>
      <c r="D126" s="3">
        <f>D127+Params!$B$9*Adds!D187</f>
        <v/>
      </c>
      <c r="E126" s="3">
        <f>E127+Params!$B$9*Adds!E187</f>
        <v/>
      </c>
      <c r="F126" s="3">
        <f>F127+Params!$B$9*Adds!F187</f>
        <v/>
      </c>
      <c r="G126" s="3">
        <f>G127+Params!$B$9*Adds!G187</f>
        <v/>
      </c>
      <c r="H126" s="3">
        <f>H127+Params!$B$9*Adds!H187</f>
        <v/>
      </c>
      <c r="I126" s="3">
        <f>I127+Params!$B$9*Adds!I187</f>
        <v/>
      </c>
      <c r="J126" s="3">
        <f>J127+Params!$B$9*Adds!J187</f>
        <v/>
      </c>
      <c r="K126" s="3">
        <f>K127+Params!$B$9*Adds!K187</f>
        <v/>
      </c>
      <c r="L126" s="3">
        <f>L127+Params!$B$9*Adds!L187</f>
        <v/>
      </c>
      <c r="M126" s="3">
        <f>M127+Params!$B$9*Adds!M187</f>
        <v/>
      </c>
      <c r="N126" s="3">
        <f>N127+Params!$B$9*Adds!N187</f>
        <v/>
      </c>
      <c r="O126" s="3">
        <f>O127+Params!$B$9*Adds!O187</f>
        <v/>
      </c>
      <c r="P126" s="3">
        <f>P127+Params!$B$9*Adds!P187</f>
        <v/>
      </c>
      <c r="Q126" s="3">
        <f>Q127+Params!$B$9*Adds!Q187</f>
        <v/>
      </c>
      <c r="R126" s="3">
        <f>R127+Params!$B$9*Adds!R187</f>
        <v/>
      </c>
      <c r="S126" s="3">
        <f>S127+Params!$B$9*Adds!S187</f>
        <v/>
      </c>
      <c r="T126" s="3">
        <f>T127+Params!$B$9*Adds!T187</f>
        <v/>
      </c>
      <c r="U126" s="3">
        <f>U127+Params!$B$9*Adds!U187</f>
        <v/>
      </c>
      <c r="V126" s="3">
        <f>V127+Params!$B$9*Adds!V187</f>
        <v/>
      </c>
      <c r="W126" s="3">
        <f>W127+Params!$B$9*Adds!W187</f>
        <v/>
      </c>
      <c r="X126" s="3">
        <f>X127+Params!$B$9*Adds!X187</f>
        <v/>
      </c>
      <c r="Y126" s="3">
        <f>Y127+Params!$B$9*Adds!Y187</f>
        <v/>
      </c>
      <c r="Z126" s="3">
        <f>Z127+Params!$B$9*Adds!Z187</f>
        <v/>
      </c>
      <c r="AA126" s="3">
        <f>AA127+Params!$B$9*Adds!AA187</f>
        <v/>
      </c>
      <c r="AB126" s="3">
        <f>AB127+Params!$B$9*Adds!AB187</f>
        <v/>
      </c>
      <c r="AC126" s="3">
        <f>AC127+Params!$B$9*Adds!AC187</f>
        <v/>
      </c>
      <c r="AD126" s="3">
        <f>AD127+Params!$B$9*Adds!AD187</f>
        <v/>
      </c>
      <c r="AE126" s="3">
        <f>AE127+Params!$B$9*Adds!AE187</f>
        <v/>
      </c>
      <c r="AF126" s="3">
        <f>AF127+Params!$B$9*Adds!AF187</f>
        <v/>
      </c>
      <c r="AG126" s="3">
        <f>AG127+Params!$B$9*Adds!AG187</f>
        <v/>
      </c>
      <c r="AH126" s="3">
        <f>AH127+Params!$B$9*Adds!AH187</f>
        <v/>
      </c>
      <c r="AI126" s="3">
        <f>AI127+Params!$B$9*Adds!AI187</f>
        <v/>
      </c>
      <c r="AJ126" s="3">
        <f>AJ127+Params!$B$9*Adds!AJ187</f>
        <v/>
      </c>
      <c r="AK126" s="3">
        <f>AK127+Params!$B$9*Adds!AK187</f>
        <v/>
      </c>
      <c r="AL126" s="3">
        <f>AL127+Params!$B$9*Adds!AL187</f>
        <v/>
      </c>
      <c r="AM126" s="3">
        <f>AM127+Params!$B$9*Adds!AM187</f>
        <v/>
      </c>
      <c r="AN126" s="3">
        <f>AN127+Params!$B$9*Adds!AN187</f>
        <v/>
      </c>
      <c r="AO126" s="3">
        <f>AO127+Params!$B$9*Adds!AO187</f>
        <v/>
      </c>
      <c r="AP126" s="3">
        <f>AP127+Params!$B$9*Adds!AP187</f>
        <v/>
      </c>
      <c r="AQ126" s="3">
        <f>AQ127+Params!$B$9*Adds!AQ187</f>
        <v/>
      </c>
      <c r="AR126" s="3">
        <f>AR127+Params!$B$9*Adds!AR187</f>
        <v/>
      </c>
      <c r="AS126" s="3">
        <f>AS127+Params!$B$9*Adds!AS187</f>
        <v/>
      </c>
      <c r="AT126" s="3">
        <f>AT127+Params!$B$9*Adds!AT187</f>
        <v/>
      </c>
      <c r="AU126" s="3">
        <f>AU127+Params!$B$9*Adds!AU187</f>
        <v/>
      </c>
      <c r="AV126" s="3">
        <f>AV127+Params!$B$9*Adds!AV187</f>
        <v/>
      </c>
      <c r="AW126" s="3">
        <f>AW127+Params!$B$9*Adds!AW187</f>
        <v/>
      </c>
      <c r="AX126" s="3">
        <f>AX127+Params!$B$9*Adds!AX187</f>
        <v/>
      </c>
      <c r="AY126" s="3">
        <f>AY127+Params!$B$9*Adds!AY187</f>
        <v/>
      </c>
      <c r="AZ126" s="3">
        <f>AZ127+Params!$B$9*Adds!AZ187</f>
        <v/>
      </c>
      <c r="BA126" s="3">
        <f>BA127+Params!$B$9*Adds!BA187</f>
        <v/>
      </c>
      <c r="BB126" s="3">
        <f>BB127+Params!$B$9*Adds!BB187</f>
        <v/>
      </c>
      <c r="BC126" s="3">
        <f>BC127+Params!$B$9*Adds!BC187</f>
        <v/>
      </c>
      <c r="BD126" s="3">
        <f>BD127+Params!$B$9*Adds!BD187</f>
        <v/>
      </c>
      <c r="BE126" s="3">
        <f>BE127+Params!$B$9*Adds!BE187</f>
        <v/>
      </c>
      <c r="BF126" s="3">
        <f>BF127+Params!$B$9*Adds!BF187</f>
        <v/>
      </c>
      <c r="BG126" s="3">
        <f>BG127+Params!$B$9*Adds!BG187</f>
        <v/>
      </c>
      <c r="BH126" s="3">
        <f>BH127+Params!$B$9*Adds!BH187</f>
        <v/>
      </c>
      <c r="BI126" s="3">
        <f>BI127+Params!$B$9*Adds!BI187</f>
        <v/>
      </c>
      <c r="BJ126" s="3">
        <f>BJ127+Params!$B$9*Adds!BJ187</f>
        <v/>
      </c>
      <c r="BK126" s="3">
        <f>BK127+Params!$B$9*Adds!BK187</f>
        <v/>
      </c>
      <c r="BL126" s="3">
        <f>BL127+Params!$B$9*Adds!BL187</f>
        <v/>
      </c>
      <c r="BM126" s="3">
        <f>BM127+Params!$B$9*Adds!BM187</f>
        <v/>
      </c>
      <c r="BN126" s="3">
        <f>BN127+Params!$B$9*Adds!BN187</f>
        <v/>
      </c>
      <c r="BO126" s="3">
        <f>BO127+Params!$B$9*Adds!BO187</f>
        <v/>
      </c>
      <c r="BP126" s="3">
        <f>BP127+Params!$B$9*Adds!BP187</f>
        <v/>
      </c>
      <c r="BQ126" s="3">
        <f>BQ127+Params!$B$9*Adds!BQ187</f>
        <v/>
      </c>
      <c r="BR126" s="3">
        <f>BR127+Params!$B$9*Adds!BR187</f>
        <v/>
      </c>
      <c r="BS126" s="3">
        <f>BS127+Params!$B$9*Adds!BS187</f>
        <v/>
      </c>
      <c r="BT126" s="3">
        <f>BT127+Params!$B$9*Adds!BT187</f>
        <v/>
      </c>
      <c r="BU126" s="3">
        <f>BU127+Params!$B$9*Adds!BU187</f>
        <v/>
      </c>
      <c r="BV126" s="3">
        <f>BV127+Params!$B$9*Adds!BV187</f>
        <v/>
      </c>
    </row>
    <row r="127">
      <c r="A127" t="inlineStr">
        <is>
          <t>paying</t>
        </is>
      </c>
      <c r="B127" t="inlineStr">
        <is>
          <t>ROW|NITRO_M</t>
        </is>
      </c>
      <c r="C127" s="3">
        <f>Legacy!C70+Paid!C67+React!C118</f>
        <v/>
      </c>
      <c r="D127" s="3">
        <f>Legacy!D70+Paid!D67+React!D118</f>
        <v/>
      </c>
      <c r="E127" s="3">
        <f>Legacy!E70+Paid!E67+React!E118</f>
        <v/>
      </c>
      <c r="F127" s="3">
        <f>Legacy!F70+Paid!F67+React!F118</f>
        <v/>
      </c>
      <c r="G127" s="3">
        <f>Legacy!G70+Paid!G67+React!G118</f>
        <v/>
      </c>
      <c r="H127" s="3">
        <f>Legacy!H70+Paid!H67+React!H118</f>
        <v/>
      </c>
      <c r="I127" s="3">
        <f>Legacy!I70+Paid!I67+React!I118</f>
        <v/>
      </c>
      <c r="J127" s="3">
        <f>Legacy!J70+Paid!J67+React!J118</f>
        <v/>
      </c>
      <c r="K127" s="3">
        <f>Legacy!K70+Paid!K67+React!K118</f>
        <v/>
      </c>
      <c r="L127" s="3">
        <f>Legacy!L70+Paid!L67+React!L118</f>
        <v/>
      </c>
      <c r="M127" s="3">
        <f>Legacy!M70+Paid!M67+React!M118</f>
        <v/>
      </c>
      <c r="N127" s="3">
        <f>Legacy!N70+Paid!N67+React!N118</f>
        <v/>
      </c>
      <c r="O127" s="3">
        <f>Legacy!O70+Paid!O67+React!O118</f>
        <v/>
      </c>
      <c r="P127" s="3">
        <f>Legacy!P70+Paid!P67+React!P118</f>
        <v/>
      </c>
      <c r="Q127" s="3">
        <f>Legacy!Q70+Paid!Q67+React!Q118</f>
        <v/>
      </c>
      <c r="R127" s="3">
        <f>Legacy!R70+Paid!R67+React!R118</f>
        <v/>
      </c>
      <c r="S127" s="3">
        <f>Legacy!S70+Paid!S67+React!S118</f>
        <v/>
      </c>
      <c r="T127" s="3">
        <f>Legacy!T70+Paid!T67+React!T118</f>
        <v/>
      </c>
      <c r="U127" s="3">
        <f>Legacy!U70+Paid!U67+React!U118</f>
        <v/>
      </c>
      <c r="V127" s="3">
        <f>Legacy!V70+Paid!V67+React!V118</f>
        <v/>
      </c>
      <c r="W127" s="3">
        <f>Legacy!W70+Paid!W67+React!W118</f>
        <v/>
      </c>
      <c r="X127" s="3">
        <f>Legacy!X70+Paid!X67+React!X118</f>
        <v/>
      </c>
      <c r="Y127" s="3">
        <f>Legacy!Y70+Paid!Y67+React!Y118</f>
        <v/>
      </c>
      <c r="Z127" s="3">
        <f>Legacy!Z70+Paid!Z67+React!Z118</f>
        <v/>
      </c>
      <c r="AA127" s="3">
        <f>Legacy!AA70+Paid!AA67+React!AA118</f>
        <v/>
      </c>
      <c r="AB127" s="3">
        <f>Legacy!AB70+Paid!AB67+React!AB118</f>
        <v/>
      </c>
      <c r="AC127" s="3">
        <f>Legacy!AC70+Paid!AC67+React!AC118</f>
        <v/>
      </c>
      <c r="AD127" s="3">
        <f>Legacy!AD70+Paid!AD67+React!AD118</f>
        <v/>
      </c>
      <c r="AE127" s="3">
        <f>Legacy!AE70+Paid!AE67+React!AE118</f>
        <v/>
      </c>
      <c r="AF127" s="3">
        <f>Legacy!AF70+Paid!AF67+React!AF118</f>
        <v/>
      </c>
      <c r="AG127" s="3">
        <f>Legacy!AG70+Paid!AG67+React!AG118</f>
        <v/>
      </c>
      <c r="AH127" s="3">
        <f>Legacy!AH70+Paid!AH67+React!AH118</f>
        <v/>
      </c>
      <c r="AI127" s="3">
        <f>Legacy!AI70+Paid!AI67+React!AI118</f>
        <v/>
      </c>
      <c r="AJ127" s="3">
        <f>Legacy!AJ70+Paid!AJ67+React!AJ118</f>
        <v/>
      </c>
      <c r="AK127" s="3">
        <f>Legacy!AK70+Paid!AK67+React!AK118</f>
        <v/>
      </c>
      <c r="AL127" s="3">
        <f>Legacy!AL70+Paid!AL67+React!AL118</f>
        <v/>
      </c>
      <c r="AM127" s="3">
        <f>Legacy!AM70+Paid!AM67+React!AM118</f>
        <v/>
      </c>
      <c r="AN127" s="3">
        <f>Legacy!AN70+Paid!AN67+React!AN118</f>
        <v/>
      </c>
      <c r="AO127" s="3">
        <f>Legacy!AO70+Paid!AO67+React!AO118</f>
        <v/>
      </c>
      <c r="AP127" s="3">
        <f>Legacy!AP70+Paid!AP67+React!AP118</f>
        <v/>
      </c>
      <c r="AQ127" s="3">
        <f>Legacy!AQ70+Paid!AQ67+React!AQ118</f>
        <v/>
      </c>
      <c r="AR127" s="3">
        <f>Legacy!AR70+Paid!AR67+React!AR118</f>
        <v/>
      </c>
      <c r="AS127" s="3">
        <f>Legacy!AS70+Paid!AS67+React!AS118</f>
        <v/>
      </c>
      <c r="AT127" s="3">
        <f>Legacy!AT70+Paid!AT67+React!AT118</f>
        <v/>
      </c>
      <c r="AU127" s="3">
        <f>Legacy!AU70+Paid!AU67+React!AU118</f>
        <v/>
      </c>
      <c r="AV127" s="3">
        <f>Legacy!AV70+Paid!AV67+React!AV118</f>
        <v/>
      </c>
      <c r="AW127" s="3">
        <f>Legacy!AW70+Paid!AW67+React!AW118</f>
        <v/>
      </c>
      <c r="AX127" s="3">
        <f>Legacy!AX70+Paid!AX67+React!AX118</f>
        <v/>
      </c>
      <c r="AY127" s="3">
        <f>Legacy!AY70+Paid!AY67+React!AY118</f>
        <v/>
      </c>
      <c r="AZ127" s="3">
        <f>Legacy!AZ70+Paid!AZ67+React!AZ118</f>
        <v/>
      </c>
      <c r="BA127" s="3">
        <f>Legacy!BA70+Paid!BA67+React!BA118</f>
        <v/>
      </c>
      <c r="BB127" s="3">
        <f>Legacy!BB70+Paid!BB67+React!BB118</f>
        <v/>
      </c>
      <c r="BC127" s="3">
        <f>Legacy!BC70+Paid!BC67+React!BC118</f>
        <v/>
      </c>
      <c r="BD127" s="3">
        <f>Legacy!BD70+Paid!BD67+React!BD118</f>
        <v/>
      </c>
      <c r="BE127" s="3">
        <f>Legacy!BE70+Paid!BE67+React!BE118</f>
        <v/>
      </c>
      <c r="BF127" s="3">
        <f>Legacy!BF70+Paid!BF67+React!BF118</f>
        <v/>
      </c>
      <c r="BG127" s="3">
        <f>Legacy!BG70+Paid!BG67+React!BG118</f>
        <v/>
      </c>
      <c r="BH127" s="3">
        <f>Legacy!BH70+Paid!BH67+React!BH118</f>
        <v/>
      </c>
      <c r="BI127" s="3">
        <f>Legacy!BI70+Paid!BI67+React!BI118</f>
        <v/>
      </c>
      <c r="BJ127" s="3">
        <f>Legacy!BJ70+Paid!BJ67+React!BJ118</f>
        <v/>
      </c>
      <c r="BK127" s="3">
        <f>Legacy!BK70+Paid!BK67+React!BK118</f>
        <v/>
      </c>
      <c r="BL127" s="3">
        <f>Legacy!BL70+Paid!BL67+React!BL118</f>
        <v/>
      </c>
      <c r="BM127" s="3">
        <f>Legacy!BM70+Paid!BM67+React!BM118</f>
        <v/>
      </c>
      <c r="BN127" s="3">
        <f>Legacy!BN70+Paid!BN67+React!BN118</f>
        <v/>
      </c>
      <c r="BO127" s="3">
        <f>Legacy!BO70+Paid!BO67+React!BO118</f>
        <v/>
      </c>
      <c r="BP127" s="3">
        <f>Legacy!BP70+Paid!BP67+React!BP118</f>
        <v/>
      </c>
      <c r="BQ127" s="3">
        <f>Legacy!BQ70+Paid!BQ67+React!BQ118</f>
        <v/>
      </c>
      <c r="BR127" s="3">
        <f>Legacy!BR70+Paid!BR67+React!BR118</f>
        <v/>
      </c>
      <c r="BS127" s="3">
        <f>Legacy!BS70+Paid!BS67+React!BS118</f>
        <v/>
      </c>
      <c r="BT127" s="3">
        <f>Legacy!BT70+Paid!BT67+React!BT118</f>
        <v/>
      </c>
      <c r="BU127" s="3">
        <f>Legacy!BU70+Paid!BU67+React!BU118</f>
        <v/>
      </c>
      <c r="BV127" s="3">
        <f>Legacy!BV70+Paid!BV67+React!BV118</f>
        <v/>
      </c>
    </row>
    <row r="129">
      <c r="A129" t="inlineStr">
        <is>
          <t>opening</t>
        </is>
      </c>
      <c r="B129" t="inlineStr">
        <is>
          <t>ROW|NITRO_A</t>
        </is>
      </c>
      <c r="C129" s="3">
        <f>Legacy!$C$73</f>
        <v/>
      </c>
      <c r="D129" s="3">
        <f>C133</f>
        <v/>
      </c>
      <c r="E129" s="3">
        <f>D133</f>
        <v/>
      </c>
      <c r="F129" s="3">
        <f>E133</f>
        <v/>
      </c>
      <c r="G129" s="3">
        <f>F133</f>
        <v/>
      </c>
      <c r="H129" s="3">
        <f>G133</f>
        <v/>
      </c>
      <c r="I129" s="3">
        <f>H133</f>
        <v/>
      </c>
      <c r="J129" s="3">
        <f>I133</f>
        <v/>
      </c>
      <c r="K129" s="3">
        <f>J133</f>
        <v/>
      </c>
      <c r="L129" s="3">
        <f>K133</f>
        <v/>
      </c>
      <c r="M129" s="3">
        <f>L133</f>
        <v/>
      </c>
      <c r="N129" s="3">
        <f>M133</f>
        <v/>
      </c>
      <c r="O129" s="3">
        <f>N133</f>
        <v/>
      </c>
      <c r="P129" s="3">
        <f>O133</f>
        <v/>
      </c>
      <c r="Q129" s="3">
        <f>P133</f>
        <v/>
      </c>
      <c r="R129" s="3">
        <f>Q133</f>
        <v/>
      </c>
      <c r="S129" s="3">
        <f>R133</f>
        <v/>
      </c>
      <c r="T129" s="3">
        <f>S133</f>
        <v/>
      </c>
      <c r="U129" s="3">
        <f>T133</f>
        <v/>
      </c>
      <c r="V129" s="3">
        <f>U133</f>
        <v/>
      </c>
      <c r="W129" s="3">
        <f>V133</f>
        <v/>
      </c>
      <c r="X129" s="3">
        <f>W133</f>
        <v/>
      </c>
      <c r="Y129" s="3">
        <f>X133</f>
        <v/>
      </c>
      <c r="Z129" s="3">
        <f>Y133</f>
        <v/>
      </c>
      <c r="AA129" s="3">
        <f>Z133</f>
        <v/>
      </c>
      <c r="AB129" s="3">
        <f>AA133</f>
        <v/>
      </c>
      <c r="AC129" s="3">
        <f>AB133</f>
        <v/>
      </c>
      <c r="AD129" s="3">
        <f>AC133</f>
        <v/>
      </c>
      <c r="AE129" s="3">
        <f>AD133</f>
        <v/>
      </c>
      <c r="AF129" s="3">
        <f>AE133</f>
        <v/>
      </c>
      <c r="AG129" s="3">
        <f>AF133</f>
        <v/>
      </c>
      <c r="AH129" s="3">
        <f>AG133</f>
        <v/>
      </c>
      <c r="AI129" s="3">
        <f>AH133</f>
        <v/>
      </c>
      <c r="AJ129" s="3">
        <f>AI133</f>
        <v/>
      </c>
      <c r="AK129" s="3">
        <f>AJ133</f>
        <v/>
      </c>
      <c r="AL129" s="3">
        <f>AK133</f>
        <v/>
      </c>
      <c r="AM129" s="3">
        <f>AL133</f>
        <v/>
      </c>
      <c r="AN129" s="3">
        <f>AM133</f>
        <v/>
      </c>
      <c r="AO129" s="3">
        <f>AN133</f>
        <v/>
      </c>
      <c r="AP129" s="3">
        <f>AO133</f>
        <v/>
      </c>
      <c r="AQ129" s="3">
        <f>AP133</f>
        <v/>
      </c>
      <c r="AR129" s="3">
        <f>AQ133</f>
        <v/>
      </c>
      <c r="AS129" s="3">
        <f>AR133</f>
        <v/>
      </c>
      <c r="AT129" s="3">
        <f>AS133</f>
        <v/>
      </c>
      <c r="AU129" s="3">
        <f>AT133</f>
        <v/>
      </c>
      <c r="AV129" s="3">
        <f>AU133</f>
        <v/>
      </c>
      <c r="AW129" s="3">
        <f>AV133</f>
        <v/>
      </c>
      <c r="AX129" s="3">
        <f>AW133</f>
        <v/>
      </c>
      <c r="AY129" s="3">
        <f>AX133</f>
        <v/>
      </c>
      <c r="AZ129" s="3">
        <f>AY133</f>
        <v/>
      </c>
      <c r="BA129" s="3">
        <f>AZ133</f>
        <v/>
      </c>
      <c r="BB129" s="3">
        <f>BA133</f>
        <v/>
      </c>
      <c r="BC129" s="3">
        <f>BB133</f>
        <v/>
      </c>
      <c r="BD129" s="3">
        <f>BC133</f>
        <v/>
      </c>
      <c r="BE129" s="3">
        <f>BD133</f>
        <v/>
      </c>
      <c r="BF129" s="3">
        <f>BE133</f>
        <v/>
      </c>
      <c r="BG129" s="3">
        <f>BF133</f>
        <v/>
      </c>
      <c r="BH129" s="3">
        <f>BG133</f>
        <v/>
      </c>
      <c r="BI129" s="3">
        <f>BH133</f>
        <v/>
      </c>
      <c r="BJ129" s="3">
        <f>BI133</f>
        <v/>
      </c>
      <c r="BK129" s="3">
        <f>BJ133</f>
        <v/>
      </c>
      <c r="BL129" s="3">
        <f>BK133</f>
        <v/>
      </c>
      <c r="BM129" s="3">
        <f>BL133</f>
        <v/>
      </c>
      <c r="BN129" s="3">
        <f>BM133</f>
        <v/>
      </c>
      <c r="BO129" s="3">
        <f>BN133</f>
        <v/>
      </c>
      <c r="BP129" s="3">
        <f>BO133</f>
        <v/>
      </c>
      <c r="BQ129" s="3">
        <f>BP133</f>
        <v/>
      </c>
      <c r="BR129" s="3">
        <f>BQ133</f>
        <v/>
      </c>
      <c r="BS129" s="3">
        <f>BR133</f>
        <v/>
      </c>
      <c r="BT129" s="3">
        <f>BS133</f>
        <v/>
      </c>
      <c r="BU129" s="3">
        <f>BT133</f>
        <v/>
      </c>
      <c r="BV129" s="3">
        <f>BU133</f>
        <v/>
      </c>
    </row>
    <row r="130">
      <c r="A130" t="inlineStr">
        <is>
          <t>new</t>
        </is>
      </c>
      <c r="B130" t="inlineStr">
        <is>
          <t>ROW|NITRO_A</t>
        </is>
      </c>
      <c r="C130" s="3">
        <f>Adds!C192+IF(Params!$B$9=1,Adds!C191,Adds!C194)</f>
        <v/>
      </c>
      <c r="D130" s="3">
        <f>Adds!D192+IF(Params!$B$9=1,Adds!D191,Adds!D194)</f>
        <v/>
      </c>
      <c r="E130" s="3">
        <f>Adds!E192+IF(Params!$B$9=1,Adds!E191,Adds!E194)</f>
        <v/>
      </c>
      <c r="F130" s="3">
        <f>Adds!F192+IF(Params!$B$9=1,Adds!F191,Adds!F194)</f>
        <v/>
      </c>
      <c r="G130" s="3">
        <f>Adds!G192+IF(Params!$B$9=1,Adds!G191,Adds!G194)</f>
        <v/>
      </c>
      <c r="H130" s="3">
        <f>Adds!H192+IF(Params!$B$9=1,Adds!H191,Adds!H194)</f>
        <v/>
      </c>
      <c r="I130" s="3">
        <f>Adds!I192+IF(Params!$B$9=1,Adds!I191,Adds!I194)</f>
        <v/>
      </c>
      <c r="J130" s="3">
        <f>Adds!J192+IF(Params!$B$9=1,Adds!J191,Adds!J194)</f>
        <v/>
      </c>
      <c r="K130" s="3">
        <f>Adds!K192+IF(Params!$B$9=1,Adds!K191,Adds!K194)</f>
        <v/>
      </c>
      <c r="L130" s="3">
        <f>Adds!L192+IF(Params!$B$9=1,Adds!L191,Adds!L194)</f>
        <v/>
      </c>
      <c r="M130" s="3">
        <f>Adds!M192+IF(Params!$B$9=1,Adds!M191,Adds!M194)</f>
        <v/>
      </c>
      <c r="N130" s="3">
        <f>Adds!N192+IF(Params!$B$9=1,Adds!N191,Adds!N194)</f>
        <v/>
      </c>
      <c r="O130" s="3">
        <f>Adds!O192+IF(Params!$B$9=1,Adds!O191,Adds!O194)</f>
        <v/>
      </c>
      <c r="P130" s="3">
        <f>Adds!P192+IF(Params!$B$9=1,Adds!P191,Adds!P194)</f>
        <v/>
      </c>
      <c r="Q130" s="3">
        <f>Adds!Q192+IF(Params!$B$9=1,Adds!Q191,Adds!Q194)</f>
        <v/>
      </c>
      <c r="R130" s="3">
        <f>Adds!R192+IF(Params!$B$9=1,Adds!R191,Adds!R194)</f>
        <v/>
      </c>
      <c r="S130" s="3">
        <f>Adds!S192+IF(Params!$B$9=1,Adds!S191,Adds!S194)</f>
        <v/>
      </c>
      <c r="T130" s="3">
        <f>Adds!T192+IF(Params!$B$9=1,Adds!T191,Adds!T194)</f>
        <v/>
      </c>
      <c r="U130" s="3">
        <f>Adds!U192+IF(Params!$B$9=1,Adds!U191,Adds!U194)</f>
        <v/>
      </c>
      <c r="V130" s="3">
        <f>Adds!V192+IF(Params!$B$9=1,Adds!V191,Adds!V194)</f>
        <v/>
      </c>
      <c r="W130" s="3">
        <f>Adds!W192+IF(Params!$B$9=1,Adds!W191,Adds!W194)</f>
        <v/>
      </c>
      <c r="X130" s="3">
        <f>Adds!X192+IF(Params!$B$9=1,Adds!X191,Adds!X194)</f>
        <v/>
      </c>
      <c r="Y130" s="3">
        <f>Adds!Y192+IF(Params!$B$9=1,Adds!Y191,Adds!Y194)</f>
        <v/>
      </c>
      <c r="Z130" s="3">
        <f>Adds!Z192+IF(Params!$B$9=1,Adds!Z191,Adds!Z194)</f>
        <v/>
      </c>
      <c r="AA130" s="3">
        <f>Adds!AA192+IF(Params!$B$9=1,Adds!AA191,Adds!AA194)</f>
        <v/>
      </c>
      <c r="AB130" s="3">
        <f>Adds!AB192+IF(Params!$B$9=1,Adds!AB191,Adds!AB194)</f>
        <v/>
      </c>
      <c r="AC130" s="3">
        <f>Adds!AC192+IF(Params!$B$9=1,Adds!AC191,Adds!AC194)</f>
        <v/>
      </c>
      <c r="AD130" s="3">
        <f>Adds!AD192+IF(Params!$B$9=1,Adds!AD191,Adds!AD194)</f>
        <v/>
      </c>
      <c r="AE130" s="3">
        <f>Adds!AE192+IF(Params!$B$9=1,Adds!AE191,Adds!AE194)</f>
        <v/>
      </c>
      <c r="AF130" s="3">
        <f>Adds!AF192+IF(Params!$B$9=1,Adds!AF191,Adds!AF194)</f>
        <v/>
      </c>
      <c r="AG130" s="3">
        <f>Adds!AG192+IF(Params!$B$9=1,Adds!AG191,Adds!AG194)</f>
        <v/>
      </c>
      <c r="AH130" s="3">
        <f>Adds!AH192+IF(Params!$B$9=1,Adds!AH191,Adds!AH194)</f>
        <v/>
      </c>
      <c r="AI130" s="3">
        <f>Adds!AI192+IF(Params!$B$9=1,Adds!AI191,Adds!AI194)</f>
        <v/>
      </c>
      <c r="AJ130" s="3">
        <f>Adds!AJ192+IF(Params!$B$9=1,Adds!AJ191,Adds!AJ194)</f>
        <v/>
      </c>
      <c r="AK130" s="3">
        <f>Adds!AK192+IF(Params!$B$9=1,Adds!AK191,Adds!AK194)</f>
        <v/>
      </c>
      <c r="AL130" s="3">
        <f>Adds!AL192+IF(Params!$B$9=1,Adds!AL191,Adds!AL194)</f>
        <v/>
      </c>
      <c r="AM130" s="3">
        <f>Adds!AM192+IF(Params!$B$9=1,Adds!AM191,Adds!AM194)</f>
        <v/>
      </c>
      <c r="AN130" s="3">
        <f>Adds!AN192+IF(Params!$B$9=1,Adds!AN191,Adds!AN194)</f>
        <v/>
      </c>
      <c r="AO130" s="3">
        <f>Adds!AO192+IF(Params!$B$9=1,Adds!AO191,Adds!AO194)</f>
        <v/>
      </c>
      <c r="AP130" s="3">
        <f>Adds!AP192+IF(Params!$B$9=1,Adds!AP191,Adds!AP194)</f>
        <v/>
      </c>
      <c r="AQ130" s="3">
        <f>Adds!AQ192+IF(Params!$B$9=1,Adds!AQ191,Adds!AQ194)</f>
        <v/>
      </c>
      <c r="AR130" s="3">
        <f>Adds!AR192+IF(Params!$B$9=1,Adds!AR191,Adds!AR194)</f>
        <v/>
      </c>
      <c r="AS130" s="3">
        <f>Adds!AS192+IF(Params!$B$9=1,Adds!AS191,Adds!AS194)</f>
        <v/>
      </c>
      <c r="AT130" s="3">
        <f>Adds!AT192+IF(Params!$B$9=1,Adds!AT191,Adds!AT194)</f>
        <v/>
      </c>
      <c r="AU130" s="3">
        <f>Adds!AU192+IF(Params!$B$9=1,Adds!AU191,Adds!AU194)</f>
        <v/>
      </c>
      <c r="AV130" s="3">
        <f>Adds!AV192+IF(Params!$B$9=1,Adds!AV191,Adds!AV194)</f>
        <v/>
      </c>
      <c r="AW130" s="3">
        <f>Adds!AW192+IF(Params!$B$9=1,Adds!AW191,Adds!AW194)</f>
        <v/>
      </c>
      <c r="AX130" s="3">
        <f>Adds!AX192+IF(Params!$B$9=1,Adds!AX191,Adds!AX194)</f>
        <v/>
      </c>
      <c r="AY130" s="3">
        <f>Adds!AY192+IF(Params!$B$9=1,Adds!AY191,Adds!AY194)</f>
        <v/>
      </c>
      <c r="AZ130" s="3">
        <f>Adds!AZ192+IF(Params!$B$9=1,Adds!AZ191,Adds!AZ194)</f>
        <v/>
      </c>
      <c r="BA130" s="3">
        <f>Adds!BA192+IF(Params!$B$9=1,Adds!BA191,Adds!BA194)</f>
        <v/>
      </c>
      <c r="BB130" s="3">
        <f>Adds!BB192+IF(Params!$B$9=1,Adds!BB191,Adds!BB194)</f>
        <v/>
      </c>
      <c r="BC130" s="3">
        <f>Adds!BC192+IF(Params!$B$9=1,Adds!BC191,Adds!BC194)</f>
        <v/>
      </c>
      <c r="BD130" s="3">
        <f>Adds!BD192+IF(Params!$B$9=1,Adds!BD191,Adds!BD194)</f>
        <v/>
      </c>
      <c r="BE130" s="3">
        <f>Adds!BE192+IF(Params!$B$9=1,Adds!BE191,Adds!BE194)</f>
        <v/>
      </c>
      <c r="BF130" s="3">
        <f>Adds!BF192+IF(Params!$B$9=1,Adds!BF191,Adds!BF194)</f>
        <v/>
      </c>
      <c r="BG130" s="3">
        <f>Adds!BG192+IF(Params!$B$9=1,Adds!BG191,Adds!BG194)</f>
        <v/>
      </c>
      <c r="BH130" s="3">
        <f>Adds!BH192+IF(Params!$B$9=1,Adds!BH191,Adds!BH194)</f>
        <v/>
      </c>
      <c r="BI130" s="3">
        <f>Adds!BI192+IF(Params!$B$9=1,Adds!BI191,Adds!BI194)</f>
        <v/>
      </c>
      <c r="BJ130" s="3">
        <f>Adds!BJ192+IF(Params!$B$9=1,Adds!BJ191,Adds!BJ194)</f>
        <v/>
      </c>
      <c r="BK130" s="3">
        <f>Adds!BK192+IF(Params!$B$9=1,Adds!BK191,Adds!BK194)</f>
        <v/>
      </c>
      <c r="BL130" s="3">
        <f>Adds!BL192+IF(Params!$B$9=1,Adds!BL191,Adds!BL194)</f>
        <v/>
      </c>
      <c r="BM130" s="3">
        <f>Adds!BM192+IF(Params!$B$9=1,Adds!BM191,Adds!BM194)</f>
        <v/>
      </c>
      <c r="BN130" s="3">
        <f>Adds!BN192+IF(Params!$B$9=1,Adds!BN191,Adds!BN194)</f>
        <v/>
      </c>
      <c r="BO130" s="3">
        <f>Adds!BO192+IF(Params!$B$9=1,Adds!BO191,Adds!BO194)</f>
        <v/>
      </c>
      <c r="BP130" s="3">
        <f>Adds!BP192+IF(Params!$B$9=1,Adds!BP191,Adds!BP194)</f>
        <v/>
      </c>
      <c r="BQ130" s="3">
        <f>Adds!BQ192+IF(Params!$B$9=1,Adds!BQ191,Adds!BQ194)</f>
        <v/>
      </c>
      <c r="BR130" s="3">
        <f>Adds!BR192+IF(Params!$B$9=1,Adds!BR191,Adds!BR194)</f>
        <v/>
      </c>
      <c r="BS130" s="3">
        <f>Adds!BS192+IF(Params!$B$9=1,Adds!BS191,Adds!BS194)</f>
        <v/>
      </c>
      <c r="BT130" s="3">
        <f>Adds!BT192+IF(Params!$B$9=1,Adds!BT191,Adds!BT194)</f>
        <v/>
      </c>
      <c r="BU130" s="3">
        <f>Adds!BU192+IF(Params!$B$9=1,Adds!BU191,Adds!BU194)</f>
        <v/>
      </c>
      <c r="BV130" s="3">
        <f>Adds!BV192+IF(Params!$B$9=1,Adds!BV191,Adds!BV194)</f>
        <v/>
      </c>
    </row>
    <row r="131">
      <c r="A131" t="inlineStr">
        <is>
          <t>reactivated</t>
        </is>
      </c>
      <c r="B131" t="inlineStr">
        <is>
          <t>ROW|NITRO_A</t>
        </is>
      </c>
      <c r="C131" s="3">
        <f>React!C124</f>
        <v/>
      </c>
      <c r="D131" s="3">
        <f>React!D124</f>
        <v/>
      </c>
      <c r="E131" s="3">
        <f>React!E124</f>
        <v/>
      </c>
      <c r="F131" s="3">
        <f>React!F124</f>
        <v/>
      </c>
      <c r="G131" s="3">
        <f>React!G124</f>
        <v/>
      </c>
      <c r="H131" s="3">
        <f>React!H124</f>
        <v/>
      </c>
      <c r="I131" s="3">
        <f>React!I124</f>
        <v/>
      </c>
      <c r="J131" s="3">
        <f>React!J124</f>
        <v/>
      </c>
      <c r="K131" s="3">
        <f>React!K124</f>
        <v/>
      </c>
      <c r="L131" s="3">
        <f>React!L124</f>
        <v/>
      </c>
      <c r="M131" s="3">
        <f>React!M124</f>
        <v/>
      </c>
      <c r="N131" s="3">
        <f>React!N124</f>
        <v/>
      </c>
      <c r="O131" s="3">
        <f>React!O124</f>
        <v/>
      </c>
      <c r="P131" s="3">
        <f>React!P124</f>
        <v/>
      </c>
      <c r="Q131" s="3">
        <f>React!Q124</f>
        <v/>
      </c>
      <c r="R131" s="3">
        <f>React!R124</f>
        <v/>
      </c>
      <c r="S131" s="3">
        <f>React!S124</f>
        <v/>
      </c>
      <c r="T131" s="3">
        <f>React!T124</f>
        <v/>
      </c>
      <c r="U131" s="3">
        <f>React!U124</f>
        <v/>
      </c>
      <c r="V131" s="3">
        <f>React!V124</f>
        <v/>
      </c>
      <c r="W131" s="3">
        <f>React!W124</f>
        <v/>
      </c>
      <c r="X131" s="3">
        <f>React!X124</f>
        <v/>
      </c>
      <c r="Y131" s="3">
        <f>React!Y124</f>
        <v/>
      </c>
      <c r="Z131" s="3">
        <f>React!Z124</f>
        <v/>
      </c>
      <c r="AA131" s="3">
        <f>React!AA124</f>
        <v/>
      </c>
      <c r="AB131" s="3">
        <f>React!AB124</f>
        <v/>
      </c>
      <c r="AC131" s="3">
        <f>React!AC124</f>
        <v/>
      </c>
      <c r="AD131" s="3">
        <f>React!AD124</f>
        <v/>
      </c>
      <c r="AE131" s="3">
        <f>React!AE124</f>
        <v/>
      </c>
      <c r="AF131" s="3">
        <f>React!AF124</f>
        <v/>
      </c>
      <c r="AG131" s="3">
        <f>React!AG124</f>
        <v/>
      </c>
      <c r="AH131" s="3">
        <f>React!AH124</f>
        <v/>
      </c>
      <c r="AI131" s="3">
        <f>React!AI124</f>
        <v/>
      </c>
      <c r="AJ131" s="3">
        <f>React!AJ124</f>
        <v/>
      </c>
      <c r="AK131" s="3">
        <f>React!AK124</f>
        <v/>
      </c>
      <c r="AL131" s="3">
        <f>React!AL124</f>
        <v/>
      </c>
      <c r="AM131" s="3">
        <f>React!AM124</f>
        <v/>
      </c>
      <c r="AN131" s="3">
        <f>React!AN124</f>
        <v/>
      </c>
      <c r="AO131" s="3">
        <f>React!AO124</f>
        <v/>
      </c>
      <c r="AP131" s="3">
        <f>React!AP124</f>
        <v/>
      </c>
      <c r="AQ131" s="3">
        <f>React!AQ124</f>
        <v/>
      </c>
      <c r="AR131" s="3">
        <f>React!AR124</f>
        <v/>
      </c>
      <c r="AS131" s="3">
        <f>React!AS124</f>
        <v/>
      </c>
      <c r="AT131" s="3">
        <f>React!AT124</f>
        <v/>
      </c>
      <c r="AU131" s="3">
        <f>React!AU124</f>
        <v/>
      </c>
      <c r="AV131" s="3">
        <f>React!AV124</f>
        <v/>
      </c>
      <c r="AW131" s="3">
        <f>React!AW124</f>
        <v/>
      </c>
      <c r="AX131" s="3">
        <f>React!AX124</f>
        <v/>
      </c>
      <c r="AY131" s="3">
        <f>React!AY124</f>
        <v/>
      </c>
      <c r="AZ131" s="3">
        <f>React!AZ124</f>
        <v/>
      </c>
      <c r="BA131" s="3">
        <f>React!BA124</f>
        <v/>
      </c>
      <c r="BB131" s="3">
        <f>React!BB124</f>
        <v/>
      </c>
      <c r="BC131" s="3">
        <f>React!BC124</f>
        <v/>
      </c>
      <c r="BD131" s="3">
        <f>React!BD124</f>
        <v/>
      </c>
      <c r="BE131" s="3">
        <f>React!BE124</f>
        <v/>
      </c>
      <c r="BF131" s="3">
        <f>React!BF124</f>
        <v/>
      </c>
      <c r="BG131" s="3">
        <f>React!BG124</f>
        <v/>
      </c>
      <c r="BH131" s="3">
        <f>React!BH124</f>
        <v/>
      </c>
      <c r="BI131" s="3">
        <f>React!BI124</f>
        <v/>
      </c>
      <c r="BJ131" s="3">
        <f>React!BJ124</f>
        <v/>
      </c>
      <c r="BK131" s="3">
        <f>React!BK124</f>
        <v/>
      </c>
      <c r="BL131" s="3">
        <f>React!BL124</f>
        <v/>
      </c>
      <c r="BM131" s="3">
        <f>React!BM124</f>
        <v/>
      </c>
      <c r="BN131" s="3">
        <f>React!BN124</f>
        <v/>
      </c>
      <c r="BO131" s="3">
        <f>React!BO124</f>
        <v/>
      </c>
      <c r="BP131" s="3">
        <f>React!BP124</f>
        <v/>
      </c>
      <c r="BQ131" s="3">
        <f>React!BQ124</f>
        <v/>
      </c>
      <c r="BR131" s="3">
        <f>React!BR124</f>
        <v/>
      </c>
      <c r="BS131" s="3">
        <f>React!BS124</f>
        <v/>
      </c>
      <c r="BT131" s="3">
        <f>React!BT124</f>
        <v/>
      </c>
      <c r="BU131" s="3">
        <f>React!BU124</f>
        <v/>
      </c>
      <c r="BV131" s="3">
        <f>React!BV124</f>
        <v/>
      </c>
    </row>
    <row r="132">
      <c r="A132" t="inlineStr">
        <is>
          <t>churned</t>
        </is>
      </c>
      <c r="B132" t="inlineStr">
        <is>
          <t>ROW|NITRO_A</t>
        </is>
      </c>
      <c r="C132" s="3">
        <f>Legacy!C75+Paid!C73+React!C127+Params!$B$9*Adds!C195</f>
        <v/>
      </c>
      <c r="D132" s="3">
        <f>Legacy!D75+Paid!D73+React!D127+Params!$B$9*Adds!D195</f>
        <v/>
      </c>
      <c r="E132" s="3">
        <f>Legacy!E75+Paid!E73+React!E127+Params!$B$9*Adds!E195</f>
        <v/>
      </c>
      <c r="F132" s="3">
        <f>Legacy!F75+Paid!F73+React!F127+Params!$B$9*Adds!F195</f>
        <v/>
      </c>
      <c r="G132" s="3">
        <f>Legacy!G75+Paid!G73+React!G127+Params!$B$9*Adds!G195</f>
        <v/>
      </c>
      <c r="H132" s="3">
        <f>Legacy!H75+Paid!H73+React!H127+Params!$B$9*Adds!H195</f>
        <v/>
      </c>
      <c r="I132" s="3">
        <f>Legacy!I75+Paid!I73+React!I127+Params!$B$9*Adds!I195</f>
        <v/>
      </c>
      <c r="J132" s="3">
        <f>Legacy!J75+Paid!J73+React!J127+Params!$B$9*Adds!J195</f>
        <v/>
      </c>
      <c r="K132" s="3">
        <f>Legacy!K75+Paid!K73+React!K127+Params!$B$9*Adds!K195</f>
        <v/>
      </c>
      <c r="L132" s="3">
        <f>Legacy!L75+Paid!L73+React!L127+Params!$B$9*Adds!L195</f>
        <v/>
      </c>
      <c r="M132" s="3">
        <f>Legacy!M75+Paid!M73+React!M127+Params!$B$9*Adds!M195</f>
        <v/>
      </c>
      <c r="N132" s="3">
        <f>Legacy!N75+Paid!N73+React!N127+Params!$B$9*Adds!N195</f>
        <v/>
      </c>
      <c r="O132" s="3">
        <f>Legacy!O75+Paid!O73+React!O127+Params!$B$9*Adds!O195</f>
        <v/>
      </c>
      <c r="P132" s="3">
        <f>Legacy!P75+Paid!P73+React!P127+Params!$B$9*Adds!P195</f>
        <v/>
      </c>
      <c r="Q132" s="3">
        <f>Legacy!Q75+Paid!Q73+React!Q127+Params!$B$9*Adds!Q195</f>
        <v/>
      </c>
      <c r="R132" s="3">
        <f>Legacy!R75+Paid!R73+React!R127+Params!$B$9*Adds!R195</f>
        <v/>
      </c>
      <c r="S132" s="3">
        <f>Legacy!S75+Paid!S73+React!S127+Params!$B$9*Adds!S195</f>
        <v/>
      </c>
      <c r="T132" s="3">
        <f>Legacy!T75+Paid!T73+React!T127+Params!$B$9*Adds!T195</f>
        <v/>
      </c>
      <c r="U132" s="3">
        <f>Legacy!U75+Paid!U73+React!U127+Params!$B$9*Adds!U195</f>
        <v/>
      </c>
      <c r="V132" s="3">
        <f>Legacy!V75+Paid!V73+React!V127+Params!$B$9*Adds!V195</f>
        <v/>
      </c>
      <c r="W132" s="3">
        <f>Legacy!W75+Paid!W73+React!W127+Params!$B$9*Adds!W195</f>
        <v/>
      </c>
      <c r="X132" s="3">
        <f>Legacy!X75+Paid!X73+React!X127+Params!$B$9*Adds!X195</f>
        <v/>
      </c>
      <c r="Y132" s="3">
        <f>Legacy!Y75+Paid!Y73+React!Y127+Params!$B$9*Adds!Y195</f>
        <v/>
      </c>
      <c r="Z132" s="3">
        <f>Legacy!Z75+Paid!Z73+React!Z127+Params!$B$9*Adds!Z195</f>
        <v/>
      </c>
      <c r="AA132" s="3">
        <f>Legacy!AA75+Paid!AA73+React!AA127+Params!$B$9*Adds!AA195</f>
        <v/>
      </c>
      <c r="AB132" s="3">
        <f>Legacy!AB75+Paid!AB73+React!AB127+Params!$B$9*Adds!AB195</f>
        <v/>
      </c>
      <c r="AC132" s="3">
        <f>Legacy!AC75+Paid!AC73+React!AC127+Params!$B$9*Adds!AC195</f>
        <v/>
      </c>
      <c r="AD132" s="3">
        <f>Legacy!AD75+Paid!AD73+React!AD127+Params!$B$9*Adds!AD195</f>
        <v/>
      </c>
      <c r="AE132" s="3">
        <f>Legacy!AE75+Paid!AE73+React!AE127+Params!$B$9*Adds!AE195</f>
        <v/>
      </c>
      <c r="AF132" s="3">
        <f>Legacy!AF75+Paid!AF73+React!AF127+Params!$B$9*Adds!AF195</f>
        <v/>
      </c>
      <c r="AG132" s="3">
        <f>Legacy!AG75+Paid!AG73+React!AG127+Params!$B$9*Adds!AG195</f>
        <v/>
      </c>
      <c r="AH132" s="3">
        <f>Legacy!AH75+Paid!AH73+React!AH127+Params!$B$9*Adds!AH195</f>
        <v/>
      </c>
      <c r="AI132" s="3">
        <f>Legacy!AI75+Paid!AI73+React!AI127+Params!$B$9*Adds!AI195</f>
        <v/>
      </c>
      <c r="AJ132" s="3">
        <f>Legacy!AJ75+Paid!AJ73+React!AJ127+Params!$B$9*Adds!AJ195</f>
        <v/>
      </c>
      <c r="AK132" s="3">
        <f>Legacy!AK75+Paid!AK73+React!AK127+Params!$B$9*Adds!AK195</f>
        <v/>
      </c>
      <c r="AL132" s="3">
        <f>Legacy!AL75+Paid!AL73+React!AL127+Params!$B$9*Adds!AL195</f>
        <v/>
      </c>
      <c r="AM132" s="3">
        <f>Legacy!AM75+Paid!AM73+React!AM127+Params!$B$9*Adds!AM195</f>
        <v/>
      </c>
      <c r="AN132" s="3">
        <f>Legacy!AN75+Paid!AN73+React!AN127+Params!$B$9*Adds!AN195</f>
        <v/>
      </c>
      <c r="AO132" s="3">
        <f>Legacy!AO75+Paid!AO73+React!AO127+Params!$B$9*Adds!AO195</f>
        <v/>
      </c>
      <c r="AP132" s="3">
        <f>Legacy!AP75+Paid!AP73+React!AP127+Params!$B$9*Adds!AP195</f>
        <v/>
      </c>
      <c r="AQ132" s="3">
        <f>Legacy!AQ75+Paid!AQ73+React!AQ127+Params!$B$9*Adds!AQ195</f>
        <v/>
      </c>
      <c r="AR132" s="3">
        <f>Legacy!AR75+Paid!AR73+React!AR127+Params!$B$9*Adds!AR195</f>
        <v/>
      </c>
      <c r="AS132" s="3">
        <f>Legacy!AS75+Paid!AS73+React!AS127+Params!$B$9*Adds!AS195</f>
        <v/>
      </c>
      <c r="AT132" s="3">
        <f>Legacy!AT75+Paid!AT73+React!AT127+Params!$B$9*Adds!AT195</f>
        <v/>
      </c>
      <c r="AU132" s="3">
        <f>Legacy!AU75+Paid!AU73+React!AU127+Params!$B$9*Adds!AU195</f>
        <v/>
      </c>
      <c r="AV132" s="3">
        <f>Legacy!AV75+Paid!AV73+React!AV127+Params!$B$9*Adds!AV195</f>
        <v/>
      </c>
      <c r="AW132" s="3">
        <f>Legacy!AW75+Paid!AW73+React!AW127+Params!$B$9*Adds!AW195</f>
        <v/>
      </c>
      <c r="AX132" s="3">
        <f>Legacy!AX75+Paid!AX73+React!AX127+Params!$B$9*Adds!AX195</f>
        <v/>
      </c>
      <c r="AY132" s="3">
        <f>Legacy!AY75+Paid!AY73+React!AY127+Params!$B$9*Adds!AY195</f>
        <v/>
      </c>
      <c r="AZ132" s="3">
        <f>Legacy!AZ75+Paid!AZ73+React!AZ127+Params!$B$9*Adds!AZ195</f>
        <v/>
      </c>
      <c r="BA132" s="3">
        <f>Legacy!BA75+Paid!BA73+React!BA127+Params!$B$9*Adds!BA195</f>
        <v/>
      </c>
      <c r="BB132" s="3">
        <f>Legacy!BB75+Paid!BB73+React!BB127+Params!$B$9*Adds!BB195</f>
        <v/>
      </c>
      <c r="BC132" s="3">
        <f>Legacy!BC75+Paid!BC73+React!BC127+Params!$B$9*Adds!BC195</f>
        <v/>
      </c>
      <c r="BD132" s="3">
        <f>Legacy!BD75+Paid!BD73+React!BD127+Params!$B$9*Adds!BD195</f>
        <v/>
      </c>
      <c r="BE132" s="3">
        <f>Legacy!BE75+Paid!BE73+React!BE127+Params!$B$9*Adds!BE195</f>
        <v/>
      </c>
      <c r="BF132" s="3">
        <f>Legacy!BF75+Paid!BF73+React!BF127+Params!$B$9*Adds!BF195</f>
        <v/>
      </c>
      <c r="BG132" s="3">
        <f>Legacy!BG75+Paid!BG73+React!BG127+Params!$B$9*Adds!BG195</f>
        <v/>
      </c>
      <c r="BH132" s="3">
        <f>Legacy!BH75+Paid!BH73+React!BH127+Params!$B$9*Adds!BH195</f>
        <v/>
      </c>
      <c r="BI132" s="3">
        <f>Legacy!BI75+Paid!BI73+React!BI127+Params!$B$9*Adds!BI195</f>
        <v/>
      </c>
      <c r="BJ132" s="3">
        <f>Legacy!BJ75+Paid!BJ73+React!BJ127+Params!$B$9*Adds!BJ195</f>
        <v/>
      </c>
      <c r="BK132" s="3">
        <f>Legacy!BK75+Paid!BK73+React!BK127+Params!$B$9*Adds!BK195</f>
        <v/>
      </c>
      <c r="BL132" s="3">
        <f>Legacy!BL75+Paid!BL73+React!BL127+Params!$B$9*Adds!BL195</f>
        <v/>
      </c>
      <c r="BM132" s="3">
        <f>Legacy!BM75+Paid!BM73+React!BM127+Params!$B$9*Adds!BM195</f>
        <v/>
      </c>
      <c r="BN132" s="3">
        <f>Legacy!BN75+Paid!BN73+React!BN127+Params!$B$9*Adds!BN195</f>
        <v/>
      </c>
      <c r="BO132" s="3">
        <f>Legacy!BO75+Paid!BO73+React!BO127+Params!$B$9*Adds!BO195</f>
        <v/>
      </c>
      <c r="BP132" s="3">
        <f>Legacy!BP75+Paid!BP73+React!BP127+Params!$B$9*Adds!BP195</f>
        <v/>
      </c>
      <c r="BQ132" s="3">
        <f>Legacy!BQ75+Paid!BQ73+React!BQ127+Params!$B$9*Adds!BQ195</f>
        <v/>
      </c>
      <c r="BR132" s="3">
        <f>Legacy!BR75+Paid!BR73+React!BR127+Params!$B$9*Adds!BR195</f>
        <v/>
      </c>
      <c r="BS132" s="3">
        <f>Legacy!BS75+Paid!BS73+React!BS127+Params!$B$9*Adds!BS195</f>
        <v/>
      </c>
      <c r="BT132" s="3">
        <f>Legacy!BT75+Paid!BT73+React!BT127+Params!$B$9*Adds!BT195</f>
        <v/>
      </c>
      <c r="BU132" s="3">
        <f>Legacy!BU75+Paid!BU73+React!BU127+Params!$B$9*Adds!BU195</f>
        <v/>
      </c>
      <c r="BV132" s="3">
        <f>Legacy!BV75+Paid!BV73+React!BV127+Params!$B$9*Adds!BV195</f>
        <v/>
      </c>
    </row>
    <row r="133">
      <c r="A133" t="inlineStr">
        <is>
          <t>closing</t>
        </is>
      </c>
      <c r="B133" t="inlineStr">
        <is>
          <t>ROW|NITRO_A</t>
        </is>
      </c>
      <c r="C133" s="3">
        <f>C134+Params!$B$9*Adds!C198</f>
        <v/>
      </c>
      <c r="D133" s="3">
        <f>D134+Params!$B$9*Adds!D198</f>
        <v/>
      </c>
      <c r="E133" s="3">
        <f>E134+Params!$B$9*Adds!E198</f>
        <v/>
      </c>
      <c r="F133" s="3">
        <f>F134+Params!$B$9*Adds!F198</f>
        <v/>
      </c>
      <c r="G133" s="3">
        <f>G134+Params!$B$9*Adds!G198</f>
        <v/>
      </c>
      <c r="H133" s="3">
        <f>H134+Params!$B$9*Adds!H198</f>
        <v/>
      </c>
      <c r="I133" s="3">
        <f>I134+Params!$B$9*Adds!I198</f>
        <v/>
      </c>
      <c r="J133" s="3">
        <f>J134+Params!$B$9*Adds!J198</f>
        <v/>
      </c>
      <c r="K133" s="3">
        <f>K134+Params!$B$9*Adds!K198</f>
        <v/>
      </c>
      <c r="L133" s="3">
        <f>L134+Params!$B$9*Adds!L198</f>
        <v/>
      </c>
      <c r="M133" s="3">
        <f>M134+Params!$B$9*Adds!M198</f>
        <v/>
      </c>
      <c r="N133" s="3">
        <f>N134+Params!$B$9*Adds!N198</f>
        <v/>
      </c>
      <c r="O133" s="3">
        <f>O134+Params!$B$9*Adds!O198</f>
        <v/>
      </c>
      <c r="P133" s="3">
        <f>P134+Params!$B$9*Adds!P198</f>
        <v/>
      </c>
      <c r="Q133" s="3">
        <f>Q134+Params!$B$9*Adds!Q198</f>
        <v/>
      </c>
      <c r="R133" s="3">
        <f>R134+Params!$B$9*Adds!R198</f>
        <v/>
      </c>
      <c r="S133" s="3">
        <f>S134+Params!$B$9*Adds!S198</f>
        <v/>
      </c>
      <c r="T133" s="3">
        <f>T134+Params!$B$9*Adds!T198</f>
        <v/>
      </c>
      <c r="U133" s="3">
        <f>U134+Params!$B$9*Adds!U198</f>
        <v/>
      </c>
      <c r="V133" s="3">
        <f>V134+Params!$B$9*Adds!V198</f>
        <v/>
      </c>
      <c r="W133" s="3">
        <f>W134+Params!$B$9*Adds!W198</f>
        <v/>
      </c>
      <c r="X133" s="3">
        <f>X134+Params!$B$9*Adds!X198</f>
        <v/>
      </c>
      <c r="Y133" s="3">
        <f>Y134+Params!$B$9*Adds!Y198</f>
        <v/>
      </c>
      <c r="Z133" s="3">
        <f>Z134+Params!$B$9*Adds!Z198</f>
        <v/>
      </c>
      <c r="AA133" s="3">
        <f>AA134+Params!$B$9*Adds!AA198</f>
        <v/>
      </c>
      <c r="AB133" s="3">
        <f>AB134+Params!$B$9*Adds!AB198</f>
        <v/>
      </c>
      <c r="AC133" s="3">
        <f>AC134+Params!$B$9*Adds!AC198</f>
        <v/>
      </c>
      <c r="AD133" s="3">
        <f>AD134+Params!$B$9*Adds!AD198</f>
        <v/>
      </c>
      <c r="AE133" s="3">
        <f>AE134+Params!$B$9*Adds!AE198</f>
        <v/>
      </c>
      <c r="AF133" s="3">
        <f>AF134+Params!$B$9*Adds!AF198</f>
        <v/>
      </c>
      <c r="AG133" s="3">
        <f>AG134+Params!$B$9*Adds!AG198</f>
        <v/>
      </c>
      <c r="AH133" s="3">
        <f>AH134+Params!$B$9*Adds!AH198</f>
        <v/>
      </c>
      <c r="AI133" s="3">
        <f>AI134+Params!$B$9*Adds!AI198</f>
        <v/>
      </c>
      <c r="AJ133" s="3">
        <f>AJ134+Params!$B$9*Adds!AJ198</f>
        <v/>
      </c>
      <c r="AK133" s="3">
        <f>AK134+Params!$B$9*Adds!AK198</f>
        <v/>
      </c>
      <c r="AL133" s="3">
        <f>AL134+Params!$B$9*Adds!AL198</f>
        <v/>
      </c>
      <c r="AM133" s="3">
        <f>AM134+Params!$B$9*Adds!AM198</f>
        <v/>
      </c>
      <c r="AN133" s="3">
        <f>AN134+Params!$B$9*Adds!AN198</f>
        <v/>
      </c>
      <c r="AO133" s="3">
        <f>AO134+Params!$B$9*Adds!AO198</f>
        <v/>
      </c>
      <c r="AP133" s="3">
        <f>AP134+Params!$B$9*Adds!AP198</f>
        <v/>
      </c>
      <c r="AQ133" s="3">
        <f>AQ134+Params!$B$9*Adds!AQ198</f>
        <v/>
      </c>
      <c r="AR133" s="3">
        <f>AR134+Params!$B$9*Adds!AR198</f>
        <v/>
      </c>
      <c r="AS133" s="3">
        <f>AS134+Params!$B$9*Adds!AS198</f>
        <v/>
      </c>
      <c r="AT133" s="3">
        <f>AT134+Params!$B$9*Adds!AT198</f>
        <v/>
      </c>
      <c r="AU133" s="3">
        <f>AU134+Params!$B$9*Adds!AU198</f>
        <v/>
      </c>
      <c r="AV133" s="3">
        <f>AV134+Params!$B$9*Adds!AV198</f>
        <v/>
      </c>
      <c r="AW133" s="3">
        <f>AW134+Params!$B$9*Adds!AW198</f>
        <v/>
      </c>
      <c r="AX133" s="3">
        <f>AX134+Params!$B$9*Adds!AX198</f>
        <v/>
      </c>
      <c r="AY133" s="3">
        <f>AY134+Params!$B$9*Adds!AY198</f>
        <v/>
      </c>
      <c r="AZ133" s="3">
        <f>AZ134+Params!$B$9*Adds!AZ198</f>
        <v/>
      </c>
      <c r="BA133" s="3">
        <f>BA134+Params!$B$9*Adds!BA198</f>
        <v/>
      </c>
      <c r="BB133" s="3">
        <f>BB134+Params!$B$9*Adds!BB198</f>
        <v/>
      </c>
      <c r="BC133" s="3">
        <f>BC134+Params!$B$9*Adds!BC198</f>
        <v/>
      </c>
      <c r="BD133" s="3">
        <f>BD134+Params!$B$9*Adds!BD198</f>
        <v/>
      </c>
      <c r="BE133" s="3">
        <f>BE134+Params!$B$9*Adds!BE198</f>
        <v/>
      </c>
      <c r="BF133" s="3">
        <f>BF134+Params!$B$9*Adds!BF198</f>
        <v/>
      </c>
      <c r="BG133" s="3">
        <f>BG134+Params!$B$9*Adds!BG198</f>
        <v/>
      </c>
      <c r="BH133" s="3">
        <f>BH134+Params!$B$9*Adds!BH198</f>
        <v/>
      </c>
      <c r="BI133" s="3">
        <f>BI134+Params!$B$9*Adds!BI198</f>
        <v/>
      </c>
      <c r="BJ133" s="3">
        <f>BJ134+Params!$B$9*Adds!BJ198</f>
        <v/>
      </c>
      <c r="BK133" s="3">
        <f>BK134+Params!$B$9*Adds!BK198</f>
        <v/>
      </c>
      <c r="BL133" s="3">
        <f>BL134+Params!$B$9*Adds!BL198</f>
        <v/>
      </c>
      <c r="BM133" s="3">
        <f>BM134+Params!$B$9*Adds!BM198</f>
        <v/>
      </c>
      <c r="BN133" s="3">
        <f>BN134+Params!$B$9*Adds!BN198</f>
        <v/>
      </c>
      <c r="BO133" s="3">
        <f>BO134+Params!$B$9*Adds!BO198</f>
        <v/>
      </c>
      <c r="BP133" s="3">
        <f>BP134+Params!$B$9*Adds!BP198</f>
        <v/>
      </c>
      <c r="BQ133" s="3">
        <f>BQ134+Params!$B$9*Adds!BQ198</f>
        <v/>
      </c>
      <c r="BR133" s="3">
        <f>BR134+Params!$B$9*Adds!BR198</f>
        <v/>
      </c>
      <c r="BS133" s="3">
        <f>BS134+Params!$B$9*Adds!BS198</f>
        <v/>
      </c>
      <c r="BT133" s="3">
        <f>BT134+Params!$B$9*Adds!BT198</f>
        <v/>
      </c>
      <c r="BU133" s="3">
        <f>BU134+Params!$B$9*Adds!BU198</f>
        <v/>
      </c>
      <c r="BV133" s="3">
        <f>BV134+Params!$B$9*Adds!BV198</f>
        <v/>
      </c>
    </row>
    <row r="134">
      <c r="A134" t="inlineStr">
        <is>
          <t>paying</t>
        </is>
      </c>
      <c r="B134" t="inlineStr">
        <is>
          <t>ROW|NITRO_A</t>
        </is>
      </c>
      <c r="C134" s="3">
        <f>Legacy!C74+Paid!C71+React!C125</f>
        <v/>
      </c>
      <c r="D134" s="3">
        <f>Legacy!D74+Paid!D71+React!D125</f>
        <v/>
      </c>
      <c r="E134" s="3">
        <f>Legacy!E74+Paid!E71+React!E125</f>
        <v/>
      </c>
      <c r="F134" s="3">
        <f>Legacy!F74+Paid!F71+React!F125</f>
        <v/>
      </c>
      <c r="G134" s="3">
        <f>Legacy!G74+Paid!G71+React!G125</f>
        <v/>
      </c>
      <c r="H134" s="3">
        <f>Legacy!H74+Paid!H71+React!H125</f>
        <v/>
      </c>
      <c r="I134" s="3">
        <f>Legacy!I74+Paid!I71+React!I125</f>
        <v/>
      </c>
      <c r="J134" s="3">
        <f>Legacy!J74+Paid!J71+React!J125</f>
        <v/>
      </c>
      <c r="K134" s="3">
        <f>Legacy!K74+Paid!K71+React!K125</f>
        <v/>
      </c>
      <c r="L134" s="3">
        <f>Legacy!L74+Paid!L71+React!L125</f>
        <v/>
      </c>
      <c r="M134" s="3">
        <f>Legacy!M74+Paid!M71+React!M125</f>
        <v/>
      </c>
      <c r="N134" s="3">
        <f>Legacy!N74+Paid!N71+React!N125</f>
        <v/>
      </c>
      <c r="O134" s="3">
        <f>Legacy!O74+Paid!O71+React!O125</f>
        <v/>
      </c>
      <c r="P134" s="3">
        <f>Legacy!P74+Paid!P71+React!P125</f>
        <v/>
      </c>
      <c r="Q134" s="3">
        <f>Legacy!Q74+Paid!Q71+React!Q125</f>
        <v/>
      </c>
      <c r="R134" s="3">
        <f>Legacy!R74+Paid!R71+React!R125</f>
        <v/>
      </c>
      <c r="S134" s="3">
        <f>Legacy!S74+Paid!S71+React!S125</f>
        <v/>
      </c>
      <c r="T134" s="3">
        <f>Legacy!T74+Paid!T71+React!T125</f>
        <v/>
      </c>
      <c r="U134" s="3">
        <f>Legacy!U74+Paid!U71+React!U125</f>
        <v/>
      </c>
      <c r="V134" s="3">
        <f>Legacy!V74+Paid!V71+React!V125</f>
        <v/>
      </c>
      <c r="W134" s="3">
        <f>Legacy!W74+Paid!W71+React!W125</f>
        <v/>
      </c>
      <c r="X134" s="3">
        <f>Legacy!X74+Paid!X71+React!X125</f>
        <v/>
      </c>
      <c r="Y134" s="3">
        <f>Legacy!Y74+Paid!Y71+React!Y125</f>
        <v/>
      </c>
      <c r="Z134" s="3">
        <f>Legacy!Z74+Paid!Z71+React!Z125</f>
        <v/>
      </c>
      <c r="AA134" s="3">
        <f>Legacy!AA74+Paid!AA71+React!AA125</f>
        <v/>
      </c>
      <c r="AB134" s="3">
        <f>Legacy!AB74+Paid!AB71+React!AB125</f>
        <v/>
      </c>
      <c r="AC134" s="3">
        <f>Legacy!AC74+Paid!AC71+React!AC125</f>
        <v/>
      </c>
      <c r="AD134" s="3">
        <f>Legacy!AD74+Paid!AD71+React!AD125</f>
        <v/>
      </c>
      <c r="AE134" s="3">
        <f>Legacy!AE74+Paid!AE71+React!AE125</f>
        <v/>
      </c>
      <c r="AF134" s="3">
        <f>Legacy!AF74+Paid!AF71+React!AF125</f>
        <v/>
      </c>
      <c r="AG134" s="3">
        <f>Legacy!AG74+Paid!AG71+React!AG125</f>
        <v/>
      </c>
      <c r="AH134" s="3">
        <f>Legacy!AH74+Paid!AH71+React!AH125</f>
        <v/>
      </c>
      <c r="AI134" s="3">
        <f>Legacy!AI74+Paid!AI71+React!AI125</f>
        <v/>
      </c>
      <c r="AJ134" s="3">
        <f>Legacy!AJ74+Paid!AJ71+React!AJ125</f>
        <v/>
      </c>
      <c r="AK134" s="3">
        <f>Legacy!AK74+Paid!AK71+React!AK125</f>
        <v/>
      </c>
      <c r="AL134" s="3">
        <f>Legacy!AL74+Paid!AL71+React!AL125</f>
        <v/>
      </c>
      <c r="AM134" s="3">
        <f>Legacy!AM74+Paid!AM71+React!AM125</f>
        <v/>
      </c>
      <c r="AN134" s="3">
        <f>Legacy!AN74+Paid!AN71+React!AN125</f>
        <v/>
      </c>
      <c r="AO134" s="3">
        <f>Legacy!AO74+Paid!AO71+React!AO125</f>
        <v/>
      </c>
      <c r="AP134" s="3">
        <f>Legacy!AP74+Paid!AP71+React!AP125</f>
        <v/>
      </c>
      <c r="AQ134" s="3">
        <f>Legacy!AQ74+Paid!AQ71+React!AQ125</f>
        <v/>
      </c>
      <c r="AR134" s="3">
        <f>Legacy!AR74+Paid!AR71+React!AR125</f>
        <v/>
      </c>
      <c r="AS134" s="3">
        <f>Legacy!AS74+Paid!AS71+React!AS125</f>
        <v/>
      </c>
      <c r="AT134" s="3">
        <f>Legacy!AT74+Paid!AT71+React!AT125</f>
        <v/>
      </c>
      <c r="AU134" s="3">
        <f>Legacy!AU74+Paid!AU71+React!AU125</f>
        <v/>
      </c>
      <c r="AV134" s="3">
        <f>Legacy!AV74+Paid!AV71+React!AV125</f>
        <v/>
      </c>
      <c r="AW134" s="3">
        <f>Legacy!AW74+Paid!AW71+React!AW125</f>
        <v/>
      </c>
      <c r="AX134" s="3">
        <f>Legacy!AX74+Paid!AX71+React!AX125</f>
        <v/>
      </c>
      <c r="AY134" s="3">
        <f>Legacy!AY74+Paid!AY71+React!AY125</f>
        <v/>
      </c>
      <c r="AZ134" s="3">
        <f>Legacy!AZ74+Paid!AZ71+React!AZ125</f>
        <v/>
      </c>
      <c r="BA134" s="3">
        <f>Legacy!BA74+Paid!BA71+React!BA125</f>
        <v/>
      </c>
      <c r="BB134" s="3">
        <f>Legacy!BB74+Paid!BB71+React!BB125</f>
        <v/>
      </c>
      <c r="BC134" s="3">
        <f>Legacy!BC74+Paid!BC71+React!BC125</f>
        <v/>
      </c>
      <c r="BD134" s="3">
        <f>Legacy!BD74+Paid!BD71+React!BD125</f>
        <v/>
      </c>
      <c r="BE134" s="3">
        <f>Legacy!BE74+Paid!BE71+React!BE125</f>
        <v/>
      </c>
      <c r="BF134" s="3">
        <f>Legacy!BF74+Paid!BF71+React!BF125</f>
        <v/>
      </c>
      <c r="BG134" s="3">
        <f>Legacy!BG74+Paid!BG71+React!BG125</f>
        <v/>
      </c>
      <c r="BH134" s="3">
        <f>Legacy!BH74+Paid!BH71+React!BH125</f>
        <v/>
      </c>
      <c r="BI134" s="3">
        <f>Legacy!BI74+Paid!BI71+React!BI125</f>
        <v/>
      </c>
      <c r="BJ134" s="3">
        <f>Legacy!BJ74+Paid!BJ71+React!BJ125</f>
        <v/>
      </c>
      <c r="BK134" s="3">
        <f>Legacy!BK74+Paid!BK71+React!BK125</f>
        <v/>
      </c>
      <c r="BL134" s="3">
        <f>Legacy!BL74+Paid!BL71+React!BL125</f>
        <v/>
      </c>
      <c r="BM134" s="3">
        <f>Legacy!BM74+Paid!BM71+React!BM125</f>
        <v/>
      </c>
      <c r="BN134" s="3">
        <f>Legacy!BN74+Paid!BN71+React!BN125</f>
        <v/>
      </c>
      <c r="BO134" s="3">
        <f>Legacy!BO74+Paid!BO71+React!BO125</f>
        <v/>
      </c>
      <c r="BP134" s="3">
        <f>Legacy!BP74+Paid!BP71+React!BP125</f>
        <v/>
      </c>
      <c r="BQ134" s="3">
        <f>Legacy!BQ74+Paid!BQ71+React!BQ125</f>
        <v/>
      </c>
      <c r="BR134" s="3">
        <f>Legacy!BR74+Paid!BR71+React!BR125</f>
        <v/>
      </c>
      <c r="BS134" s="3">
        <f>Legacy!BS74+Paid!BS71+React!BS125</f>
        <v/>
      </c>
      <c r="BT134" s="3">
        <f>Legacy!BT74+Paid!BT71+React!BT125</f>
        <v/>
      </c>
      <c r="BU134" s="3">
        <f>Legacy!BU74+Paid!BU71+React!BU125</f>
        <v/>
      </c>
      <c r="BV134" s="3">
        <f>Legacy!BV74+Paid!BV71+React!BV125</f>
        <v/>
      </c>
    </row>
    <row r="136">
      <c r="A136" t="inlineStr">
        <is>
          <t>opening</t>
        </is>
      </c>
      <c r="B136" t="inlineStr">
        <is>
          <t>ROW|BASIC_M</t>
        </is>
      </c>
      <c r="C136" s="3">
        <f>Legacy!$C$77</f>
        <v/>
      </c>
      <c r="D136" s="3">
        <f>C140</f>
        <v/>
      </c>
      <c r="E136" s="3">
        <f>D140</f>
        <v/>
      </c>
      <c r="F136" s="3">
        <f>E140</f>
        <v/>
      </c>
      <c r="G136" s="3">
        <f>F140</f>
        <v/>
      </c>
      <c r="H136" s="3">
        <f>G140</f>
        <v/>
      </c>
      <c r="I136" s="3">
        <f>H140</f>
        <v/>
      </c>
      <c r="J136" s="3">
        <f>I140</f>
        <v/>
      </c>
      <c r="K136" s="3">
        <f>J140</f>
        <v/>
      </c>
      <c r="L136" s="3">
        <f>K140</f>
        <v/>
      </c>
      <c r="M136" s="3">
        <f>L140</f>
        <v/>
      </c>
      <c r="N136" s="3">
        <f>M140</f>
        <v/>
      </c>
      <c r="O136" s="3">
        <f>N140</f>
        <v/>
      </c>
      <c r="P136" s="3">
        <f>O140</f>
        <v/>
      </c>
      <c r="Q136" s="3">
        <f>P140</f>
        <v/>
      </c>
      <c r="R136" s="3">
        <f>Q140</f>
        <v/>
      </c>
      <c r="S136" s="3">
        <f>R140</f>
        <v/>
      </c>
      <c r="T136" s="3">
        <f>S140</f>
        <v/>
      </c>
      <c r="U136" s="3">
        <f>T140</f>
        <v/>
      </c>
      <c r="V136" s="3">
        <f>U140</f>
        <v/>
      </c>
      <c r="W136" s="3">
        <f>V140</f>
        <v/>
      </c>
      <c r="X136" s="3">
        <f>W140</f>
        <v/>
      </c>
      <c r="Y136" s="3">
        <f>X140</f>
        <v/>
      </c>
      <c r="Z136" s="3">
        <f>Y140</f>
        <v/>
      </c>
      <c r="AA136" s="3">
        <f>Z140</f>
        <v/>
      </c>
      <c r="AB136" s="3">
        <f>AA140</f>
        <v/>
      </c>
      <c r="AC136" s="3">
        <f>AB140</f>
        <v/>
      </c>
      <c r="AD136" s="3">
        <f>AC140</f>
        <v/>
      </c>
      <c r="AE136" s="3">
        <f>AD140</f>
        <v/>
      </c>
      <c r="AF136" s="3">
        <f>AE140</f>
        <v/>
      </c>
      <c r="AG136" s="3">
        <f>AF140</f>
        <v/>
      </c>
      <c r="AH136" s="3">
        <f>AG140</f>
        <v/>
      </c>
      <c r="AI136" s="3">
        <f>AH140</f>
        <v/>
      </c>
      <c r="AJ136" s="3">
        <f>AI140</f>
        <v/>
      </c>
      <c r="AK136" s="3">
        <f>AJ140</f>
        <v/>
      </c>
      <c r="AL136" s="3">
        <f>AK140</f>
        <v/>
      </c>
      <c r="AM136" s="3">
        <f>AL140</f>
        <v/>
      </c>
      <c r="AN136" s="3">
        <f>AM140</f>
        <v/>
      </c>
      <c r="AO136" s="3">
        <f>AN140</f>
        <v/>
      </c>
      <c r="AP136" s="3">
        <f>AO140</f>
        <v/>
      </c>
      <c r="AQ136" s="3">
        <f>AP140</f>
        <v/>
      </c>
      <c r="AR136" s="3">
        <f>AQ140</f>
        <v/>
      </c>
      <c r="AS136" s="3">
        <f>AR140</f>
        <v/>
      </c>
      <c r="AT136" s="3">
        <f>AS140</f>
        <v/>
      </c>
      <c r="AU136" s="3">
        <f>AT140</f>
        <v/>
      </c>
      <c r="AV136" s="3">
        <f>AU140</f>
        <v/>
      </c>
      <c r="AW136" s="3">
        <f>AV140</f>
        <v/>
      </c>
      <c r="AX136" s="3">
        <f>AW140</f>
        <v/>
      </c>
      <c r="AY136" s="3">
        <f>AX140</f>
        <v/>
      </c>
      <c r="AZ136" s="3">
        <f>AY140</f>
        <v/>
      </c>
      <c r="BA136" s="3">
        <f>AZ140</f>
        <v/>
      </c>
      <c r="BB136" s="3">
        <f>BA140</f>
        <v/>
      </c>
      <c r="BC136" s="3">
        <f>BB140</f>
        <v/>
      </c>
      <c r="BD136" s="3">
        <f>BC140</f>
        <v/>
      </c>
      <c r="BE136" s="3">
        <f>BD140</f>
        <v/>
      </c>
      <c r="BF136" s="3">
        <f>BE140</f>
        <v/>
      </c>
      <c r="BG136" s="3">
        <f>BF140</f>
        <v/>
      </c>
      <c r="BH136" s="3">
        <f>BG140</f>
        <v/>
      </c>
      <c r="BI136" s="3">
        <f>BH140</f>
        <v/>
      </c>
      <c r="BJ136" s="3">
        <f>BI140</f>
        <v/>
      </c>
      <c r="BK136" s="3">
        <f>BJ140</f>
        <v/>
      </c>
      <c r="BL136" s="3">
        <f>BK140</f>
        <v/>
      </c>
      <c r="BM136" s="3">
        <f>BL140</f>
        <v/>
      </c>
      <c r="BN136" s="3">
        <f>BM140</f>
        <v/>
      </c>
      <c r="BO136" s="3">
        <f>BN140</f>
        <v/>
      </c>
      <c r="BP136" s="3">
        <f>BO140</f>
        <v/>
      </c>
      <c r="BQ136" s="3">
        <f>BP140</f>
        <v/>
      </c>
      <c r="BR136" s="3">
        <f>BQ140</f>
        <v/>
      </c>
      <c r="BS136" s="3">
        <f>BR140</f>
        <v/>
      </c>
      <c r="BT136" s="3">
        <f>BS140</f>
        <v/>
      </c>
      <c r="BU136" s="3">
        <f>BT140</f>
        <v/>
      </c>
      <c r="BV136" s="3">
        <f>BU140</f>
        <v/>
      </c>
    </row>
    <row r="137">
      <c r="A137" t="inlineStr">
        <is>
          <t>new</t>
        </is>
      </c>
      <c r="B137" t="inlineStr">
        <is>
          <t>ROW|BASIC_M</t>
        </is>
      </c>
      <c r="C137" s="3">
        <f>Adds!C203+IF(Params!$B$9=1,Adds!C202,Adds!C205)</f>
        <v/>
      </c>
      <c r="D137" s="3">
        <f>Adds!D203+IF(Params!$B$9=1,Adds!D202,Adds!D205)</f>
        <v/>
      </c>
      <c r="E137" s="3">
        <f>Adds!E203+IF(Params!$B$9=1,Adds!E202,Adds!E205)</f>
        <v/>
      </c>
      <c r="F137" s="3">
        <f>Adds!F203+IF(Params!$B$9=1,Adds!F202,Adds!F205)</f>
        <v/>
      </c>
      <c r="G137" s="3">
        <f>Adds!G203+IF(Params!$B$9=1,Adds!G202,Adds!G205)</f>
        <v/>
      </c>
      <c r="H137" s="3">
        <f>Adds!H203+IF(Params!$B$9=1,Adds!H202,Adds!H205)</f>
        <v/>
      </c>
      <c r="I137" s="3">
        <f>Adds!I203+IF(Params!$B$9=1,Adds!I202,Adds!I205)</f>
        <v/>
      </c>
      <c r="J137" s="3">
        <f>Adds!J203+IF(Params!$B$9=1,Adds!J202,Adds!J205)</f>
        <v/>
      </c>
      <c r="K137" s="3">
        <f>Adds!K203+IF(Params!$B$9=1,Adds!K202,Adds!K205)</f>
        <v/>
      </c>
      <c r="L137" s="3">
        <f>Adds!L203+IF(Params!$B$9=1,Adds!L202,Adds!L205)</f>
        <v/>
      </c>
      <c r="M137" s="3">
        <f>Adds!M203+IF(Params!$B$9=1,Adds!M202,Adds!M205)</f>
        <v/>
      </c>
      <c r="N137" s="3">
        <f>Adds!N203+IF(Params!$B$9=1,Adds!N202,Adds!N205)</f>
        <v/>
      </c>
      <c r="O137" s="3">
        <f>Adds!O203+IF(Params!$B$9=1,Adds!O202,Adds!O205)</f>
        <v/>
      </c>
      <c r="P137" s="3">
        <f>Adds!P203+IF(Params!$B$9=1,Adds!P202,Adds!P205)</f>
        <v/>
      </c>
      <c r="Q137" s="3">
        <f>Adds!Q203+IF(Params!$B$9=1,Adds!Q202,Adds!Q205)</f>
        <v/>
      </c>
      <c r="R137" s="3">
        <f>Adds!R203+IF(Params!$B$9=1,Adds!R202,Adds!R205)</f>
        <v/>
      </c>
      <c r="S137" s="3">
        <f>Adds!S203+IF(Params!$B$9=1,Adds!S202,Adds!S205)</f>
        <v/>
      </c>
      <c r="T137" s="3">
        <f>Adds!T203+IF(Params!$B$9=1,Adds!T202,Adds!T205)</f>
        <v/>
      </c>
      <c r="U137" s="3">
        <f>Adds!U203+IF(Params!$B$9=1,Adds!U202,Adds!U205)</f>
        <v/>
      </c>
      <c r="V137" s="3">
        <f>Adds!V203+IF(Params!$B$9=1,Adds!V202,Adds!V205)</f>
        <v/>
      </c>
      <c r="W137" s="3">
        <f>Adds!W203+IF(Params!$B$9=1,Adds!W202,Adds!W205)</f>
        <v/>
      </c>
      <c r="X137" s="3">
        <f>Adds!X203+IF(Params!$B$9=1,Adds!X202,Adds!X205)</f>
        <v/>
      </c>
      <c r="Y137" s="3">
        <f>Adds!Y203+IF(Params!$B$9=1,Adds!Y202,Adds!Y205)</f>
        <v/>
      </c>
      <c r="Z137" s="3">
        <f>Adds!Z203+IF(Params!$B$9=1,Adds!Z202,Adds!Z205)</f>
        <v/>
      </c>
      <c r="AA137" s="3">
        <f>Adds!AA203+IF(Params!$B$9=1,Adds!AA202,Adds!AA205)</f>
        <v/>
      </c>
      <c r="AB137" s="3">
        <f>Adds!AB203+IF(Params!$B$9=1,Adds!AB202,Adds!AB205)</f>
        <v/>
      </c>
      <c r="AC137" s="3">
        <f>Adds!AC203+IF(Params!$B$9=1,Adds!AC202,Adds!AC205)</f>
        <v/>
      </c>
      <c r="AD137" s="3">
        <f>Adds!AD203+IF(Params!$B$9=1,Adds!AD202,Adds!AD205)</f>
        <v/>
      </c>
      <c r="AE137" s="3">
        <f>Adds!AE203+IF(Params!$B$9=1,Adds!AE202,Adds!AE205)</f>
        <v/>
      </c>
      <c r="AF137" s="3">
        <f>Adds!AF203+IF(Params!$B$9=1,Adds!AF202,Adds!AF205)</f>
        <v/>
      </c>
      <c r="AG137" s="3">
        <f>Adds!AG203+IF(Params!$B$9=1,Adds!AG202,Adds!AG205)</f>
        <v/>
      </c>
      <c r="AH137" s="3">
        <f>Adds!AH203+IF(Params!$B$9=1,Adds!AH202,Adds!AH205)</f>
        <v/>
      </c>
      <c r="AI137" s="3">
        <f>Adds!AI203+IF(Params!$B$9=1,Adds!AI202,Adds!AI205)</f>
        <v/>
      </c>
      <c r="AJ137" s="3">
        <f>Adds!AJ203+IF(Params!$B$9=1,Adds!AJ202,Adds!AJ205)</f>
        <v/>
      </c>
      <c r="AK137" s="3">
        <f>Adds!AK203+IF(Params!$B$9=1,Adds!AK202,Adds!AK205)</f>
        <v/>
      </c>
      <c r="AL137" s="3">
        <f>Adds!AL203+IF(Params!$B$9=1,Adds!AL202,Adds!AL205)</f>
        <v/>
      </c>
      <c r="AM137" s="3">
        <f>Adds!AM203+IF(Params!$B$9=1,Adds!AM202,Adds!AM205)</f>
        <v/>
      </c>
      <c r="AN137" s="3">
        <f>Adds!AN203+IF(Params!$B$9=1,Adds!AN202,Adds!AN205)</f>
        <v/>
      </c>
      <c r="AO137" s="3">
        <f>Adds!AO203+IF(Params!$B$9=1,Adds!AO202,Adds!AO205)</f>
        <v/>
      </c>
      <c r="AP137" s="3">
        <f>Adds!AP203+IF(Params!$B$9=1,Adds!AP202,Adds!AP205)</f>
        <v/>
      </c>
      <c r="AQ137" s="3">
        <f>Adds!AQ203+IF(Params!$B$9=1,Adds!AQ202,Adds!AQ205)</f>
        <v/>
      </c>
      <c r="AR137" s="3">
        <f>Adds!AR203+IF(Params!$B$9=1,Adds!AR202,Adds!AR205)</f>
        <v/>
      </c>
      <c r="AS137" s="3">
        <f>Adds!AS203+IF(Params!$B$9=1,Adds!AS202,Adds!AS205)</f>
        <v/>
      </c>
      <c r="AT137" s="3">
        <f>Adds!AT203+IF(Params!$B$9=1,Adds!AT202,Adds!AT205)</f>
        <v/>
      </c>
      <c r="AU137" s="3">
        <f>Adds!AU203+IF(Params!$B$9=1,Adds!AU202,Adds!AU205)</f>
        <v/>
      </c>
      <c r="AV137" s="3">
        <f>Adds!AV203+IF(Params!$B$9=1,Adds!AV202,Adds!AV205)</f>
        <v/>
      </c>
      <c r="AW137" s="3">
        <f>Adds!AW203+IF(Params!$B$9=1,Adds!AW202,Adds!AW205)</f>
        <v/>
      </c>
      <c r="AX137" s="3">
        <f>Adds!AX203+IF(Params!$B$9=1,Adds!AX202,Adds!AX205)</f>
        <v/>
      </c>
      <c r="AY137" s="3">
        <f>Adds!AY203+IF(Params!$B$9=1,Adds!AY202,Adds!AY205)</f>
        <v/>
      </c>
      <c r="AZ137" s="3">
        <f>Adds!AZ203+IF(Params!$B$9=1,Adds!AZ202,Adds!AZ205)</f>
        <v/>
      </c>
      <c r="BA137" s="3">
        <f>Adds!BA203+IF(Params!$B$9=1,Adds!BA202,Adds!BA205)</f>
        <v/>
      </c>
      <c r="BB137" s="3">
        <f>Adds!BB203+IF(Params!$B$9=1,Adds!BB202,Adds!BB205)</f>
        <v/>
      </c>
      <c r="BC137" s="3">
        <f>Adds!BC203+IF(Params!$B$9=1,Adds!BC202,Adds!BC205)</f>
        <v/>
      </c>
      <c r="BD137" s="3">
        <f>Adds!BD203+IF(Params!$B$9=1,Adds!BD202,Adds!BD205)</f>
        <v/>
      </c>
      <c r="BE137" s="3">
        <f>Adds!BE203+IF(Params!$B$9=1,Adds!BE202,Adds!BE205)</f>
        <v/>
      </c>
      <c r="BF137" s="3">
        <f>Adds!BF203+IF(Params!$B$9=1,Adds!BF202,Adds!BF205)</f>
        <v/>
      </c>
      <c r="BG137" s="3">
        <f>Adds!BG203+IF(Params!$B$9=1,Adds!BG202,Adds!BG205)</f>
        <v/>
      </c>
      <c r="BH137" s="3">
        <f>Adds!BH203+IF(Params!$B$9=1,Adds!BH202,Adds!BH205)</f>
        <v/>
      </c>
      <c r="BI137" s="3">
        <f>Adds!BI203+IF(Params!$B$9=1,Adds!BI202,Adds!BI205)</f>
        <v/>
      </c>
      <c r="BJ137" s="3">
        <f>Adds!BJ203+IF(Params!$B$9=1,Adds!BJ202,Adds!BJ205)</f>
        <v/>
      </c>
      <c r="BK137" s="3">
        <f>Adds!BK203+IF(Params!$B$9=1,Adds!BK202,Adds!BK205)</f>
        <v/>
      </c>
      <c r="BL137" s="3">
        <f>Adds!BL203+IF(Params!$B$9=1,Adds!BL202,Adds!BL205)</f>
        <v/>
      </c>
      <c r="BM137" s="3">
        <f>Adds!BM203+IF(Params!$B$9=1,Adds!BM202,Adds!BM205)</f>
        <v/>
      </c>
      <c r="BN137" s="3">
        <f>Adds!BN203+IF(Params!$B$9=1,Adds!BN202,Adds!BN205)</f>
        <v/>
      </c>
      <c r="BO137" s="3">
        <f>Adds!BO203+IF(Params!$B$9=1,Adds!BO202,Adds!BO205)</f>
        <v/>
      </c>
      <c r="BP137" s="3">
        <f>Adds!BP203+IF(Params!$B$9=1,Adds!BP202,Adds!BP205)</f>
        <v/>
      </c>
      <c r="BQ137" s="3">
        <f>Adds!BQ203+IF(Params!$B$9=1,Adds!BQ202,Adds!BQ205)</f>
        <v/>
      </c>
      <c r="BR137" s="3">
        <f>Adds!BR203+IF(Params!$B$9=1,Adds!BR202,Adds!BR205)</f>
        <v/>
      </c>
      <c r="BS137" s="3">
        <f>Adds!BS203+IF(Params!$B$9=1,Adds!BS202,Adds!BS205)</f>
        <v/>
      </c>
      <c r="BT137" s="3">
        <f>Adds!BT203+IF(Params!$B$9=1,Adds!BT202,Adds!BT205)</f>
        <v/>
      </c>
      <c r="BU137" s="3">
        <f>Adds!BU203+IF(Params!$B$9=1,Adds!BU202,Adds!BU205)</f>
        <v/>
      </c>
      <c r="BV137" s="3">
        <f>Adds!BV203+IF(Params!$B$9=1,Adds!BV202,Adds!BV205)</f>
        <v/>
      </c>
    </row>
    <row r="138">
      <c r="A138" t="inlineStr">
        <is>
          <t>reactivated</t>
        </is>
      </c>
      <c r="B138" t="inlineStr">
        <is>
          <t>ROW|BASIC_M</t>
        </is>
      </c>
      <c r="C138" s="3">
        <f>React!C131</f>
        <v/>
      </c>
      <c r="D138" s="3">
        <f>React!D131</f>
        <v/>
      </c>
      <c r="E138" s="3">
        <f>React!E131</f>
        <v/>
      </c>
      <c r="F138" s="3">
        <f>React!F131</f>
        <v/>
      </c>
      <c r="G138" s="3">
        <f>React!G131</f>
        <v/>
      </c>
      <c r="H138" s="3">
        <f>React!H131</f>
        <v/>
      </c>
      <c r="I138" s="3">
        <f>React!I131</f>
        <v/>
      </c>
      <c r="J138" s="3">
        <f>React!J131</f>
        <v/>
      </c>
      <c r="K138" s="3">
        <f>React!K131</f>
        <v/>
      </c>
      <c r="L138" s="3">
        <f>React!L131</f>
        <v/>
      </c>
      <c r="M138" s="3">
        <f>React!M131</f>
        <v/>
      </c>
      <c r="N138" s="3">
        <f>React!N131</f>
        <v/>
      </c>
      <c r="O138" s="3">
        <f>React!O131</f>
        <v/>
      </c>
      <c r="P138" s="3">
        <f>React!P131</f>
        <v/>
      </c>
      <c r="Q138" s="3">
        <f>React!Q131</f>
        <v/>
      </c>
      <c r="R138" s="3">
        <f>React!R131</f>
        <v/>
      </c>
      <c r="S138" s="3">
        <f>React!S131</f>
        <v/>
      </c>
      <c r="T138" s="3">
        <f>React!T131</f>
        <v/>
      </c>
      <c r="U138" s="3">
        <f>React!U131</f>
        <v/>
      </c>
      <c r="V138" s="3">
        <f>React!V131</f>
        <v/>
      </c>
      <c r="W138" s="3">
        <f>React!W131</f>
        <v/>
      </c>
      <c r="X138" s="3">
        <f>React!X131</f>
        <v/>
      </c>
      <c r="Y138" s="3">
        <f>React!Y131</f>
        <v/>
      </c>
      <c r="Z138" s="3">
        <f>React!Z131</f>
        <v/>
      </c>
      <c r="AA138" s="3">
        <f>React!AA131</f>
        <v/>
      </c>
      <c r="AB138" s="3">
        <f>React!AB131</f>
        <v/>
      </c>
      <c r="AC138" s="3">
        <f>React!AC131</f>
        <v/>
      </c>
      <c r="AD138" s="3">
        <f>React!AD131</f>
        <v/>
      </c>
      <c r="AE138" s="3">
        <f>React!AE131</f>
        <v/>
      </c>
      <c r="AF138" s="3">
        <f>React!AF131</f>
        <v/>
      </c>
      <c r="AG138" s="3">
        <f>React!AG131</f>
        <v/>
      </c>
      <c r="AH138" s="3">
        <f>React!AH131</f>
        <v/>
      </c>
      <c r="AI138" s="3">
        <f>React!AI131</f>
        <v/>
      </c>
      <c r="AJ138" s="3">
        <f>React!AJ131</f>
        <v/>
      </c>
      <c r="AK138" s="3">
        <f>React!AK131</f>
        <v/>
      </c>
      <c r="AL138" s="3">
        <f>React!AL131</f>
        <v/>
      </c>
      <c r="AM138" s="3">
        <f>React!AM131</f>
        <v/>
      </c>
      <c r="AN138" s="3">
        <f>React!AN131</f>
        <v/>
      </c>
      <c r="AO138" s="3">
        <f>React!AO131</f>
        <v/>
      </c>
      <c r="AP138" s="3">
        <f>React!AP131</f>
        <v/>
      </c>
      <c r="AQ138" s="3">
        <f>React!AQ131</f>
        <v/>
      </c>
      <c r="AR138" s="3">
        <f>React!AR131</f>
        <v/>
      </c>
      <c r="AS138" s="3">
        <f>React!AS131</f>
        <v/>
      </c>
      <c r="AT138" s="3">
        <f>React!AT131</f>
        <v/>
      </c>
      <c r="AU138" s="3">
        <f>React!AU131</f>
        <v/>
      </c>
      <c r="AV138" s="3">
        <f>React!AV131</f>
        <v/>
      </c>
      <c r="AW138" s="3">
        <f>React!AW131</f>
        <v/>
      </c>
      <c r="AX138" s="3">
        <f>React!AX131</f>
        <v/>
      </c>
      <c r="AY138" s="3">
        <f>React!AY131</f>
        <v/>
      </c>
      <c r="AZ138" s="3">
        <f>React!AZ131</f>
        <v/>
      </c>
      <c r="BA138" s="3">
        <f>React!BA131</f>
        <v/>
      </c>
      <c r="BB138" s="3">
        <f>React!BB131</f>
        <v/>
      </c>
      <c r="BC138" s="3">
        <f>React!BC131</f>
        <v/>
      </c>
      <c r="BD138" s="3">
        <f>React!BD131</f>
        <v/>
      </c>
      <c r="BE138" s="3">
        <f>React!BE131</f>
        <v/>
      </c>
      <c r="BF138" s="3">
        <f>React!BF131</f>
        <v/>
      </c>
      <c r="BG138" s="3">
        <f>React!BG131</f>
        <v/>
      </c>
      <c r="BH138" s="3">
        <f>React!BH131</f>
        <v/>
      </c>
      <c r="BI138" s="3">
        <f>React!BI131</f>
        <v/>
      </c>
      <c r="BJ138" s="3">
        <f>React!BJ131</f>
        <v/>
      </c>
      <c r="BK138" s="3">
        <f>React!BK131</f>
        <v/>
      </c>
      <c r="BL138" s="3">
        <f>React!BL131</f>
        <v/>
      </c>
      <c r="BM138" s="3">
        <f>React!BM131</f>
        <v/>
      </c>
      <c r="BN138" s="3">
        <f>React!BN131</f>
        <v/>
      </c>
      <c r="BO138" s="3">
        <f>React!BO131</f>
        <v/>
      </c>
      <c r="BP138" s="3">
        <f>React!BP131</f>
        <v/>
      </c>
      <c r="BQ138" s="3">
        <f>React!BQ131</f>
        <v/>
      </c>
      <c r="BR138" s="3">
        <f>React!BR131</f>
        <v/>
      </c>
      <c r="BS138" s="3">
        <f>React!BS131</f>
        <v/>
      </c>
      <c r="BT138" s="3">
        <f>React!BT131</f>
        <v/>
      </c>
      <c r="BU138" s="3">
        <f>React!BU131</f>
        <v/>
      </c>
      <c r="BV138" s="3">
        <f>React!BV131</f>
        <v/>
      </c>
    </row>
    <row r="139">
      <c r="A139" t="inlineStr">
        <is>
          <t>churned</t>
        </is>
      </c>
      <c r="B139" t="inlineStr">
        <is>
          <t>ROW|BASIC_M</t>
        </is>
      </c>
      <c r="C139" s="3">
        <f>Legacy!C79+Paid!C77+React!C134+Params!$B$9*Adds!C206</f>
        <v/>
      </c>
      <c r="D139" s="3">
        <f>Legacy!D79+Paid!D77+React!D134+Params!$B$9*Adds!D206</f>
        <v/>
      </c>
      <c r="E139" s="3">
        <f>Legacy!E79+Paid!E77+React!E134+Params!$B$9*Adds!E206</f>
        <v/>
      </c>
      <c r="F139" s="3">
        <f>Legacy!F79+Paid!F77+React!F134+Params!$B$9*Adds!F206</f>
        <v/>
      </c>
      <c r="G139" s="3">
        <f>Legacy!G79+Paid!G77+React!G134+Params!$B$9*Adds!G206</f>
        <v/>
      </c>
      <c r="H139" s="3">
        <f>Legacy!H79+Paid!H77+React!H134+Params!$B$9*Adds!H206</f>
        <v/>
      </c>
      <c r="I139" s="3">
        <f>Legacy!I79+Paid!I77+React!I134+Params!$B$9*Adds!I206</f>
        <v/>
      </c>
      <c r="J139" s="3">
        <f>Legacy!J79+Paid!J77+React!J134+Params!$B$9*Adds!J206</f>
        <v/>
      </c>
      <c r="K139" s="3">
        <f>Legacy!K79+Paid!K77+React!K134+Params!$B$9*Adds!K206</f>
        <v/>
      </c>
      <c r="L139" s="3">
        <f>Legacy!L79+Paid!L77+React!L134+Params!$B$9*Adds!L206</f>
        <v/>
      </c>
      <c r="M139" s="3">
        <f>Legacy!M79+Paid!M77+React!M134+Params!$B$9*Adds!M206</f>
        <v/>
      </c>
      <c r="N139" s="3">
        <f>Legacy!N79+Paid!N77+React!N134+Params!$B$9*Adds!N206</f>
        <v/>
      </c>
      <c r="O139" s="3">
        <f>Legacy!O79+Paid!O77+React!O134+Params!$B$9*Adds!O206</f>
        <v/>
      </c>
      <c r="P139" s="3">
        <f>Legacy!P79+Paid!P77+React!P134+Params!$B$9*Adds!P206</f>
        <v/>
      </c>
      <c r="Q139" s="3">
        <f>Legacy!Q79+Paid!Q77+React!Q134+Params!$B$9*Adds!Q206</f>
        <v/>
      </c>
      <c r="R139" s="3">
        <f>Legacy!R79+Paid!R77+React!R134+Params!$B$9*Adds!R206</f>
        <v/>
      </c>
      <c r="S139" s="3">
        <f>Legacy!S79+Paid!S77+React!S134+Params!$B$9*Adds!S206</f>
        <v/>
      </c>
      <c r="T139" s="3">
        <f>Legacy!T79+Paid!T77+React!T134+Params!$B$9*Adds!T206</f>
        <v/>
      </c>
      <c r="U139" s="3">
        <f>Legacy!U79+Paid!U77+React!U134+Params!$B$9*Adds!U206</f>
        <v/>
      </c>
      <c r="V139" s="3">
        <f>Legacy!V79+Paid!V77+React!V134+Params!$B$9*Adds!V206</f>
        <v/>
      </c>
      <c r="W139" s="3">
        <f>Legacy!W79+Paid!W77+React!W134+Params!$B$9*Adds!W206</f>
        <v/>
      </c>
      <c r="X139" s="3">
        <f>Legacy!X79+Paid!X77+React!X134+Params!$B$9*Adds!X206</f>
        <v/>
      </c>
      <c r="Y139" s="3">
        <f>Legacy!Y79+Paid!Y77+React!Y134+Params!$B$9*Adds!Y206</f>
        <v/>
      </c>
      <c r="Z139" s="3">
        <f>Legacy!Z79+Paid!Z77+React!Z134+Params!$B$9*Adds!Z206</f>
        <v/>
      </c>
      <c r="AA139" s="3">
        <f>Legacy!AA79+Paid!AA77+React!AA134+Params!$B$9*Adds!AA206</f>
        <v/>
      </c>
      <c r="AB139" s="3">
        <f>Legacy!AB79+Paid!AB77+React!AB134+Params!$B$9*Adds!AB206</f>
        <v/>
      </c>
      <c r="AC139" s="3">
        <f>Legacy!AC79+Paid!AC77+React!AC134+Params!$B$9*Adds!AC206</f>
        <v/>
      </c>
      <c r="AD139" s="3">
        <f>Legacy!AD79+Paid!AD77+React!AD134+Params!$B$9*Adds!AD206</f>
        <v/>
      </c>
      <c r="AE139" s="3">
        <f>Legacy!AE79+Paid!AE77+React!AE134+Params!$B$9*Adds!AE206</f>
        <v/>
      </c>
      <c r="AF139" s="3">
        <f>Legacy!AF79+Paid!AF77+React!AF134+Params!$B$9*Adds!AF206</f>
        <v/>
      </c>
      <c r="AG139" s="3">
        <f>Legacy!AG79+Paid!AG77+React!AG134+Params!$B$9*Adds!AG206</f>
        <v/>
      </c>
      <c r="AH139" s="3">
        <f>Legacy!AH79+Paid!AH77+React!AH134+Params!$B$9*Adds!AH206</f>
        <v/>
      </c>
      <c r="AI139" s="3">
        <f>Legacy!AI79+Paid!AI77+React!AI134+Params!$B$9*Adds!AI206</f>
        <v/>
      </c>
      <c r="AJ139" s="3">
        <f>Legacy!AJ79+Paid!AJ77+React!AJ134+Params!$B$9*Adds!AJ206</f>
        <v/>
      </c>
      <c r="AK139" s="3">
        <f>Legacy!AK79+Paid!AK77+React!AK134+Params!$B$9*Adds!AK206</f>
        <v/>
      </c>
      <c r="AL139" s="3">
        <f>Legacy!AL79+Paid!AL77+React!AL134+Params!$B$9*Adds!AL206</f>
        <v/>
      </c>
      <c r="AM139" s="3">
        <f>Legacy!AM79+Paid!AM77+React!AM134+Params!$B$9*Adds!AM206</f>
        <v/>
      </c>
      <c r="AN139" s="3">
        <f>Legacy!AN79+Paid!AN77+React!AN134+Params!$B$9*Adds!AN206</f>
        <v/>
      </c>
      <c r="AO139" s="3">
        <f>Legacy!AO79+Paid!AO77+React!AO134+Params!$B$9*Adds!AO206</f>
        <v/>
      </c>
      <c r="AP139" s="3">
        <f>Legacy!AP79+Paid!AP77+React!AP134+Params!$B$9*Adds!AP206</f>
        <v/>
      </c>
      <c r="AQ139" s="3">
        <f>Legacy!AQ79+Paid!AQ77+React!AQ134+Params!$B$9*Adds!AQ206</f>
        <v/>
      </c>
      <c r="AR139" s="3">
        <f>Legacy!AR79+Paid!AR77+React!AR134+Params!$B$9*Adds!AR206</f>
        <v/>
      </c>
      <c r="AS139" s="3">
        <f>Legacy!AS79+Paid!AS77+React!AS134+Params!$B$9*Adds!AS206</f>
        <v/>
      </c>
      <c r="AT139" s="3">
        <f>Legacy!AT79+Paid!AT77+React!AT134+Params!$B$9*Adds!AT206</f>
        <v/>
      </c>
      <c r="AU139" s="3">
        <f>Legacy!AU79+Paid!AU77+React!AU134+Params!$B$9*Adds!AU206</f>
        <v/>
      </c>
      <c r="AV139" s="3">
        <f>Legacy!AV79+Paid!AV77+React!AV134+Params!$B$9*Adds!AV206</f>
        <v/>
      </c>
      <c r="AW139" s="3">
        <f>Legacy!AW79+Paid!AW77+React!AW134+Params!$B$9*Adds!AW206</f>
        <v/>
      </c>
      <c r="AX139" s="3">
        <f>Legacy!AX79+Paid!AX77+React!AX134+Params!$B$9*Adds!AX206</f>
        <v/>
      </c>
      <c r="AY139" s="3">
        <f>Legacy!AY79+Paid!AY77+React!AY134+Params!$B$9*Adds!AY206</f>
        <v/>
      </c>
      <c r="AZ139" s="3">
        <f>Legacy!AZ79+Paid!AZ77+React!AZ134+Params!$B$9*Adds!AZ206</f>
        <v/>
      </c>
      <c r="BA139" s="3">
        <f>Legacy!BA79+Paid!BA77+React!BA134+Params!$B$9*Adds!BA206</f>
        <v/>
      </c>
      <c r="BB139" s="3">
        <f>Legacy!BB79+Paid!BB77+React!BB134+Params!$B$9*Adds!BB206</f>
        <v/>
      </c>
      <c r="BC139" s="3">
        <f>Legacy!BC79+Paid!BC77+React!BC134+Params!$B$9*Adds!BC206</f>
        <v/>
      </c>
      <c r="BD139" s="3">
        <f>Legacy!BD79+Paid!BD77+React!BD134+Params!$B$9*Adds!BD206</f>
        <v/>
      </c>
      <c r="BE139" s="3">
        <f>Legacy!BE79+Paid!BE77+React!BE134+Params!$B$9*Adds!BE206</f>
        <v/>
      </c>
      <c r="BF139" s="3">
        <f>Legacy!BF79+Paid!BF77+React!BF134+Params!$B$9*Adds!BF206</f>
        <v/>
      </c>
      <c r="BG139" s="3">
        <f>Legacy!BG79+Paid!BG77+React!BG134+Params!$B$9*Adds!BG206</f>
        <v/>
      </c>
      <c r="BH139" s="3">
        <f>Legacy!BH79+Paid!BH77+React!BH134+Params!$B$9*Adds!BH206</f>
        <v/>
      </c>
      <c r="BI139" s="3">
        <f>Legacy!BI79+Paid!BI77+React!BI134+Params!$B$9*Adds!BI206</f>
        <v/>
      </c>
      <c r="BJ139" s="3">
        <f>Legacy!BJ79+Paid!BJ77+React!BJ134+Params!$B$9*Adds!BJ206</f>
        <v/>
      </c>
      <c r="BK139" s="3">
        <f>Legacy!BK79+Paid!BK77+React!BK134+Params!$B$9*Adds!BK206</f>
        <v/>
      </c>
      <c r="BL139" s="3">
        <f>Legacy!BL79+Paid!BL77+React!BL134+Params!$B$9*Adds!BL206</f>
        <v/>
      </c>
      <c r="BM139" s="3">
        <f>Legacy!BM79+Paid!BM77+React!BM134+Params!$B$9*Adds!BM206</f>
        <v/>
      </c>
      <c r="BN139" s="3">
        <f>Legacy!BN79+Paid!BN77+React!BN134+Params!$B$9*Adds!BN206</f>
        <v/>
      </c>
      <c r="BO139" s="3">
        <f>Legacy!BO79+Paid!BO77+React!BO134+Params!$B$9*Adds!BO206</f>
        <v/>
      </c>
      <c r="BP139" s="3">
        <f>Legacy!BP79+Paid!BP77+React!BP134+Params!$B$9*Adds!BP206</f>
        <v/>
      </c>
      <c r="BQ139" s="3">
        <f>Legacy!BQ79+Paid!BQ77+React!BQ134+Params!$B$9*Adds!BQ206</f>
        <v/>
      </c>
      <c r="BR139" s="3">
        <f>Legacy!BR79+Paid!BR77+React!BR134+Params!$B$9*Adds!BR206</f>
        <v/>
      </c>
      <c r="BS139" s="3">
        <f>Legacy!BS79+Paid!BS77+React!BS134+Params!$B$9*Adds!BS206</f>
        <v/>
      </c>
      <c r="BT139" s="3">
        <f>Legacy!BT79+Paid!BT77+React!BT134+Params!$B$9*Adds!BT206</f>
        <v/>
      </c>
      <c r="BU139" s="3">
        <f>Legacy!BU79+Paid!BU77+React!BU134+Params!$B$9*Adds!BU206</f>
        <v/>
      </c>
      <c r="BV139" s="3">
        <f>Legacy!BV79+Paid!BV77+React!BV134+Params!$B$9*Adds!BV206</f>
        <v/>
      </c>
    </row>
    <row r="140">
      <c r="A140" t="inlineStr">
        <is>
          <t>closing</t>
        </is>
      </c>
      <c r="B140" t="inlineStr">
        <is>
          <t>ROW|BASIC_M</t>
        </is>
      </c>
      <c r="C140" s="3">
        <f>C141+Params!$B$9*Adds!C209</f>
        <v/>
      </c>
      <c r="D140" s="3">
        <f>D141+Params!$B$9*Adds!D209</f>
        <v/>
      </c>
      <c r="E140" s="3">
        <f>E141+Params!$B$9*Adds!E209</f>
        <v/>
      </c>
      <c r="F140" s="3">
        <f>F141+Params!$B$9*Adds!F209</f>
        <v/>
      </c>
      <c r="G140" s="3">
        <f>G141+Params!$B$9*Adds!G209</f>
        <v/>
      </c>
      <c r="H140" s="3">
        <f>H141+Params!$B$9*Adds!H209</f>
        <v/>
      </c>
      <c r="I140" s="3">
        <f>I141+Params!$B$9*Adds!I209</f>
        <v/>
      </c>
      <c r="J140" s="3">
        <f>J141+Params!$B$9*Adds!J209</f>
        <v/>
      </c>
      <c r="K140" s="3">
        <f>K141+Params!$B$9*Adds!K209</f>
        <v/>
      </c>
      <c r="L140" s="3">
        <f>L141+Params!$B$9*Adds!L209</f>
        <v/>
      </c>
      <c r="M140" s="3">
        <f>M141+Params!$B$9*Adds!M209</f>
        <v/>
      </c>
      <c r="N140" s="3">
        <f>N141+Params!$B$9*Adds!N209</f>
        <v/>
      </c>
      <c r="O140" s="3">
        <f>O141+Params!$B$9*Adds!O209</f>
        <v/>
      </c>
      <c r="P140" s="3">
        <f>P141+Params!$B$9*Adds!P209</f>
        <v/>
      </c>
      <c r="Q140" s="3">
        <f>Q141+Params!$B$9*Adds!Q209</f>
        <v/>
      </c>
      <c r="R140" s="3">
        <f>R141+Params!$B$9*Adds!R209</f>
        <v/>
      </c>
      <c r="S140" s="3">
        <f>S141+Params!$B$9*Adds!S209</f>
        <v/>
      </c>
      <c r="T140" s="3">
        <f>T141+Params!$B$9*Adds!T209</f>
        <v/>
      </c>
      <c r="U140" s="3">
        <f>U141+Params!$B$9*Adds!U209</f>
        <v/>
      </c>
      <c r="V140" s="3">
        <f>V141+Params!$B$9*Adds!V209</f>
        <v/>
      </c>
      <c r="W140" s="3">
        <f>W141+Params!$B$9*Adds!W209</f>
        <v/>
      </c>
      <c r="X140" s="3">
        <f>X141+Params!$B$9*Adds!X209</f>
        <v/>
      </c>
      <c r="Y140" s="3">
        <f>Y141+Params!$B$9*Adds!Y209</f>
        <v/>
      </c>
      <c r="Z140" s="3">
        <f>Z141+Params!$B$9*Adds!Z209</f>
        <v/>
      </c>
      <c r="AA140" s="3">
        <f>AA141+Params!$B$9*Adds!AA209</f>
        <v/>
      </c>
      <c r="AB140" s="3">
        <f>AB141+Params!$B$9*Adds!AB209</f>
        <v/>
      </c>
      <c r="AC140" s="3">
        <f>AC141+Params!$B$9*Adds!AC209</f>
        <v/>
      </c>
      <c r="AD140" s="3">
        <f>AD141+Params!$B$9*Adds!AD209</f>
        <v/>
      </c>
      <c r="AE140" s="3">
        <f>AE141+Params!$B$9*Adds!AE209</f>
        <v/>
      </c>
      <c r="AF140" s="3">
        <f>AF141+Params!$B$9*Adds!AF209</f>
        <v/>
      </c>
      <c r="AG140" s="3">
        <f>AG141+Params!$B$9*Adds!AG209</f>
        <v/>
      </c>
      <c r="AH140" s="3">
        <f>AH141+Params!$B$9*Adds!AH209</f>
        <v/>
      </c>
      <c r="AI140" s="3">
        <f>AI141+Params!$B$9*Adds!AI209</f>
        <v/>
      </c>
      <c r="AJ140" s="3">
        <f>AJ141+Params!$B$9*Adds!AJ209</f>
        <v/>
      </c>
      <c r="AK140" s="3">
        <f>AK141+Params!$B$9*Adds!AK209</f>
        <v/>
      </c>
      <c r="AL140" s="3">
        <f>AL141+Params!$B$9*Adds!AL209</f>
        <v/>
      </c>
      <c r="AM140" s="3">
        <f>AM141+Params!$B$9*Adds!AM209</f>
        <v/>
      </c>
      <c r="AN140" s="3">
        <f>AN141+Params!$B$9*Adds!AN209</f>
        <v/>
      </c>
      <c r="AO140" s="3">
        <f>AO141+Params!$B$9*Adds!AO209</f>
        <v/>
      </c>
      <c r="AP140" s="3">
        <f>AP141+Params!$B$9*Adds!AP209</f>
        <v/>
      </c>
      <c r="AQ140" s="3">
        <f>AQ141+Params!$B$9*Adds!AQ209</f>
        <v/>
      </c>
      <c r="AR140" s="3">
        <f>AR141+Params!$B$9*Adds!AR209</f>
        <v/>
      </c>
      <c r="AS140" s="3">
        <f>AS141+Params!$B$9*Adds!AS209</f>
        <v/>
      </c>
      <c r="AT140" s="3">
        <f>AT141+Params!$B$9*Adds!AT209</f>
        <v/>
      </c>
      <c r="AU140" s="3">
        <f>AU141+Params!$B$9*Adds!AU209</f>
        <v/>
      </c>
      <c r="AV140" s="3">
        <f>AV141+Params!$B$9*Adds!AV209</f>
        <v/>
      </c>
      <c r="AW140" s="3">
        <f>AW141+Params!$B$9*Adds!AW209</f>
        <v/>
      </c>
      <c r="AX140" s="3">
        <f>AX141+Params!$B$9*Adds!AX209</f>
        <v/>
      </c>
      <c r="AY140" s="3">
        <f>AY141+Params!$B$9*Adds!AY209</f>
        <v/>
      </c>
      <c r="AZ140" s="3">
        <f>AZ141+Params!$B$9*Adds!AZ209</f>
        <v/>
      </c>
      <c r="BA140" s="3">
        <f>BA141+Params!$B$9*Adds!BA209</f>
        <v/>
      </c>
      <c r="BB140" s="3">
        <f>BB141+Params!$B$9*Adds!BB209</f>
        <v/>
      </c>
      <c r="BC140" s="3">
        <f>BC141+Params!$B$9*Adds!BC209</f>
        <v/>
      </c>
      <c r="BD140" s="3">
        <f>BD141+Params!$B$9*Adds!BD209</f>
        <v/>
      </c>
      <c r="BE140" s="3">
        <f>BE141+Params!$B$9*Adds!BE209</f>
        <v/>
      </c>
      <c r="BF140" s="3">
        <f>BF141+Params!$B$9*Adds!BF209</f>
        <v/>
      </c>
      <c r="BG140" s="3">
        <f>BG141+Params!$B$9*Adds!BG209</f>
        <v/>
      </c>
      <c r="BH140" s="3">
        <f>BH141+Params!$B$9*Adds!BH209</f>
        <v/>
      </c>
      <c r="BI140" s="3">
        <f>BI141+Params!$B$9*Adds!BI209</f>
        <v/>
      </c>
      <c r="BJ140" s="3">
        <f>BJ141+Params!$B$9*Adds!BJ209</f>
        <v/>
      </c>
      <c r="BK140" s="3">
        <f>BK141+Params!$B$9*Adds!BK209</f>
        <v/>
      </c>
      <c r="BL140" s="3">
        <f>BL141+Params!$B$9*Adds!BL209</f>
        <v/>
      </c>
      <c r="BM140" s="3">
        <f>BM141+Params!$B$9*Adds!BM209</f>
        <v/>
      </c>
      <c r="BN140" s="3">
        <f>BN141+Params!$B$9*Adds!BN209</f>
        <v/>
      </c>
      <c r="BO140" s="3">
        <f>BO141+Params!$B$9*Adds!BO209</f>
        <v/>
      </c>
      <c r="BP140" s="3">
        <f>BP141+Params!$B$9*Adds!BP209</f>
        <v/>
      </c>
      <c r="BQ140" s="3">
        <f>BQ141+Params!$B$9*Adds!BQ209</f>
        <v/>
      </c>
      <c r="BR140" s="3">
        <f>BR141+Params!$B$9*Adds!BR209</f>
        <v/>
      </c>
      <c r="BS140" s="3">
        <f>BS141+Params!$B$9*Adds!BS209</f>
        <v/>
      </c>
      <c r="BT140" s="3">
        <f>BT141+Params!$B$9*Adds!BT209</f>
        <v/>
      </c>
      <c r="BU140" s="3">
        <f>BU141+Params!$B$9*Adds!BU209</f>
        <v/>
      </c>
      <c r="BV140" s="3">
        <f>BV141+Params!$B$9*Adds!BV209</f>
        <v/>
      </c>
    </row>
    <row r="141">
      <c r="A141" t="inlineStr">
        <is>
          <t>paying</t>
        </is>
      </c>
      <c r="B141" t="inlineStr">
        <is>
          <t>ROW|BASIC_M</t>
        </is>
      </c>
      <c r="C141" s="3">
        <f>Legacy!C78+Paid!C75+React!C132</f>
        <v/>
      </c>
      <c r="D141" s="3">
        <f>Legacy!D78+Paid!D75+React!D132</f>
        <v/>
      </c>
      <c r="E141" s="3">
        <f>Legacy!E78+Paid!E75+React!E132</f>
        <v/>
      </c>
      <c r="F141" s="3">
        <f>Legacy!F78+Paid!F75+React!F132</f>
        <v/>
      </c>
      <c r="G141" s="3">
        <f>Legacy!G78+Paid!G75+React!G132</f>
        <v/>
      </c>
      <c r="H141" s="3">
        <f>Legacy!H78+Paid!H75+React!H132</f>
        <v/>
      </c>
      <c r="I141" s="3">
        <f>Legacy!I78+Paid!I75+React!I132</f>
        <v/>
      </c>
      <c r="J141" s="3">
        <f>Legacy!J78+Paid!J75+React!J132</f>
        <v/>
      </c>
      <c r="K141" s="3">
        <f>Legacy!K78+Paid!K75+React!K132</f>
        <v/>
      </c>
      <c r="L141" s="3">
        <f>Legacy!L78+Paid!L75+React!L132</f>
        <v/>
      </c>
      <c r="M141" s="3">
        <f>Legacy!M78+Paid!M75+React!M132</f>
        <v/>
      </c>
      <c r="N141" s="3">
        <f>Legacy!N78+Paid!N75+React!N132</f>
        <v/>
      </c>
      <c r="O141" s="3">
        <f>Legacy!O78+Paid!O75+React!O132</f>
        <v/>
      </c>
      <c r="P141" s="3">
        <f>Legacy!P78+Paid!P75+React!P132</f>
        <v/>
      </c>
      <c r="Q141" s="3">
        <f>Legacy!Q78+Paid!Q75+React!Q132</f>
        <v/>
      </c>
      <c r="R141" s="3">
        <f>Legacy!R78+Paid!R75+React!R132</f>
        <v/>
      </c>
      <c r="S141" s="3">
        <f>Legacy!S78+Paid!S75+React!S132</f>
        <v/>
      </c>
      <c r="T141" s="3">
        <f>Legacy!T78+Paid!T75+React!T132</f>
        <v/>
      </c>
      <c r="U141" s="3">
        <f>Legacy!U78+Paid!U75+React!U132</f>
        <v/>
      </c>
      <c r="V141" s="3">
        <f>Legacy!V78+Paid!V75+React!V132</f>
        <v/>
      </c>
      <c r="W141" s="3">
        <f>Legacy!W78+Paid!W75+React!W132</f>
        <v/>
      </c>
      <c r="X141" s="3">
        <f>Legacy!X78+Paid!X75+React!X132</f>
        <v/>
      </c>
      <c r="Y141" s="3">
        <f>Legacy!Y78+Paid!Y75+React!Y132</f>
        <v/>
      </c>
      <c r="Z141" s="3">
        <f>Legacy!Z78+Paid!Z75+React!Z132</f>
        <v/>
      </c>
      <c r="AA141" s="3">
        <f>Legacy!AA78+Paid!AA75+React!AA132</f>
        <v/>
      </c>
      <c r="AB141" s="3">
        <f>Legacy!AB78+Paid!AB75+React!AB132</f>
        <v/>
      </c>
      <c r="AC141" s="3">
        <f>Legacy!AC78+Paid!AC75+React!AC132</f>
        <v/>
      </c>
      <c r="AD141" s="3">
        <f>Legacy!AD78+Paid!AD75+React!AD132</f>
        <v/>
      </c>
      <c r="AE141" s="3">
        <f>Legacy!AE78+Paid!AE75+React!AE132</f>
        <v/>
      </c>
      <c r="AF141" s="3">
        <f>Legacy!AF78+Paid!AF75+React!AF132</f>
        <v/>
      </c>
      <c r="AG141" s="3">
        <f>Legacy!AG78+Paid!AG75+React!AG132</f>
        <v/>
      </c>
      <c r="AH141" s="3">
        <f>Legacy!AH78+Paid!AH75+React!AH132</f>
        <v/>
      </c>
      <c r="AI141" s="3">
        <f>Legacy!AI78+Paid!AI75+React!AI132</f>
        <v/>
      </c>
      <c r="AJ141" s="3">
        <f>Legacy!AJ78+Paid!AJ75+React!AJ132</f>
        <v/>
      </c>
      <c r="AK141" s="3">
        <f>Legacy!AK78+Paid!AK75+React!AK132</f>
        <v/>
      </c>
      <c r="AL141" s="3">
        <f>Legacy!AL78+Paid!AL75+React!AL132</f>
        <v/>
      </c>
      <c r="AM141" s="3">
        <f>Legacy!AM78+Paid!AM75+React!AM132</f>
        <v/>
      </c>
      <c r="AN141" s="3">
        <f>Legacy!AN78+Paid!AN75+React!AN132</f>
        <v/>
      </c>
      <c r="AO141" s="3">
        <f>Legacy!AO78+Paid!AO75+React!AO132</f>
        <v/>
      </c>
      <c r="AP141" s="3">
        <f>Legacy!AP78+Paid!AP75+React!AP132</f>
        <v/>
      </c>
      <c r="AQ141" s="3">
        <f>Legacy!AQ78+Paid!AQ75+React!AQ132</f>
        <v/>
      </c>
      <c r="AR141" s="3">
        <f>Legacy!AR78+Paid!AR75+React!AR132</f>
        <v/>
      </c>
      <c r="AS141" s="3">
        <f>Legacy!AS78+Paid!AS75+React!AS132</f>
        <v/>
      </c>
      <c r="AT141" s="3">
        <f>Legacy!AT78+Paid!AT75+React!AT132</f>
        <v/>
      </c>
      <c r="AU141" s="3">
        <f>Legacy!AU78+Paid!AU75+React!AU132</f>
        <v/>
      </c>
      <c r="AV141" s="3">
        <f>Legacy!AV78+Paid!AV75+React!AV132</f>
        <v/>
      </c>
      <c r="AW141" s="3">
        <f>Legacy!AW78+Paid!AW75+React!AW132</f>
        <v/>
      </c>
      <c r="AX141" s="3">
        <f>Legacy!AX78+Paid!AX75+React!AX132</f>
        <v/>
      </c>
      <c r="AY141" s="3">
        <f>Legacy!AY78+Paid!AY75+React!AY132</f>
        <v/>
      </c>
      <c r="AZ141" s="3">
        <f>Legacy!AZ78+Paid!AZ75+React!AZ132</f>
        <v/>
      </c>
      <c r="BA141" s="3">
        <f>Legacy!BA78+Paid!BA75+React!BA132</f>
        <v/>
      </c>
      <c r="BB141" s="3">
        <f>Legacy!BB78+Paid!BB75+React!BB132</f>
        <v/>
      </c>
      <c r="BC141" s="3">
        <f>Legacy!BC78+Paid!BC75+React!BC132</f>
        <v/>
      </c>
      <c r="BD141" s="3">
        <f>Legacy!BD78+Paid!BD75+React!BD132</f>
        <v/>
      </c>
      <c r="BE141" s="3">
        <f>Legacy!BE78+Paid!BE75+React!BE132</f>
        <v/>
      </c>
      <c r="BF141" s="3">
        <f>Legacy!BF78+Paid!BF75+React!BF132</f>
        <v/>
      </c>
      <c r="BG141" s="3">
        <f>Legacy!BG78+Paid!BG75+React!BG132</f>
        <v/>
      </c>
      <c r="BH141" s="3">
        <f>Legacy!BH78+Paid!BH75+React!BH132</f>
        <v/>
      </c>
      <c r="BI141" s="3">
        <f>Legacy!BI78+Paid!BI75+React!BI132</f>
        <v/>
      </c>
      <c r="BJ141" s="3">
        <f>Legacy!BJ78+Paid!BJ75+React!BJ132</f>
        <v/>
      </c>
      <c r="BK141" s="3">
        <f>Legacy!BK78+Paid!BK75+React!BK132</f>
        <v/>
      </c>
      <c r="BL141" s="3">
        <f>Legacy!BL78+Paid!BL75+React!BL132</f>
        <v/>
      </c>
      <c r="BM141" s="3">
        <f>Legacy!BM78+Paid!BM75+React!BM132</f>
        <v/>
      </c>
      <c r="BN141" s="3">
        <f>Legacy!BN78+Paid!BN75+React!BN132</f>
        <v/>
      </c>
      <c r="BO141" s="3">
        <f>Legacy!BO78+Paid!BO75+React!BO132</f>
        <v/>
      </c>
      <c r="BP141" s="3">
        <f>Legacy!BP78+Paid!BP75+React!BP132</f>
        <v/>
      </c>
      <c r="BQ141" s="3">
        <f>Legacy!BQ78+Paid!BQ75+React!BQ132</f>
        <v/>
      </c>
      <c r="BR141" s="3">
        <f>Legacy!BR78+Paid!BR75+React!BR132</f>
        <v/>
      </c>
      <c r="BS141" s="3">
        <f>Legacy!BS78+Paid!BS75+React!BS132</f>
        <v/>
      </c>
      <c r="BT141" s="3">
        <f>Legacy!BT78+Paid!BT75+React!BT132</f>
        <v/>
      </c>
      <c r="BU141" s="3">
        <f>Legacy!BU78+Paid!BU75+React!BU132</f>
        <v/>
      </c>
      <c r="BV141" s="3">
        <f>Legacy!BV78+Paid!BV75+React!BV132</f>
        <v/>
      </c>
    </row>
    <row r="143">
      <c r="A143" t="inlineStr">
        <is>
          <t>opening</t>
        </is>
      </c>
      <c r="B143" t="inlineStr">
        <is>
          <t>ROW|BASIC_A</t>
        </is>
      </c>
      <c r="C143" s="3">
        <f>Legacy!$C$81</f>
        <v/>
      </c>
      <c r="D143" s="3">
        <f>C147</f>
        <v/>
      </c>
      <c r="E143" s="3">
        <f>D147</f>
        <v/>
      </c>
      <c r="F143" s="3">
        <f>E147</f>
        <v/>
      </c>
      <c r="G143" s="3">
        <f>F147</f>
        <v/>
      </c>
      <c r="H143" s="3">
        <f>G147</f>
        <v/>
      </c>
      <c r="I143" s="3">
        <f>H147</f>
        <v/>
      </c>
      <c r="J143" s="3">
        <f>I147</f>
        <v/>
      </c>
      <c r="K143" s="3">
        <f>J147</f>
        <v/>
      </c>
      <c r="L143" s="3">
        <f>K147</f>
        <v/>
      </c>
      <c r="M143" s="3">
        <f>L147</f>
        <v/>
      </c>
      <c r="N143" s="3">
        <f>M147</f>
        <v/>
      </c>
      <c r="O143" s="3">
        <f>N147</f>
        <v/>
      </c>
      <c r="P143" s="3">
        <f>O147</f>
        <v/>
      </c>
      <c r="Q143" s="3">
        <f>P147</f>
        <v/>
      </c>
      <c r="R143" s="3">
        <f>Q147</f>
        <v/>
      </c>
      <c r="S143" s="3">
        <f>R147</f>
        <v/>
      </c>
      <c r="T143" s="3">
        <f>S147</f>
        <v/>
      </c>
      <c r="U143" s="3">
        <f>T147</f>
        <v/>
      </c>
      <c r="V143" s="3">
        <f>U147</f>
        <v/>
      </c>
      <c r="W143" s="3">
        <f>V147</f>
        <v/>
      </c>
      <c r="X143" s="3">
        <f>W147</f>
        <v/>
      </c>
      <c r="Y143" s="3">
        <f>X147</f>
        <v/>
      </c>
      <c r="Z143" s="3">
        <f>Y147</f>
        <v/>
      </c>
      <c r="AA143" s="3">
        <f>Z147</f>
        <v/>
      </c>
      <c r="AB143" s="3">
        <f>AA147</f>
        <v/>
      </c>
      <c r="AC143" s="3">
        <f>AB147</f>
        <v/>
      </c>
      <c r="AD143" s="3">
        <f>AC147</f>
        <v/>
      </c>
      <c r="AE143" s="3">
        <f>AD147</f>
        <v/>
      </c>
      <c r="AF143" s="3">
        <f>AE147</f>
        <v/>
      </c>
      <c r="AG143" s="3">
        <f>AF147</f>
        <v/>
      </c>
      <c r="AH143" s="3">
        <f>AG147</f>
        <v/>
      </c>
      <c r="AI143" s="3">
        <f>AH147</f>
        <v/>
      </c>
      <c r="AJ143" s="3">
        <f>AI147</f>
        <v/>
      </c>
      <c r="AK143" s="3">
        <f>AJ147</f>
        <v/>
      </c>
      <c r="AL143" s="3">
        <f>AK147</f>
        <v/>
      </c>
      <c r="AM143" s="3">
        <f>AL147</f>
        <v/>
      </c>
      <c r="AN143" s="3">
        <f>AM147</f>
        <v/>
      </c>
      <c r="AO143" s="3">
        <f>AN147</f>
        <v/>
      </c>
      <c r="AP143" s="3">
        <f>AO147</f>
        <v/>
      </c>
      <c r="AQ143" s="3">
        <f>AP147</f>
        <v/>
      </c>
      <c r="AR143" s="3">
        <f>AQ147</f>
        <v/>
      </c>
      <c r="AS143" s="3">
        <f>AR147</f>
        <v/>
      </c>
      <c r="AT143" s="3">
        <f>AS147</f>
        <v/>
      </c>
      <c r="AU143" s="3">
        <f>AT147</f>
        <v/>
      </c>
      <c r="AV143" s="3">
        <f>AU147</f>
        <v/>
      </c>
      <c r="AW143" s="3">
        <f>AV147</f>
        <v/>
      </c>
      <c r="AX143" s="3">
        <f>AW147</f>
        <v/>
      </c>
      <c r="AY143" s="3">
        <f>AX147</f>
        <v/>
      </c>
      <c r="AZ143" s="3">
        <f>AY147</f>
        <v/>
      </c>
      <c r="BA143" s="3">
        <f>AZ147</f>
        <v/>
      </c>
      <c r="BB143" s="3">
        <f>BA147</f>
        <v/>
      </c>
      <c r="BC143" s="3">
        <f>BB147</f>
        <v/>
      </c>
      <c r="BD143" s="3">
        <f>BC147</f>
        <v/>
      </c>
      <c r="BE143" s="3">
        <f>BD147</f>
        <v/>
      </c>
      <c r="BF143" s="3">
        <f>BE147</f>
        <v/>
      </c>
      <c r="BG143" s="3">
        <f>BF147</f>
        <v/>
      </c>
      <c r="BH143" s="3">
        <f>BG147</f>
        <v/>
      </c>
      <c r="BI143" s="3">
        <f>BH147</f>
        <v/>
      </c>
      <c r="BJ143" s="3">
        <f>BI147</f>
        <v/>
      </c>
      <c r="BK143" s="3">
        <f>BJ147</f>
        <v/>
      </c>
      <c r="BL143" s="3">
        <f>BK147</f>
        <v/>
      </c>
      <c r="BM143" s="3">
        <f>BL147</f>
        <v/>
      </c>
      <c r="BN143" s="3">
        <f>BM147</f>
        <v/>
      </c>
      <c r="BO143" s="3">
        <f>BN147</f>
        <v/>
      </c>
      <c r="BP143" s="3">
        <f>BO147</f>
        <v/>
      </c>
      <c r="BQ143" s="3">
        <f>BP147</f>
        <v/>
      </c>
      <c r="BR143" s="3">
        <f>BQ147</f>
        <v/>
      </c>
      <c r="BS143" s="3">
        <f>BR147</f>
        <v/>
      </c>
      <c r="BT143" s="3">
        <f>BS147</f>
        <v/>
      </c>
      <c r="BU143" s="3">
        <f>BT147</f>
        <v/>
      </c>
      <c r="BV143" s="3">
        <f>BU147</f>
        <v/>
      </c>
    </row>
    <row r="144">
      <c r="A144" t="inlineStr">
        <is>
          <t>new</t>
        </is>
      </c>
      <c r="B144" t="inlineStr">
        <is>
          <t>ROW|BASIC_A</t>
        </is>
      </c>
      <c r="C144" s="3">
        <f>Adds!C214+IF(Params!$B$9=1,Adds!C213,Adds!C216)</f>
        <v/>
      </c>
      <c r="D144" s="3">
        <f>Adds!D214+IF(Params!$B$9=1,Adds!D213,Adds!D216)</f>
        <v/>
      </c>
      <c r="E144" s="3">
        <f>Adds!E214+IF(Params!$B$9=1,Adds!E213,Adds!E216)</f>
        <v/>
      </c>
      <c r="F144" s="3">
        <f>Adds!F214+IF(Params!$B$9=1,Adds!F213,Adds!F216)</f>
        <v/>
      </c>
      <c r="G144" s="3">
        <f>Adds!G214+IF(Params!$B$9=1,Adds!G213,Adds!G216)</f>
        <v/>
      </c>
      <c r="H144" s="3">
        <f>Adds!H214+IF(Params!$B$9=1,Adds!H213,Adds!H216)</f>
        <v/>
      </c>
      <c r="I144" s="3">
        <f>Adds!I214+IF(Params!$B$9=1,Adds!I213,Adds!I216)</f>
        <v/>
      </c>
      <c r="J144" s="3">
        <f>Adds!J214+IF(Params!$B$9=1,Adds!J213,Adds!J216)</f>
        <v/>
      </c>
      <c r="K144" s="3">
        <f>Adds!K214+IF(Params!$B$9=1,Adds!K213,Adds!K216)</f>
        <v/>
      </c>
      <c r="L144" s="3">
        <f>Adds!L214+IF(Params!$B$9=1,Adds!L213,Adds!L216)</f>
        <v/>
      </c>
      <c r="M144" s="3">
        <f>Adds!M214+IF(Params!$B$9=1,Adds!M213,Adds!M216)</f>
        <v/>
      </c>
      <c r="N144" s="3">
        <f>Adds!N214+IF(Params!$B$9=1,Adds!N213,Adds!N216)</f>
        <v/>
      </c>
      <c r="O144" s="3">
        <f>Adds!O214+IF(Params!$B$9=1,Adds!O213,Adds!O216)</f>
        <v/>
      </c>
      <c r="P144" s="3">
        <f>Adds!P214+IF(Params!$B$9=1,Adds!P213,Adds!P216)</f>
        <v/>
      </c>
      <c r="Q144" s="3">
        <f>Adds!Q214+IF(Params!$B$9=1,Adds!Q213,Adds!Q216)</f>
        <v/>
      </c>
      <c r="R144" s="3">
        <f>Adds!R214+IF(Params!$B$9=1,Adds!R213,Adds!R216)</f>
        <v/>
      </c>
      <c r="S144" s="3">
        <f>Adds!S214+IF(Params!$B$9=1,Adds!S213,Adds!S216)</f>
        <v/>
      </c>
      <c r="T144" s="3">
        <f>Adds!T214+IF(Params!$B$9=1,Adds!T213,Adds!T216)</f>
        <v/>
      </c>
      <c r="U144" s="3">
        <f>Adds!U214+IF(Params!$B$9=1,Adds!U213,Adds!U216)</f>
        <v/>
      </c>
      <c r="V144" s="3">
        <f>Adds!V214+IF(Params!$B$9=1,Adds!V213,Adds!V216)</f>
        <v/>
      </c>
      <c r="W144" s="3">
        <f>Adds!W214+IF(Params!$B$9=1,Adds!W213,Adds!W216)</f>
        <v/>
      </c>
      <c r="X144" s="3">
        <f>Adds!X214+IF(Params!$B$9=1,Adds!X213,Adds!X216)</f>
        <v/>
      </c>
      <c r="Y144" s="3">
        <f>Adds!Y214+IF(Params!$B$9=1,Adds!Y213,Adds!Y216)</f>
        <v/>
      </c>
      <c r="Z144" s="3">
        <f>Adds!Z214+IF(Params!$B$9=1,Adds!Z213,Adds!Z216)</f>
        <v/>
      </c>
      <c r="AA144" s="3">
        <f>Adds!AA214+IF(Params!$B$9=1,Adds!AA213,Adds!AA216)</f>
        <v/>
      </c>
      <c r="AB144" s="3">
        <f>Adds!AB214+IF(Params!$B$9=1,Adds!AB213,Adds!AB216)</f>
        <v/>
      </c>
      <c r="AC144" s="3">
        <f>Adds!AC214+IF(Params!$B$9=1,Adds!AC213,Adds!AC216)</f>
        <v/>
      </c>
      <c r="AD144" s="3">
        <f>Adds!AD214+IF(Params!$B$9=1,Adds!AD213,Adds!AD216)</f>
        <v/>
      </c>
      <c r="AE144" s="3">
        <f>Adds!AE214+IF(Params!$B$9=1,Adds!AE213,Adds!AE216)</f>
        <v/>
      </c>
      <c r="AF144" s="3">
        <f>Adds!AF214+IF(Params!$B$9=1,Adds!AF213,Adds!AF216)</f>
        <v/>
      </c>
      <c r="AG144" s="3">
        <f>Adds!AG214+IF(Params!$B$9=1,Adds!AG213,Adds!AG216)</f>
        <v/>
      </c>
      <c r="AH144" s="3">
        <f>Adds!AH214+IF(Params!$B$9=1,Adds!AH213,Adds!AH216)</f>
        <v/>
      </c>
      <c r="AI144" s="3">
        <f>Adds!AI214+IF(Params!$B$9=1,Adds!AI213,Adds!AI216)</f>
        <v/>
      </c>
      <c r="AJ144" s="3">
        <f>Adds!AJ214+IF(Params!$B$9=1,Adds!AJ213,Adds!AJ216)</f>
        <v/>
      </c>
      <c r="AK144" s="3">
        <f>Adds!AK214+IF(Params!$B$9=1,Adds!AK213,Adds!AK216)</f>
        <v/>
      </c>
      <c r="AL144" s="3">
        <f>Adds!AL214+IF(Params!$B$9=1,Adds!AL213,Adds!AL216)</f>
        <v/>
      </c>
      <c r="AM144" s="3">
        <f>Adds!AM214+IF(Params!$B$9=1,Adds!AM213,Adds!AM216)</f>
        <v/>
      </c>
      <c r="AN144" s="3">
        <f>Adds!AN214+IF(Params!$B$9=1,Adds!AN213,Adds!AN216)</f>
        <v/>
      </c>
      <c r="AO144" s="3">
        <f>Adds!AO214+IF(Params!$B$9=1,Adds!AO213,Adds!AO216)</f>
        <v/>
      </c>
      <c r="AP144" s="3">
        <f>Adds!AP214+IF(Params!$B$9=1,Adds!AP213,Adds!AP216)</f>
        <v/>
      </c>
      <c r="AQ144" s="3">
        <f>Adds!AQ214+IF(Params!$B$9=1,Adds!AQ213,Adds!AQ216)</f>
        <v/>
      </c>
      <c r="AR144" s="3">
        <f>Adds!AR214+IF(Params!$B$9=1,Adds!AR213,Adds!AR216)</f>
        <v/>
      </c>
      <c r="AS144" s="3">
        <f>Adds!AS214+IF(Params!$B$9=1,Adds!AS213,Adds!AS216)</f>
        <v/>
      </c>
      <c r="AT144" s="3">
        <f>Adds!AT214+IF(Params!$B$9=1,Adds!AT213,Adds!AT216)</f>
        <v/>
      </c>
      <c r="AU144" s="3">
        <f>Adds!AU214+IF(Params!$B$9=1,Adds!AU213,Adds!AU216)</f>
        <v/>
      </c>
      <c r="AV144" s="3">
        <f>Adds!AV214+IF(Params!$B$9=1,Adds!AV213,Adds!AV216)</f>
        <v/>
      </c>
      <c r="AW144" s="3">
        <f>Adds!AW214+IF(Params!$B$9=1,Adds!AW213,Adds!AW216)</f>
        <v/>
      </c>
      <c r="AX144" s="3">
        <f>Adds!AX214+IF(Params!$B$9=1,Adds!AX213,Adds!AX216)</f>
        <v/>
      </c>
      <c r="AY144" s="3">
        <f>Adds!AY214+IF(Params!$B$9=1,Adds!AY213,Adds!AY216)</f>
        <v/>
      </c>
      <c r="AZ144" s="3">
        <f>Adds!AZ214+IF(Params!$B$9=1,Adds!AZ213,Adds!AZ216)</f>
        <v/>
      </c>
      <c r="BA144" s="3">
        <f>Adds!BA214+IF(Params!$B$9=1,Adds!BA213,Adds!BA216)</f>
        <v/>
      </c>
      <c r="BB144" s="3">
        <f>Adds!BB214+IF(Params!$B$9=1,Adds!BB213,Adds!BB216)</f>
        <v/>
      </c>
      <c r="BC144" s="3">
        <f>Adds!BC214+IF(Params!$B$9=1,Adds!BC213,Adds!BC216)</f>
        <v/>
      </c>
      <c r="BD144" s="3">
        <f>Adds!BD214+IF(Params!$B$9=1,Adds!BD213,Adds!BD216)</f>
        <v/>
      </c>
      <c r="BE144" s="3">
        <f>Adds!BE214+IF(Params!$B$9=1,Adds!BE213,Adds!BE216)</f>
        <v/>
      </c>
      <c r="BF144" s="3">
        <f>Adds!BF214+IF(Params!$B$9=1,Adds!BF213,Adds!BF216)</f>
        <v/>
      </c>
      <c r="BG144" s="3">
        <f>Adds!BG214+IF(Params!$B$9=1,Adds!BG213,Adds!BG216)</f>
        <v/>
      </c>
      <c r="BH144" s="3">
        <f>Adds!BH214+IF(Params!$B$9=1,Adds!BH213,Adds!BH216)</f>
        <v/>
      </c>
      <c r="BI144" s="3">
        <f>Adds!BI214+IF(Params!$B$9=1,Adds!BI213,Adds!BI216)</f>
        <v/>
      </c>
      <c r="BJ144" s="3">
        <f>Adds!BJ214+IF(Params!$B$9=1,Adds!BJ213,Adds!BJ216)</f>
        <v/>
      </c>
      <c r="BK144" s="3">
        <f>Adds!BK214+IF(Params!$B$9=1,Adds!BK213,Adds!BK216)</f>
        <v/>
      </c>
      <c r="BL144" s="3">
        <f>Adds!BL214+IF(Params!$B$9=1,Adds!BL213,Adds!BL216)</f>
        <v/>
      </c>
      <c r="BM144" s="3">
        <f>Adds!BM214+IF(Params!$B$9=1,Adds!BM213,Adds!BM216)</f>
        <v/>
      </c>
      <c r="BN144" s="3">
        <f>Adds!BN214+IF(Params!$B$9=1,Adds!BN213,Adds!BN216)</f>
        <v/>
      </c>
      <c r="BO144" s="3">
        <f>Adds!BO214+IF(Params!$B$9=1,Adds!BO213,Adds!BO216)</f>
        <v/>
      </c>
      <c r="BP144" s="3">
        <f>Adds!BP214+IF(Params!$B$9=1,Adds!BP213,Adds!BP216)</f>
        <v/>
      </c>
      <c r="BQ144" s="3">
        <f>Adds!BQ214+IF(Params!$B$9=1,Adds!BQ213,Adds!BQ216)</f>
        <v/>
      </c>
      <c r="BR144" s="3">
        <f>Adds!BR214+IF(Params!$B$9=1,Adds!BR213,Adds!BR216)</f>
        <v/>
      </c>
      <c r="BS144" s="3">
        <f>Adds!BS214+IF(Params!$B$9=1,Adds!BS213,Adds!BS216)</f>
        <v/>
      </c>
      <c r="BT144" s="3">
        <f>Adds!BT214+IF(Params!$B$9=1,Adds!BT213,Adds!BT216)</f>
        <v/>
      </c>
      <c r="BU144" s="3">
        <f>Adds!BU214+IF(Params!$B$9=1,Adds!BU213,Adds!BU216)</f>
        <v/>
      </c>
      <c r="BV144" s="3">
        <f>Adds!BV214+IF(Params!$B$9=1,Adds!BV213,Adds!BV216)</f>
        <v/>
      </c>
    </row>
    <row r="145">
      <c r="A145" t="inlineStr">
        <is>
          <t>reactivated</t>
        </is>
      </c>
      <c r="B145" t="inlineStr">
        <is>
          <t>ROW|BASIC_A</t>
        </is>
      </c>
      <c r="C145" s="3">
        <f>React!C138</f>
        <v/>
      </c>
      <c r="D145" s="3">
        <f>React!D138</f>
        <v/>
      </c>
      <c r="E145" s="3">
        <f>React!E138</f>
        <v/>
      </c>
      <c r="F145" s="3">
        <f>React!F138</f>
        <v/>
      </c>
      <c r="G145" s="3">
        <f>React!G138</f>
        <v/>
      </c>
      <c r="H145" s="3">
        <f>React!H138</f>
        <v/>
      </c>
      <c r="I145" s="3">
        <f>React!I138</f>
        <v/>
      </c>
      <c r="J145" s="3">
        <f>React!J138</f>
        <v/>
      </c>
      <c r="K145" s="3">
        <f>React!K138</f>
        <v/>
      </c>
      <c r="L145" s="3">
        <f>React!L138</f>
        <v/>
      </c>
      <c r="M145" s="3">
        <f>React!M138</f>
        <v/>
      </c>
      <c r="N145" s="3">
        <f>React!N138</f>
        <v/>
      </c>
      <c r="O145" s="3">
        <f>React!O138</f>
        <v/>
      </c>
      <c r="P145" s="3">
        <f>React!P138</f>
        <v/>
      </c>
      <c r="Q145" s="3">
        <f>React!Q138</f>
        <v/>
      </c>
      <c r="R145" s="3">
        <f>React!R138</f>
        <v/>
      </c>
      <c r="S145" s="3">
        <f>React!S138</f>
        <v/>
      </c>
      <c r="T145" s="3">
        <f>React!T138</f>
        <v/>
      </c>
      <c r="U145" s="3">
        <f>React!U138</f>
        <v/>
      </c>
      <c r="V145" s="3">
        <f>React!V138</f>
        <v/>
      </c>
      <c r="W145" s="3">
        <f>React!W138</f>
        <v/>
      </c>
      <c r="X145" s="3">
        <f>React!X138</f>
        <v/>
      </c>
      <c r="Y145" s="3">
        <f>React!Y138</f>
        <v/>
      </c>
      <c r="Z145" s="3">
        <f>React!Z138</f>
        <v/>
      </c>
      <c r="AA145" s="3">
        <f>React!AA138</f>
        <v/>
      </c>
      <c r="AB145" s="3">
        <f>React!AB138</f>
        <v/>
      </c>
      <c r="AC145" s="3">
        <f>React!AC138</f>
        <v/>
      </c>
      <c r="AD145" s="3">
        <f>React!AD138</f>
        <v/>
      </c>
      <c r="AE145" s="3">
        <f>React!AE138</f>
        <v/>
      </c>
      <c r="AF145" s="3">
        <f>React!AF138</f>
        <v/>
      </c>
      <c r="AG145" s="3">
        <f>React!AG138</f>
        <v/>
      </c>
      <c r="AH145" s="3">
        <f>React!AH138</f>
        <v/>
      </c>
      <c r="AI145" s="3">
        <f>React!AI138</f>
        <v/>
      </c>
      <c r="AJ145" s="3">
        <f>React!AJ138</f>
        <v/>
      </c>
      <c r="AK145" s="3">
        <f>React!AK138</f>
        <v/>
      </c>
      <c r="AL145" s="3">
        <f>React!AL138</f>
        <v/>
      </c>
      <c r="AM145" s="3">
        <f>React!AM138</f>
        <v/>
      </c>
      <c r="AN145" s="3">
        <f>React!AN138</f>
        <v/>
      </c>
      <c r="AO145" s="3">
        <f>React!AO138</f>
        <v/>
      </c>
      <c r="AP145" s="3">
        <f>React!AP138</f>
        <v/>
      </c>
      <c r="AQ145" s="3">
        <f>React!AQ138</f>
        <v/>
      </c>
      <c r="AR145" s="3">
        <f>React!AR138</f>
        <v/>
      </c>
      <c r="AS145" s="3">
        <f>React!AS138</f>
        <v/>
      </c>
      <c r="AT145" s="3">
        <f>React!AT138</f>
        <v/>
      </c>
      <c r="AU145" s="3">
        <f>React!AU138</f>
        <v/>
      </c>
      <c r="AV145" s="3">
        <f>React!AV138</f>
        <v/>
      </c>
      <c r="AW145" s="3">
        <f>React!AW138</f>
        <v/>
      </c>
      <c r="AX145" s="3">
        <f>React!AX138</f>
        <v/>
      </c>
      <c r="AY145" s="3">
        <f>React!AY138</f>
        <v/>
      </c>
      <c r="AZ145" s="3">
        <f>React!AZ138</f>
        <v/>
      </c>
      <c r="BA145" s="3">
        <f>React!BA138</f>
        <v/>
      </c>
      <c r="BB145" s="3">
        <f>React!BB138</f>
        <v/>
      </c>
      <c r="BC145" s="3">
        <f>React!BC138</f>
        <v/>
      </c>
      <c r="BD145" s="3">
        <f>React!BD138</f>
        <v/>
      </c>
      <c r="BE145" s="3">
        <f>React!BE138</f>
        <v/>
      </c>
      <c r="BF145" s="3">
        <f>React!BF138</f>
        <v/>
      </c>
      <c r="BG145" s="3">
        <f>React!BG138</f>
        <v/>
      </c>
      <c r="BH145" s="3">
        <f>React!BH138</f>
        <v/>
      </c>
      <c r="BI145" s="3">
        <f>React!BI138</f>
        <v/>
      </c>
      <c r="BJ145" s="3">
        <f>React!BJ138</f>
        <v/>
      </c>
      <c r="BK145" s="3">
        <f>React!BK138</f>
        <v/>
      </c>
      <c r="BL145" s="3">
        <f>React!BL138</f>
        <v/>
      </c>
      <c r="BM145" s="3">
        <f>React!BM138</f>
        <v/>
      </c>
      <c r="BN145" s="3">
        <f>React!BN138</f>
        <v/>
      </c>
      <c r="BO145" s="3">
        <f>React!BO138</f>
        <v/>
      </c>
      <c r="BP145" s="3">
        <f>React!BP138</f>
        <v/>
      </c>
      <c r="BQ145" s="3">
        <f>React!BQ138</f>
        <v/>
      </c>
      <c r="BR145" s="3">
        <f>React!BR138</f>
        <v/>
      </c>
      <c r="BS145" s="3">
        <f>React!BS138</f>
        <v/>
      </c>
      <c r="BT145" s="3">
        <f>React!BT138</f>
        <v/>
      </c>
      <c r="BU145" s="3">
        <f>React!BU138</f>
        <v/>
      </c>
      <c r="BV145" s="3">
        <f>React!BV138</f>
        <v/>
      </c>
    </row>
    <row r="146">
      <c r="A146" t="inlineStr">
        <is>
          <t>churned</t>
        </is>
      </c>
      <c r="B146" t="inlineStr">
        <is>
          <t>ROW|BASIC_A</t>
        </is>
      </c>
      <c r="C146" s="3">
        <f>Legacy!C83+Paid!C81+React!C141+Params!$B$9*Adds!C217</f>
        <v/>
      </c>
      <c r="D146" s="3">
        <f>Legacy!D83+Paid!D81+React!D141+Params!$B$9*Adds!D217</f>
        <v/>
      </c>
      <c r="E146" s="3">
        <f>Legacy!E83+Paid!E81+React!E141+Params!$B$9*Adds!E217</f>
        <v/>
      </c>
      <c r="F146" s="3">
        <f>Legacy!F83+Paid!F81+React!F141+Params!$B$9*Adds!F217</f>
        <v/>
      </c>
      <c r="G146" s="3">
        <f>Legacy!G83+Paid!G81+React!G141+Params!$B$9*Adds!G217</f>
        <v/>
      </c>
      <c r="H146" s="3">
        <f>Legacy!H83+Paid!H81+React!H141+Params!$B$9*Adds!H217</f>
        <v/>
      </c>
      <c r="I146" s="3">
        <f>Legacy!I83+Paid!I81+React!I141+Params!$B$9*Adds!I217</f>
        <v/>
      </c>
      <c r="J146" s="3">
        <f>Legacy!J83+Paid!J81+React!J141+Params!$B$9*Adds!J217</f>
        <v/>
      </c>
      <c r="K146" s="3">
        <f>Legacy!K83+Paid!K81+React!K141+Params!$B$9*Adds!K217</f>
        <v/>
      </c>
      <c r="L146" s="3">
        <f>Legacy!L83+Paid!L81+React!L141+Params!$B$9*Adds!L217</f>
        <v/>
      </c>
      <c r="M146" s="3">
        <f>Legacy!M83+Paid!M81+React!M141+Params!$B$9*Adds!M217</f>
        <v/>
      </c>
      <c r="N146" s="3">
        <f>Legacy!N83+Paid!N81+React!N141+Params!$B$9*Adds!N217</f>
        <v/>
      </c>
      <c r="O146" s="3">
        <f>Legacy!O83+Paid!O81+React!O141+Params!$B$9*Adds!O217</f>
        <v/>
      </c>
      <c r="P146" s="3">
        <f>Legacy!P83+Paid!P81+React!P141+Params!$B$9*Adds!P217</f>
        <v/>
      </c>
      <c r="Q146" s="3">
        <f>Legacy!Q83+Paid!Q81+React!Q141+Params!$B$9*Adds!Q217</f>
        <v/>
      </c>
      <c r="R146" s="3">
        <f>Legacy!R83+Paid!R81+React!R141+Params!$B$9*Adds!R217</f>
        <v/>
      </c>
      <c r="S146" s="3">
        <f>Legacy!S83+Paid!S81+React!S141+Params!$B$9*Adds!S217</f>
        <v/>
      </c>
      <c r="T146" s="3">
        <f>Legacy!T83+Paid!T81+React!T141+Params!$B$9*Adds!T217</f>
        <v/>
      </c>
      <c r="U146" s="3">
        <f>Legacy!U83+Paid!U81+React!U141+Params!$B$9*Adds!U217</f>
        <v/>
      </c>
      <c r="V146" s="3">
        <f>Legacy!V83+Paid!V81+React!V141+Params!$B$9*Adds!V217</f>
        <v/>
      </c>
      <c r="W146" s="3">
        <f>Legacy!W83+Paid!W81+React!W141+Params!$B$9*Adds!W217</f>
        <v/>
      </c>
      <c r="X146" s="3">
        <f>Legacy!X83+Paid!X81+React!X141+Params!$B$9*Adds!X217</f>
        <v/>
      </c>
      <c r="Y146" s="3">
        <f>Legacy!Y83+Paid!Y81+React!Y141+Params!$B$9*Adds!Y217</f>
        <v/>
      </c>
      <c r="Z146" s="3">
        <f>Legacy!Z83+Paid!Z81+React!Z141+Params!$B$9*Adds!Z217</f>
        <v/>
      </c>
      <c r="AA146" s="3">
        <f>Legacy!AA83+Paid!AA81+React!AA141+Params!$B$9*Adds!AA217</f>
        <v/>
      </c>
      <c r="AB146" s="3">
        <f>Legacy!AB83+Paid!AB81+React!AB141+Params!$B$9*Adds!AB217</f>
        <v/>
      </c>
      <c r="AC146" s="3">
        <f>Legacy!AC83+Paid!AC81+React!AC141+Params!$B$9*Adds!AC217</f>
        <v/>
      </c>
      <c r="AD146" s="3">
        <f>Legacy!AD83+Paid!AD81+React!AD141+Params!$B$9*Adds!AD217</f>
        <v/>
      </c>
      <c r="AE146" s="3">
        <f>Legacy!AE83+Paid!AE81+React!AE141+Params!$B$9*Adds!AE217</f>
        <v/>
      </c>
      <c r="AF146" s="3">
        <f>Legacy!AF83+Paid!AF81+React!AF141+Params!$B$9*Adds!AF217</f>
        <v/>
      </c>
      <c r="AG146" s="3">
        <f>Legacy!AG83+Paid!AG81+React!AG141+Params!$B$9*Adds!AG217</f>
        <v/>
      </c>
      <c r="AH146" s="3">
        <f>Legacy!AH83+Paid!AH81+React!AH141+Params!$B$9*Adds!AH217</f>
        <v/>
      </c>
      <c r="AI146" s="3">
        <f>Legacy!AI83+Paid!AI81+React!AI141+Params!$B$9*Adds!AI217</f>
        <v/>
      </c>
      <c r="AJ146" s="3">
        <f>Legacy!AJ83+Paid!AJ81+React!AJ141+Params!$B$9*Adds!AJ217</f>
        <v/>
      </c>
      <c r="AK146" s="3">
        <f>Legacy!AK83+Paid!AK81+React!AK141+Params!$B$9*Adds!AK217</f>
        <v/>
      </c>
      <c r="AL146" s="3">
        <f>Legacy!AL83+Paid!AL81+React!AL141+Params!$B$9*Adds!AL217</f>
        <v/>
      </c>
      <c r="AM146" s="3">
        <f>Legacy!AM83+Paid!AM81+React!AM141+Params!$B$9*Adds!AM217</f>
        <v/>
      </c>
      <c r="AN146" s="3">
        <f>Legacy!AN83+Paid!AN81+React!AN141+Params!$B$9*Adds!AN217</f>
        <v/>
      </c>
      <c r="AO146" s="3">
        <f>Legacy!AO83+Paid!AO81+React!AO141+Params!$B$9*Adds!AO217</f>
        <v/>
      </c>
      <c r="AP146" s="3">
        <f>Legacy!AP83+Paid!AP81+React!AP141+Params!$B$9*Adds!AP217</f>
        <v/>
      </c>
      <c r="AQ146" s="3">
        <f>Legacy!AQ83+Paid!AQ81+React!AQ141+Params!$B$9*Adds!AQ217</f>
        <v/>
      </c>
      <c r="AR146" s="3">
        <f>Legacy!AR83+Paid!AR81+React!AR141+Params!$B$9*Adds!AR217</f>
        <v/>
      </c>
      <c r="AS146" s="3">
        <f>Legacy!AS83+Paid!AS81+React!AS141+Params!$B$9*Adds!AS217</f>
        <v/>
      </c>
      <c r="AT146" s="3">
        <f>Legacy!AT83+Paid!AT81+React!AT141+Params!$B$9*Adds!AT217</f>
        <v/>
      </c>
      <c r="AU146" s="3">
        <f>Legacy!AU83+Paid!AU81+React!AU141+Params!$B$9*Adds!AU217</f>
        <v/>
      </c>
      <c r="AV146" s="3">
        <f>Legacy!AV83+Paid!AV81+React!AV141+Params!$B$9*Adds!AV217</f>
        <v/>
      </c>
      <c r="AW146" s="3">
        <f>Legacy!AW83+Paid!AW81+React!AW141+Params!$B$9*Adds!AW217</f>
        <v/>
      </c>
      <c r="AX146" s="3">
        <f>Legacy!AX83+Paid!AX81+React!AX141+Params!$B$9*Adds!AX217</f>
        <v/>
      </c>
      <c r="AY146" s="3">
        <f>Legacy!AY83+Paid!AY81+React!AY141+Params!$B$9*Adds!AY217</f>
        <v/>
      </c>
      <c r="AZ146" s="3">
        <f>Legacy!AZ83+Paid!AZ81+React!AZ141+Params!$B$9*Adds!AZ217</f>
        <v/>
      </c>
      <c r="BA146" s="3">
        <f>Legacy!BA83+Paid!BA81+React!BA141+Params!$B$9*Adds!BA217</f>
        <v/>
      </c>
      <c r="BB146" s="3">
        <f>Legacy!BB83+Paid!BB81+React!BB141+Params!$B$9*Adds!BB217</f>
        <v/>
      </c>
      <c r="BC146" s="3">
        <f>Legacy!BC83+Paid!BC81+React!BC141+Params!$B$9*Adds!BC217</f>
        <v/>
      </c>
      <c r="BD146" s="3">
        <f>Legacy!BD83+Paid!BD81+React!BD141+Params!$B$9*Adds!BD217</f>
        <v/>
      </c>
      <c r="BE146" s="3">
        <f>Legacy!BE83+Paid!BE81+React!BE141+Params!$B$9*Adds!BE217</f>
        <v/>
      </c>
      <c r="BF146" s="3">
        <f>Legacy!BF83+Paid!BF81+React!BF141+Params!$B$9*Adds!BF217</f>
        <v/>
      </c>
      <c r="BG146" s="3">
        <f>Legacy!BG83+Paid!BG81+React!BG141+Params!$B$9*Adds!BG217</f>
        <v/>
      </c>
      <c r="BH146" s="3">
        <f>Legacy!BH83+Paid!BH81+React!BH141+Params!$B$9*Adds!BH217</f>
        <v/>
      </c>
      <c r="BI146" s="3">
        <f>Legacy!BI83+Paid!BI81+React!BI141+Params!$B$9*Adds!BI217</f>
        <v/>
      </c>
      <c r="BJ146" s="3">
        <f>Legacy!BJ83+Paid!BJ81+React!BJ141+Params!$B$9*Adds!BJ217</f>
        <v/>
      </c>
      <c r="BK146" s="3">
        <f>Legacy!BK83+Paid!BK81+React!BK141+Params!$B$9*Adds!BK217</f>
        <v/>
      </c>
      <c r="BL146" s="3">
        <f>Legacy!BL83+Paid!BL81+React!BL141+Params!$B$9*Adds!BL217</f>
        <v/>
      </c>
      <c r="BM146" s="3">
        <f>Legacy!BM83+Paid!BM81+React!BM141+Params!$B$9*Adds!BM217</f>
        <v/>
      </c>
      <c r="BN146" s="3">
        <f>Legacy!BN83+Paid!BN81+React!BN141+Params!$B$9*Adds!BN217</f>
        <v/>
      </c>
      <c r="BO146" s="3">
        <f>Legacy!BO83+Paid!BO81+React!BO141+Params!$B$9*Adds!BO217</f>
        <v/>
      </c>
      <c r="BP146" s="3">
        <f>Legacy!BP83+Paid!BP81+React!BP141+Params!$B$9*Adds!BP217</f>
        <v/>
      </c>
      <c r="BQ146" s="3">
        <f>Legacy!BQ83+Paid!BQ81+React!BQ141+Params!$B$9*Adds!BQ217</f>
        <v/>
      </c>
      <c r="BR146" s="3">
        <f>Legacy!BR83+Paid!BR81+React!BR141+Params!$B$9*Adds!BR217</f>
        <v/>
      </c>
      <c r="BS146" s="3">
        <f>Legacy!BS83+Paid!BS81+React!BS141+Params!$B$9*Adds!BS217</f>
        <v/>
      </c>
      <c r="BT146" s="3">
        <f>Legacy!BT83+Paid!BT81+React!BT141+Params!$B$9*Adds!BT217</f>
        <v/>
      </c>
      <c r="BU146" s="3">
        <f>Legacy!BU83+Paid!BU81+React!BU141+Params!$B$9*Adds!BU217</f>
        <v/>
      </c>
      <c r="BV146" s="3">
        <f>Legacy!BV83+Paid!BV81+React!BV141+Params!$B$9*Adds!BV217</f>
        <v/>
      </c>
    </row>
    <row r="147">
      <c r="A147" t="inlineStr">
        <is>
          <t>closing</t>
        </is>
      </c>
      <c r="B147" t="inlineStr">
        <is>
          <t>ROW|BASIC_A</t>
        </is>
      </c>
      <c r="C147" s="3">
        <f>C148+Params!$B$9*Adds!C220</f>
        <v/>
      </c>
      <c r="D147" s="3">
        <f>D148+Params!$B$9*Adds!D220</f>
        <v/>
      </c>
      <c r="E147" s="3">
        <f>E148+Params!$B$9*Adds!E220</f>
        <v/>
      </c>
      <c r="F147" s="3">
        <f>F148+Params!$B$9*Adds!F220</f>
        <v/>
      </c>
      <c r="G147" s="3">
        <f>G148+Params!$B$9*Adds!G220</f>
        <v/>
      </c>
      <c r="H147" s="3">
        <f>H148+Params!$B$9*Adds!H220</f>
        <v/>
      </c>
      <c r="I147" s="3">
        <f>I148+Params!$B$9*Adds!I220</f>
        <v/>
      </c>
      <c r="J147" s="3">
        <f>J148+Params!$B$9*Adds!J220</f>
        <v/>
      </c>
      <c r="K147" s="3">
        <f>K148+Params!$B$9*Adds!K220</f>
        <v/>
      </c>
      <c r="L147" s="3">
        <f>L148+Params!$B$9*Adds!L220</f>
        <v/>
      </c>
      <c r="M147" s="3">
        <f>M148+Params!$B$9*Adds!M220</f>
        <v/>
      </c>
      <c r="N147" s="3">
        <f>N148+Params!$B$9*Adds!N220</f>
        <v/>
      </c>
      <c r="O147" s="3">
        <f>O148+Params!$B$9*Adds!O220</f>
        <v/>
      </c>
      <c r="P147" s="3">
        <f>P148+Params!$B$9*Adds!P220</f>
        <v/>
      </c>
      <c r="Q147" s="3">
        <f>Q148+Params!$B$9*Adds!Q220</f>
        <v/>
      </c>
      <c r="R147" s="3">
        <f>R148+Params!$B$9*Adds!R220</f>
        <v/>
      </c>
      <c r="S147" s="3">
        <f>S148+Params!$B$9*Adds!S220</f>
        <v/>
      </c>
      <c r="T147" s="3">
        <f>T148+Params!$B$9*Adds!T220</f>
        <v/>
      </c>
      <c r="U147" s="3">
        <f>U148+Params!$B$9*Adds!U220</f>
        <v/>
      </c>
      <c r="V147" s="3">
        <f>V148+Params!$B$9*Adds!V220</f>
        <v/>
      </c>
      <c r="W147" s="3">
        <f>W148+Params!$B$9*Adds!W220</f>
        <v/>
      </c>
      <c r="X147" s="3">
        <f>X148+Params!$B$9*Adds!X220</f>
        <v/>
      </c>
      <c r="Y147" s="3">
        <f>Y148+Params!$B$9*Adds!Y220</f>
        <v/>
      </c>
      <c r="Z147" s="3">
        <f>Z148+Params!$B$9*Adds!Z220</f>
        <v/>
      </c>
      <c r="AA147" s="3">
        <f>AA148+Params!$B$9*Adds!AA220</f>
        <v/>
      </c>
      <c r="AB147" s="3">
        <f>AB148+Params!$B$9*Adds!AB220</f>
        <v/>
      </c>
      <c r="AC147" s="3">
        <f>AC148+Params!$B$9*Adds!AC220</f>
        <v/>
      </c>
      <c r="AD147" s="3">
        <f>AD148+Params!$B$9*Adds!AD220</f>
        <v/>
      </c>
      <c r="AE147" s="3">
        <f>AE148+Params!$B$9*Adds!AE220</f>
        <v/>
      </c>
      <c r="AF147" s="3">
        <f>AF148+Params!$B$9*Adds!AF220</f>
        <v/>
      </c>
      <c r="AG147" s="3">
        <f>AG148+Params!$B$9*Adds!AG220</f>
        <v/>
      </c>
      <c r="AH147" s="3">
        <f>AH148+Params!$B$9*Adds!AH220</f>
        <v/>
      </c>
      <c r="AI147" s="3">
        <f>AI148+Params!$B$9*Adds!AI220</f>
        <v/>
      </c>
      <c r="AJ147" s="3">
        <f>AJ148+Params!$B$9*Adds!AJ220</f>
        <v/>
      </c>
      <c r="AK147" s="3">
        <f>AK148+Params!$B$9*Adds!AK220</f>
        <v/>
      </c>
      <c r="AL147" s="3">
        <f>AL148+Params!$B$9*Adds!AL220</f>
        <v/>
      </c>
      <c r="AM147" s="3">
        <f>AM148+Params!$B$9*Adds!AM220</f>
        <v/>
      </c>
      <c r="AN147" s="3">
        <f>AN148+Params!$B$9*Adds!AN220</f>
        <v/>
      </c>
      <c r="AO147" s="3">
        <f>AO148+Params!$B$9*Adds!AO220</f>
        <v/>
      </c>
      <c r="AP147" s="3">
        <f>AP148+Params!$B$9*Adds!AP220</f>
        <v/>
      </c>
      <c r="AQ147" s="3">
        <f>AQ148+Params!$B$9*Adds!AQ220</f>
        <v/>
      </c>
      <c r="AR147" s="3">
        <f>AR148+Params!$B$9*Adds!AR220</f>
        <v/>
      </c>
      <c r="AS147" s="3">
        <f>AS148+Params!$B$9*Adds!AS220</f>
        <v/>
      </c>
      <c r="AT147" s="3">
        <f>AT148+Params!$B$9*Adds!AT220</f>
        <v/>
      </c>
      <c r="AU147" s="3">
        <f>AU148+Params!$B$9*Adds!AU220</f>
        <v/>
      </c>
      <c r="AV147" s="3">
        <f>AV148+Params!$B$9*Adds!AV220</f>
        <v/>
      </c>
      <c r="AW147" s="3">
        <f>AW148+Params!$B$9*Adds!AW220</f>
        <v/>
      </c>
      <c r="AX147" s="3">
        <f>AX148+Params!$B$9*Adds!AX220</f>
        <v/>
      </c>
      <c r="AY147" s="3">
        <f>AY148+Params!$B$9*Adds!AY220</f>
        <v/>
      </c>
      <c r="AZ147" s="3">
        <f>AZ148+Params!$B$9*Adds!AZ220</f>
        <v/>
      </c>
      <c r="BA147" s="3">
        <f>BA148+Params!$B$9*Adds!BA220</f>
        <v/>
      </c>
      <c r="BB147" s="3">
        <f>BB148+Params!$B$9*Adds!BB220</f>
        <v/>
      </c>
      <c r="BC147" s="3">
        <f>BC148+Params!$B$9*Adds!BC220</f>
        <v/>
      </c>
      <c r="BD147" s="3">
        <f>BD148+Params!$B$9*Adds!BD220</f>
        <v/>
      </c>
      <c r="BE147" s="3">
        <f>BE148+Params!$B$9*Adds!BE220</f>
        <v/>
      </c>
      <c r="BF147" s="3">
        <f>BF148+Params!$B$9*Adds!BF220</f>
        <v/>
      </c>
      <c r="BG147" s="3">
        <f>BG148+Params!$B$9*Adds!BG220</f>
        <v/>
      </c>
      <c r="BH147" s="3">
        <f>BH148+Params!$B$9*Adds!BH220</f>
        <v/>
      </c>
      <c r="BI147" s="3">
        <f>BI148+Params!$B$9*Adds!BI220</f>
        <v/>
      </c>
      <c r="BJ147" s="3">
        <f>BJ148+Params!$B$9*Adds!BJ220</f>
        <v/>
      </c>
      <c r="BK147" s="3">
        <f>BK148+Params!$B$9*Adds!BK220</f>
        <v/>
      </c>
      <c r="BL147" s="3">
        <f>BL148+Params!$B$9*Adds!BL220</f>
        <v/>
      </c>
      <c r="BM147" s="3">
        <f>BM148+Params!$B$9*Adds!BM220</f>
        <v/>
      </c>
      <c r="BN147" s="3">
        <f>BN148+Params!$B$9*Adds!BN220</f>
        <v/>
      </c>
      <c r="BO147" s="3">
        <f>BO148+Params!$B$9*Adds!BO220</f>
        <v/>
      </c>
      <c r="BP147" s="3">
        <f>BP148+Params!$B$9*Adds!BP220</f>
        <v/>
      </c>
      <c r="BQ147" s="3">
        <f>BQ148+Params!$B$9*Adds!BQ220</f>
        <v/>
      </c>
      <c r="BR147" s="3">
        <f>BR148+Params!$B$9*Adds!BR220</f>
        <v/>
      </c>
      <c r="BS147" s="3">
        <f>BS148+Params!$B$9*Adds!BS220</f>
        <v/>
      </c>
      <c r="BT147" s="3">
        <f>BT148+Params!$B$9*Adds!BT220</f>
        <v/>
      </c>
      <c r="BU147" s="3">
        <f>BU148+Params!$B$9*Adds!BU220</f>
        <v/>
      </c>
      <c r="BV147" s="3">
        <f>BV148+Params!$B$9*Adds!BV220</f>
        <v/>
      </c>
    </row>
    <row r="148">
      <c r="A148" t="inlineStr">
        <is>
          <t>paying</t>
        </is>
      </c>
      <c r="B148" t="inlineStr">
        <is>
          <t>ROW|BASIC_A</t>
        </is>
      </c>
      <c r="C148" s="3">
        <f>Legacy!C82+Paid!C79+React!C139</f>
        <v/>
      </c>
      <c r="D148" s="3">
        <f>Legacy!D82+Paid!D79+React!D139</f>
        <v/>
      </c>
      <c r="E148" s="3">
        <f>Legacy!E82+Paid!E79+React!E139</f>
        <v/>
      </c>
      <c r="F148" s="3">
        <f>Legacy!F82+Paid!F79+React!F139</f>
        <v/>
      </c>
      <c r="G148" s="3">
        <f>Legacy!G82+Paid!G79+React!G139</f>
        <v/>
      </c>
      <c r="H148" s="3">
        <f>Legacy!H82+Paid!H79+React!H139</f>
        <v/>
      </c>
      <c r="I148" s="3">
        <f>Legacy!I82+Paid!I79+React!I139</f>
        <v/>
      </c>
      <c r="J148" s="3">
        <f>Legacy!J82+Paid!J79+React!J139</f>
        <v/>
      </c>
      <c r="K148" s="3">
        <f>Legacy!K82+Paid!K79+React!K139</f>
        <v/>
      </c>
      <c r="L148" s="3">
        <f>Legacy!L82+Paid!L79+React!L139</f>
        <v/>
      </c>
      <c r="M148" s="3">
        <f>Legacy!M82+Paid!M79+React!M139</f>
        <v/>
      </c>
      <c r="N148" s="3">
        <f>Legacy!N82+Paid!N79+React!N139</f>
        <v/>
      </c>
      <c r="O148" s="3">
        <f>Legacy!O82+Paid!O79+React!O139</f>
        <v/>
      </c>
      <c r="P148" s="3">
        <f>Legacy!P82+Paid!P79+React!P139</f>
        <v/>
      </c>
      <c r="Q148" s="3">
        <f>Legacy!Q82+Paid!Q79+React!Q139</f>
        <v/>
      </c>
      <c r="R148" s="3">
        <f>Legacy!R82+Paid!R79+React!R139</f>
        <v/>
      </c>
      <c r="S148" s="3">
        <f>Legacy!S82+Paid!S79+React!S139</f>
        <v/>
      </c>
      <c r="T148" s="3">
        <f>Legacy!T82+Paid!T79+React!T139</f>
        <v/>
      </c>
      <c r="U148" s="3">
        <f>Legacy!U82+Paid!U79+React!U139</f>
        <v/>
      </c>
      <c r="V148" s="3">
        <f>Legacy!V82+Paid!V79+React!V139</f>
        <v/>
      </c>
      <c r="W148" s="3">
        <f>Legacy!W82+Paid!W79+React!W139</f>
        <v/>
      </c>
      <c r="X148" s="3">
        <f>Legacy!X82+Paid!X79+React!X139</f>
        <v/>
      </c>
      <c r="Y148" s="3">
        <f>Legacy!Y82+Paid!Y79+React!Y139</f>
        <v/>
      </c>
      <c r="Z148" s="3">
        <f>Legacy!Z82+Paid!Z79+React!Z139</f>
        <v/>
      </c>
      <c r="AA148" s="3">
        <f>Legacy!AA82+Paid!AA79+React!AA139</f>
        <v/>
      </c>
      <c r="AB148" s="3">
        <f>Legacy!AB82+Paid!AB79+React!AB139</f>
        <v/>
      </c>
      <c r="AC148" s="3">
        <f>Legacy!AC82+Paid!AC79+React!AC139</f>
        <v/>
      </c>
      <c r="AD148" s="3">
        <f>Legacy!AD82+Paid!AD79+React!AD139</f>
        <v/>
      </c>
      <c r="AE148" s="3">
        <f>Legacy!AE82+Paid!AE79+React!AE139</f>
        <v/>
      </c>
      <c r="AF148" s="3">
        <f>Legacy!AF82+Paid!AF79+React!AF139</f>
        <v/>
      </c>
      <c r="AG148" s="3">
        <f>Legacy!AG82+Paid!AG79+React!AG139</f>
        <v/>
      </c>
      <c r="AH148" s="3">
        <f>Legacy!AH82+Paid!AH79+React!AH139</f>
        <v/>
      </c>
      <c r="AI148" s="3">
        <f>Legacy!AI82+Paid!AI79+React!AI139</f>
        <v/>
      </c>
      <c r="AJ148" s="3">
        <f>Legacy!AJ82+Paid!AJ79+React!AJ139</f>
        <v/>
      </c>
      <c r="AK148" s="3">
        <f>Legacy!AK82+Paid!AK79+React!AK139</f>
        <v/>
      </c>
      <c r="AL148" s="3">
        <f>Legacy!AL82+Paid!AL79+React!AL139</f>
        <v/>
      </c>
      <c r="AM148" s="3">
        <f>Legacy!AM82+Paid!AM79+React!AM139</f>
        <v/>
      </c>
      <c r="AN148" s="3">
        <f>Legacy!AN82+Paid!AN79+React!AN139</f>
        <v/>
      </c>
      <c r="AO148" s="3">
        <f>Legacy!AO82+Paid!AO79+React!AO139</f>
        <v/>
      </c>
      <c r="AP148" s="3">
        <f>Legacy!AP82+Paid!AP79+React!AP139</f>
        <v/>
      </c>
      <c r="AQ148" s="3">
        <f>Legacy!AQ82+Paid!AQ79+React!AQ139</f>
        <v/>
      </c>
      <c r="AR148" s="3">
        <f>Legacy!AR82+Paid!AR79+React!AR139</f>
        <v/>
      </c>
      <c r="AS148" s="3">
        <f>Legacy!AS82+Paid!AS79+React!AS139</f>
        <v/>
      </c>
      <c r="AT148" s="3">
        <f>Legacy!AT82+Paid!AT79+React!AT139</f>
        <v/>
      </c>
      <c r="AU148" s="3">
        <f>Legacy!AU82+Paid!AU79+React!AU139</f>
        <v/>
      </c>
      <c r="AV148" s="3">
        <f>Legacy!AV82+Paid!AV79+React!AV139</f>
        <v/>
      </c>
      <c r="AW148" s="3">
        <f>Legacy!AW82+Paid!AW79+React!AW139</f>
        <v/>
      </c>
      <c r="AX148" s="3">
        <f>Legacy!AX82+Paid!AX79+React!AX139</f>
        <v/>
      </c>
      <c r="AY148" s="3">
        <f>Legacy!AY82+Paid!AY79+React!AY139</f>
        <v/>
      </c>
      <c r="AZ148" s="3">
        <f>Legacy!AZ82+Paid!AZ79+React!AZ139</f>
        <v/>
      </c>
      <c r="BA148" s="3">
        <f>Legacy!BA82+Paid!BA79+React!BA139</f>
        <v/>
      </c>
      <c r="BB148" s="3">
        <f>Legacy!BB82+Paid!BB79+React!BB139</f>
        <v/>
      </c>
      <c r="BC148" s="3">
        <f>Legacy!BC82+Paid!BC79+React!BC139</f>
        <v/>
      </c>
      <c r="BD148" s="3">
        <f>Legacy!BD82+Paid!BD79+React!BD139</f>
        <v/>
      </c>
      <c r="BE148" s="3">
        <f>Legacy!BE82+Paid!BE79+React!BE139</f>
        <v/>
      </c>
      <c r="BF148" s="3">
        <f>Legacy!BF82+Paid!BF79+React!BF139</f>
        <v/>
      </c>
      <c r="BG148" s="3">
        <f>Legacy!BG82+Paid!BG79+React!BG139</f>
        <v/>
      </c>
      <c r="BH148" s="3">
        <f>Legacy!BH82+Paid!BH79+React!BH139</f>
        <v/>
      </c>
      <c r="BI148" s="3">
        <f>Legacy!BI82+Paid!BI79+React!BI139</f>
        <v/>
      </c>
      <c r="BJ148" s="3">
        <f>Legacy!BJ82+Paid!BJ79+React!BJ139</f>
        <v/>
      </c>
      <c r="BK148" s="3">
        <f>Legacy!BK82+Paid!BK79+React!BK139</f>
        <v/>
      </c>
      <c r="BL148" s="3">
        <f>Legacy!BL82+Paid!BL79+React!BL139</f>
        <v/>
      </c>
      <c r="BM148" s="3">
        <f>Legacy!BM82+Paid!BM79+React!BM139</f>
        <v/>
      </c>
      <c r="BN148" s="3">
        <f>Legacy!BN82+Paid!BN79+React!BN139</f>
        <v/>
      </c>
      <c r="BO148" s="3">
        <f>Legacy!BO82+Paid!BO79+React!BO139</f>
        <v/>
      </c>
      <c r="BP148" s="3">
        <f>Legacy!BP82+Paid!BP79+React!BP139</f>
        <v/>
      </c>
      <c r="BQ148" s="3">
        <f>Legacy!BQ82+Paid!BQ79+React!BQ139</f>
        <v/>
      </c>
      <c r="BR148" s="3">
        <f>Legacy!BR82+Paid!BR79+React!BR139</f>
        <v/>
      </c>
      <c r="BS148" s="3">
        <f>Legacy!BS82+Paid!BS79+React!BS139</f>
        <v/>
      </c>
      <c r="BT148" s="3">
        <f>Legacy!BT82+Paid!BT79+React!BT139</f>
        <v/>
      </c>
      <c r="BU148" s="3">
        <f>Legacy!BU82+Paid!BU79+React!BU139</f>
        <v/>
      </c>
      <c r="BV148" s="3">
        <f>Legacy!BV82+Paid!BV79+React!BV139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V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s="1" t="inlineStr">
        <is>
          <t>net revenue $</t>
        </is>
      </c>
      <c r="B3" s="1" t="inlineStr">
        <is>
          <t>TOTAL</t>
        </is>
      </c>
      <c r="C3" s="8">
        <f>SUM(C5,C6,C7,C8,C9,C10,C11,C12,C13,C14,C15,C16,C17,C18,C19,C20,C21,C22,C23,C24)</f>
        <v/>
      </c>
      <c r="D3" s="8">
        <f>SUM(D5,D6,D7,D8,D9,D10,D11,D12,D13,D14,D15,D16,D17,D18,D19,D20,D21,D22,D23,D24)</f>
        <v/>
      </c>
      <c r="E3" s="8">
        <f>SUM(E5,E6,E7,E8,E9,E10,E11,E12,E13,E14,E15,E16,E17,E18,E19,E20,E21,E22,E23,E24)</f>
        <v/>
      </c>
      <c r="F3" s="8">
        <f>SUM(F5,F6,F7,F8,F9,F10,F11,F12,F13,F14,F15,F16,F17,F18,F19,F20,F21,F22,F23,F24)</f>
        <v/>
      </c>
      <c r="G3" s="8">
        <f>SUM(G5,G6,G7,G8,G9,G10,G11,G12,G13,G14,G15,G16,G17,G18,G19,G20,G21,G22,G23,G24)</f>
        <v/>
      </c>
      <c r="H3" s="8">
        <f>SUM(H5,H6,H7,H8,H9,H10,H11,H12,H13,H14,H15,H16,H17,H18,H19,H20,H21,H22,H23,H24)</f>
        <v/>
      </c>
      <c r="I3" s="8">
        <f>SUM(I5,I6,I7,I8,I9,I10,I11,I12,I13,I14,I15,I16,I17,I18,I19,I20,I21,I22,I23,I24)</f>
        <v/>
      </c>
      <c r="J3" s="8">
        <f>SUM(J5,J6,J7,J8,J9,J10,J11,J12,J13,J14,J15,J16,J17,J18,J19,J20,J21,J22,J23,J24)</f>
        <v/>
      </c>
      <c r="K3" s="8">
        <f>SUM(K5,K6,K7,K8,K9,K10,K11,K12,K13,K14,K15,K16,K17,K18,K19,K20,K21,K22,K23,K24)</f>
        <v/>
      </c>
      <c r="L3" s="8">
        <f>SUM(L5,L6,L7,L8,L9,L10,L11,L12,L13,L14,L15,L16,L17,L18,L19,L20,L21,L22,L23,L24)</f>
        <v/>
      </c>
      <c r="M3" s="8">
        <f>SUM(M5,M6,M7,M8,M9,M10,M11,M12,M13,M14,M15,M16,M17,M18,M19,M20,M21,M22,M23,M24)</f>
        <v/>
      </c>
      <c r="N3" s="8">
        <f>SUM(N5,N6,N7,N8,N9,N10,N11,N12,N13,N14,N15,N16,N17,N18,N19,N20,N21,N22,N23,N24)</f>
        <v/>
      </c>
      <c r="O3" s="8">
        <f>SUM(O5,O6,O7,O8,O9,O10,O11,O12,O13,O14,O15,O16,O17,O18,O19,O20,O21,O22,O23,O24)</f>
        <v/>
      </c>
      <c r="P3" s="8">
        <f>SUM(P5,P6,P7,P8,P9,P10,P11,P12,P13,P14,P15,P16,P17,P18,P19,P20,P21,P22,P23,P24)</f>
        <v/>
      </c>
      <c r="Q3" s="8">
        <f>SUM(Q5,Q6,Q7,Q8,Q9,Q10,Q11,Q12,Q13,Q14,Q15,Q16,Q17,Q18,Q19,Q20,Q21,Q22,Q23,Q24)</f>
        <v/>
      </c>
      <c r="R3" s="8">
        <f>SUM(R5,R6,R7,R8,R9,R10,R11,R12,R13,R14,R15,R16,R17,R18,R19,R20,R21,R22,R23,R24)</f>
        <v/>
      </c>
      <c r="S3" s="8">
        <f>SUM(S5,S6,S7,S8,S9,S10,S11,S12,S13,S14,S15,S16,S17,S18,S19,S20,S21,S22,S23,S24)</f>
        <v/>
      </c>
      <c r="T3" s="8">
        <f>SUM(T5,T6,T7,T8,T9,T10,T11,T12,T13,T14,T15,T16,T17,T18,T19,T20,T21,T22,T23,T24)</f>
        <v/>
      </c>
      <c r="U3" s="8">
        <f>SUM(U5,U6,U7,U8,U9,U10,U11,U12,U13,U14,U15,U16,U17,U18,U19,U20,U21,U22,U23,U24)</f>
        <v/>
      </c>
      <c r="V3" s="8">
        <f>SUM(V5,V6,V7,V8,V9,V10,V11,V12,V13,V14,V15,V16,V17,V18,V19,V20,V21,V22,V23,V24)</f>
        <v/>
      </c>
      <c r="W3" s="8">
        <f>SUM(W5,W6,W7,W8,W9,W10,W11,W12,W13,W14,W15,W16,W17,W18,W19,W20,W21,W22,W23,W24)</f>
        <v/>
      </c>
      <c r="X3" s="8">
        <f>SUM(X5,X6,X7,X8,X9,X10,X11,X12,X13,X14,X15,X16,X17,X18,X19,X20,X21,X22,X23,X24)</f>
        <v/>
      </c>
      <c r="Y3" s="8">
        <f>SUM(Y5,Y6,Y7,Y8,Y9,Y10,Y11,Y12,Y13,Y14,Y15,Y16,Y17,Y18,Y19,Y20,Y21,Y22,Y23,Y24)</f>
        <v/>
      </c>
      <c r="Z3" s="8">
        <f>SUM(Z5,Z6,Z7,Z8,Z9,Z10,Z11,Z12,Z13,Z14,Z15,Z16,Z17,Z18,Z19,Z20,Z21,Z22,Z23,Z24)</f>
        <v/>
      </c>
      <c r="AA3" s="8">
        <f>SUM(AA5,AA6,AA7,AA8,AA9,AA10,AA11,AA12,AA13,AA14,AA15,AA16,AA17,AA18,AA19,AA20,AA21,AA22,AA23,AA24)</f>
        <v/>
      </c>
      <c r="AB3" s="8">
        <f>SUM(AB5,AB6,AB7,AB8,AB9,AB10,AB11,AB12,AB13,AB14,AB15,AB16,AB17,AB18,AB19,AB20,AB21,AB22,AB23,AB24)</f>
        <v/>
      </c>
      <c r="AC3" s="8">
        <f>SUM(AC5,AC6,AC7,AC8,AC9,AC10,AC11,AC12,AC13,AC14,AC15,AC16,AC17,AC18,AC19,AC20,AC21,AC22,AC23,AC24)</f>
        <v/>
      </c>
      <c r="AD3" s="8">
        <f>SUM(AD5,AD6,AD7,AD8,AD9,AD10,AD11,AD12,AD13,AD14,AD15,AD16,AD17,AD18,AD19,AD20,AD21,AD22,AD23,AD24)</f>
        <v/>
      </c>
      <c r="AE3" s="8">
        <f>SUM(AE5,AE6,AE7,AE8,AE9,AE10,AE11,AE12,AE13,AE14,AE15,AE16,AE17,AE18,AE19,AE20,AE21,AE22,AE23,AE24)</f>
        <v/>
      </c>
      <c r="AF3" s="8">
        <f>SUM(AF5,AF6,AF7,AF8,AF9,AF10,AF11,AF12,AF13,AF14,AF15,AF16,AF17,AF18,AF19,AF20,AF21,AF22,AF23,AF24)</f>
        <v/>
      </c>
      <c r="AG3" s="8">
        <f>SUM(AG5,AG6,AG7,AG8,AG9,AG10,AG11,AG12,AG13,AG14,AG15,AG16,AG17,AG18,AG19,AG20,AG21,AG22,AG23,AG24)</f>
        <v/>
      </c>
      <c r="AH3" s="8">
        <f>SUM(AH5,AH6,AH7,AH8,AH9,AH10,AH11,AH12,AH13,AH14,AH15,AH16,AH17,AH18,AH19,AH20,AH21,AH22,AH23,AH24)</f>
        <v/>
      </c>
      <c r="AI3" s="8">
        <f>SUM(AI5,AI6,AI7,AI8,AI9,AI10,AI11,AI12,AI13,AI14,AI15,AI16,AI17,AI18,AI19,AI20,AI21,AI22,AI23,AI24)</f>
        <v/>
      </c>
      <c r="AJ3" s="8">
        <f>SUM(AJ5,AJ6,AJ7,AJ8,AJ9,AJ10,AJ11,AJ12,AJ13,AJ14,AJ15,AJ16,AJ17,AJ18,AJ19,AJ20,AJ21,AJ22,AJ23,AJ24)</f>
        <v/>
      </c>
      <c r="AK3" s="8">
        <f>SUM(AK5,AK6,AK7,AK8,AK9,AK10,AK11,AK12,AK13,AK14,AK15,AK16,AK17,AK18,AK19,AK20,AK21,AK22,AK23,AK24)</f>
        <v/>
      </c>
      <c r="AL3" s="8">
        <f>SUM(AL5,AL6,AL7,AL8,AL9,AL10,AL11,AL12,AL13,AL14,AL15,AL16,AL17,AL18,AL19,AL20,AL21,AL22,AL23,AL24)</f>
        <v/>
      </c>
      <c r="AM3" s="8">
        <f>SUM(AM5,AM6,AM7,AM8,AM9,AM10,AM11,AM12,AM13,AM14,AM15,AM16,AM17,AM18,AM19,AM20,AM21,AM22,AM23,AM24)</f>
        <v/>
      </c>
      <c r="AN3" s="8">
        <f>SUM(AN5,AN6,AN7,AN8,AN9,AN10,AN11,AN12,AN13,AN14,AN15,AN16,AN17,AN18,AN19,AN20,AN21,AN22,AN23,AN24)</f>
        <v/>
      </c>
      <c r="AO3" s="8">
        <f>SUM(AO5,AO6,AO7,AO8,AO9,AO10,AO11,AO12,AO13,AO14,AO15,AO16,AO17,AO18,AO19,AO20,AO21,AO22,AO23,AO24)</f>
        <v/>
      </c>
      <c r="AP3" s="8">
        <f>SUM(AP5,AP6,AP7,AP8,AP9,AP10,AP11,AP12,AP13,AP14,AP15,AP16,AP17,AP18,AP19,AP20,AP21,AP22,AP23,AP24)</f>
        <v/>
      </c>
      <c r="AQ3" s="8">
        <f>SUM(AQ5,AQ6,AQ7,AQ8,AQ9,AQ10,AQ11,AQ12,AQ13,AQ14,AQ15,AQ16,AQ17,AQ18,AQ19,AQ20,AQ21,AQ22,AQ23,AQ24)</f>
        <v/>
      </c>
      <c r="AR3" s="8">
        <f>SUM(AR5,AR6,AR7,AR8,AR9,AR10,AR11,AR12,AR13,AR14,AR15,AR16,AR17,AR18,AR19,AR20,AR21,AR22,AR23,AR24)</f>
        <v/>
      </c>
      <c r="AS3" s="8">
        <f>SUM(AS5,AS6,AS7,AS8,AS9,AS10,AS11,AS12,AS13,AS14,AS15,AS16,AS17,AS18,AS19,AS20,AS21,AS22,AS23,AS24)</f>
        <v/>
      </c>
      <c r="AT3" s="8">
        <f>SUM(AT5,AT6,AT7,AT8,AT9,AT10,AT11,AT12,AT13,AT14,AT15,AT16,AT17,AT18,AT19,AT20,AT21,AT22,AT23,AT24)</f>
        <v/>
      </c>
      <c r="AU3" s="8">
        <f>SUM(AU5,AU6,AU7,AU8,AU9,AU10,AU11,AU12,AU13,AU14,AU15,AU16,AU17,AU18,AU19,AU20,AU21,AU22,AU23,AU24)</f>
        <v/>
      </c>
      <c r="AV3" s="8">
        <f>SUM(AV5,AV6,AV7,AV8,AV9,AV10,AV11,AV12,AV13,AV14,AV15,AV16,AV17,AV18,AV19,AV20,AV21,AV22,AV23,AV24)</f>
        <v/>
      </c>
      <c r="AW3" s="8">
        <f>SUM(AW5,AW6,AW7,AW8,AW9,AW10,AW11,AW12,AW13,AW14,AW15,AW16,AW17,AW18,AW19,AW20,AW21,AW22,AW23,AW24)</f>
        <v/>
      </c>
      <c r="AX3" s="8">
        <f>SUM(AX5,AX6,AX7,AX8,AX9,AX10,AX11,AX12,AX13,AX14,AX15,AX16,AX17,AX18,AX19,AX20,AX21,AX22,AX23,AX24)</f>
        <v/>
      </c>
      <c r="AY3" s="8">
        <f>SUM(AY5,AY6,AY7,AY8,AY9,AY10,AY11,AY12,AY13,AY14,AY15,AY16,AY17,AY18,AY19,AY20,AY21,AY22,AY23,AY24)</f>
        <v/>
      </c>
      <c r="AZ3" s="8">
        <f>SUM(AZ5,AZ6,AZ7,AZ8,AZ9,AZ10,AZ11,AZ12,AZ13,AZ14,AZ15,AZ16,AZ17,AZ18,AZ19,AZ20,AZ21,AZ22,AZ23,AZ24)</f>
        <v/>
      </c>
      <c r="BA3" s="8">
        <f>SUM(BA5,BA6,BA7,BA8,BA9,BA10,BA11,BA12,BA13,BA14,BA15,BA16,BA17,BA18,BA19,BA20,BA21,BA22,BA23,BA24)</f>
        <v/>
      </c>
      <c r="BB3" s="8">
        <f>SUM(BB5,BB6,BB7,BB8,BB9,BB10,BB11,BB12,BB13,BB14,BB15,BB16,BB17,BB18,BB19,BB20,BB21,BB22,BB23,BB24)</f>
        <v/>
      </c>
      <c r="BC3" s="8">
        <f>SUM(BC5,BC6,BC7,BC8,BC9,BC10,BC11,BC12,BC13,BC14,BC15,BC16,BC17,BC18,BC19,BC20,BC21,BC22,BC23,BC24)</f>
        <v/>
      </c>
      <c r="BD3" s="8">
        <f>SUM(BD5,BD6,BD7,BD8,BD9,BD10,BD11,BD12,BD13,BD14,BD15,BD16,BD17,BD18,BD19,BD20,BD21,BD22,BD23,BD24)</f>
        <v/>
      </c>
      <c r="BE3" s="8">
        <f>SUM(BE5,BE6,BE7,BE8,BE9,BE10,BE11,BE12,BE13,BE14,BE15,BE16,BE17,BE18,BE19,BE20,BE21,BE22,BE23,BE24)</f>
        <v/>
      </c>
      <c r="BF3" s="8">
        <f>SUM(BF5,BF6,BF7,BF8,BF9,BF10,BF11,BF12,BF13,BF14,BF15,BF16,BF17,BF18,BF19,BF20,BF21,BF22,BF23,BF24)</f>
        <v/>
      </c>
      <c r="BG3" s="8">
        <f>SUM(BG5,BG6,BG7,BG8,BG9,BG10,BG11,BG12,BG13,BG14,BG15,BG16,BG17,BG18,BG19,BG20,BG21,BG22,BG23,BG24)</f>
        <v/>
      </c>
      <c r="BH3" s="8">
        <f>SUM(BH5,BH6,BH7,BH8,BH9,BH10,BH11,BH12,BH13,BH14,BH15,BH16,BH17,BH18,BH19,BH20,BH21,BH22,BH23,BH24)</f>
        <v/>
      </c>
      <c r="BI3" s="8">
        <f>SUM(BI5,BI6,BI7,BI8,BI9,BI10,BI11,BI12,BI13,BI14,BI15,BI16,BI17,BI18,BI19,BI20,BI21,BI22,BI23,BI24)</f>
        <v/>
      </c>
      <c r="BJ3" s="8">
        <f>SUM(BJ5,BJ6,BJ7,BJ8,BJ9,BJ10,BJ11,BJ12,BJ13,BJ14,BJ15,BJ16,BJ17,BJ18,BJ19,BJ20,BJ21,BJ22,BJ23,BJ24)</f>
        <v/>
      </c>
      <c r="BK3" s="8">
        <f>SUM(BK5,BK6,BK7,BK8,BK9,BK10,BK11,BK12,BK13,BK14,BK15,BK16,BK17,BK18,BK19,BK20,BK21,BK22,BK23,BK24)</f>
        <v/>
      </c>
      <c r="BL3" s="8">
        <f>SUM(BL5,BL6,BL7,BL8,BL9,BL10,BL11,BL12,BL13,BL14,BL15,BL16,BL17,BL18,BL19,BL20,BL21,BL22,BL23,BL24)</f>
        <v/>
      </c>
      <c r="BM3" s="8">
        <f>SUM(BM5,BM6,BM7,BM8,BM9,BM10,BM11,BM12,BM13,BM14,BM15,BM16,BM17,BM18,BM19,BM20,BM21,BM22,BM23,BM24)</f>
        <v/>
      </c>
      <c r="BN3" s="8">
        <f>SUM(BN5,BN6,BN7,BN8,BN9,BN10,BN11,BN12,BN13,BN14,BN15,BN16,BN17,BN18,BN19,BN20,BN21,BN22,BN23,BN24)</f>
        <v/>
      </c>
      <c r="BO3" s="8">
        <f>SUM(BO5,BO6,BO7,BO8,BO9,BO10,BO11,BO12,BO13,BO14,BO15,BO16,BO17,BO18,BO19,BO20,BO21,BO22,BO23,BO24)</f>
        <v/>
      </c>
      <c r="BP3" s="8">
        <f>SUM(BP5,BP6,BP7,BP8,BP9,BP10,BP11,BP12,BP13,BP14,BP15,BP16,BP17,BP18,BP19,BP20,BP21,BP22,BP23,BP24)</f>
        <v/>
      </c>
      <c r="BQ3" s="8">
        <f>SUM(BQ5,BQ6,BQ7,BQ8,BQ9,BQ10,BQ11,BQ12,BQ13,BQ14,BQ15,BQ16,BQ17,BQ18,BQ19,BQ20,BQ21,BQ22,BQ23,BQ24)</f>
        <v/>
      </c>
      <c r="BR3" s="8">
        <f>SUM(BR5,BR6,BR7,BR8,BR9,BR10,BR11,BR12,BR13,BR14,BR15,BR16,BR17,BR18,BR19,BR20,BR21,BR22,BR23,BR24)</f>
        <v/>
      </c>
      <c r="BS3" s="8">
        <f>SUM(BS5,BS6,BS7,BS8,BS9,BS10,BS11,BS12,BS13,BS14,BS15,BS16,BS17,BS18,BS19,BS20,BS21,BS22,BS23,BS24)</f>
        <v/>
      </c>
      <c r="BT3" s="8">
        <f>SUM(BT5,BT6,BT7,BT8,BT9,BT10,BT11,BT12,BT13,BT14,BT15,BT16,BT17,BT18,BT19,BT20,BT21,BT22,BT23,BT24)</f>
        <v/>
      </c>
      <c r="BU3" s="8">
        <f>SUM(BU5,BU6,BU7,BU8,BU9,BU10,BU11,BU12,BU13,BU14,BU15,BU16,BU17,BU18,BU19,BU20,BU21,BU22,BU23,BU24)</f>
        <v/>
      </c>
      <c r="BV3" s="8">
        <f>SUM(BV5,BV6,BV7,BV8,BV9,BV10,BV11,BV12,BV13,BV14,BV15,BV16,BV17,BV18,BV19,BV20,BV21,BV22,BV23,BV24)</f>
        <v/>
      </c>
    </row>
    <row r="5">
      <c r="A5" t="inlineStr">
        <is>
          <t>net revenue $</t>
        </is>
      </c>
      <c r="B5" t="inlineStr">
        <is>
          <t>US_CA|NITRO_M</t>
        </is>
      </c>
      <c r="C5" s="9">
        <f>(Paid!C4+React!C7+Legacy!C6*Legacy!C$3)*Prices!$H$2+(Subs!C15-(Paid!C4+React!C7+Legacy!C6*Legacy!C$3))*Prices!$I$2</f>
        <v/>
      </c>
      <c r="D5" s="9">
        <f>(Paid!D4+React!D7+Legacy!D6*Legacy!D$3)*Prices!$H$2+(Subs!D15-(Paid!D4+React!D7+Legacy!D6*Legacy!D$3))*Prices!$I$2</f>
        <v/>
      </c>
      <c r="E5" s="9">
        <f>(Paid!E4+React!E7+Legacy!E6*Legacy!E$3)*Prices!$H$2+(Subs!E15-(Paid!E4+React!E7+Legacy!E6*Legacy!E$3))*Prices!$I$2</f>
        <v/>
      </c>
      <c r="F5" s="9">
        <f>(Paid!F4+React!F7+Legacy!F6*Legacy!F$3)*Prices!$H$2+(Subs!F15-(Paid!F4+React!F7+Legacy!F6*Legacy!F$3))*Prices!$I$2</f>
        <v/>
      </c>
      <c r="G5" s="9">
        <f>(Paid!G4+React!G7+Legacy!G6*Legacy!G$3)*Prices!$H$2+(Subs!G15-(Paid!G4+React!G7+Legacy!G6*Legacy!G$3))*Prices!$I$2</f>
        <v/>
      </c>
      <c r="H5" s="9">
        <f>(Paid!H4+React!H7+Legacy!H6*Legacy!H$3)*Prices!$H$2+(Subs!H15-(Paid!H4+React!H7+Legacy!H6*Legacy!H$3))*Prices!$I$2</f>
        <v/>
      </c>
      <c r="I5" s="9">
        <f>(Paid!I4+React!I7+Legacy!I6*Legacy!I$3)*Prices!$H$2+(Subs!I15-(Paid!I4+React!I7+Legacy!I6*Legacy!I$3))*Prices!$I$2</f>
        <v/>
      </c>
      <c r="J5" s="9">
        <f>(Paid!J4+React!J7+Legacy!J6*Legacy!J$3)*Prices!$H$2+(Subs!J15-(Paid!J4+React!J7+Legacy!J6*Legacy!J$3))*Prices!$I$2</f>
        <v/>
      </c>
      <c r="K5" s="9">
        <f>(Paid!K4+React!K7+Legacy!K6*Legacy!K$3)*Prices!$H$2+(Subs!K15-(Paid!K4+React!K7+Legacy!K6*Legacy!K$3))*Prices!$I$2</f>
        <v/>
      </c>
      <c r="L5" s="9">
        <f>(Paid!L4+React!L7+Legacy!L6*Legacy!L$3)*Prices!$H$2+(Subs!L15-(Paid!L4+React!L7+Legacy!L6*Legacy!L$3))*Prices!$I$2</f>
        <v/>
      </c>
      <c r="M5" s="9">
        <f>(Paid!M4+React!M7+Legacy!M6*Legacy!M$3)*Prices!$H$2+(Subs!M15-(Paid!M4+React!M7+Legacy!M6*Legacy!M$3))*Prices!$I$2</f>
        <v/>
      </c>
      <c r="N5" s="9">
        <f>(Paid!N4+React!N7+Legacy!N6*Legacy!N$3)*Prices!$H$2+(Subs!N15-(Paid!N4+React!N7+Legacy!N6*Legacy!N$3))*Prices!$I$2</f>
        <v/>
      </c>
      <c r="O5" s="9">
        <f>(Paid!O4+React!O7+Legacy!O6*Legacy!O$3)*Prices!$H$2+(Subs!O15-(Paid!O4+React!O7+Legacy!O6*Legacy!O$3))*Prices!$I$2</f>
        <v/>
      </c>
      <c r="P5" s="9">
        <f>(Paid!P4+React!P7+Legacy!P6*Legacy!P$3)*Prices!$H$2+(Subs!P15-(Paid!P4+React!P7+Legacy!P6*Legacy!P$3))*Prices!$I$2</f>
        <v/>
      </c>
      <c r="Q5" s="9">
        <f>(Paid!Q4+React!Q7+Legacy!Q6*Legacy!Q$3)*Prices!$H$2+(Subs!Q15-(Paid!Q4+React!Q7+Legacy!Q6*Legacy!Q$3))*Prices!$I$2</f>
        <v/>
      </c>
      <c r="R5" s="9">
        <f>(Paid!R4+React!R7+Legacy!R6*Legacy!R$3)*Prices!$H$2+(Subs!R15-(Paid!R4+React!R7+Legacy!R6*Legacy!R$3))*Prices!$I$2</f>
        <v/>
      </c>
      <c r="S5" s="9">
        <f>(Paid!S4+React!S7+Legacy!S6*Legacy!S$3)*Prices!$H$2+(Subs!S15-(Paid!S4+React!S7+Legacy!S6*Legacy!S$3))*Prices!$I$2</f>
        <v/>
      </c>
      <c r="T5" s="9">
        <f>(Paid!T4+React!T7+Legacy!T6*Legacy!T$3)*Prices!$H$2+(Subs!T15-(Paid!T4+React!T7+Legacy!T6*Legacy!T$3))*Prices!$I$2</f>
        <v/>
      </c>
      <c r="U5" s="9">
        <f>(Paid!U4+React!U7+Legacy!U6*Legacy!U$3)*Prices!$H$2+(Subs!U15-(Paid!U4+React!U7+Legacy!U6*Legacy!U$3))*Prices!$I$2</f>
        <v/>
      </c>
      <c r="V5" s="9">
        <f>(Paid!V4+React!V7+Legacy!V6*Legacy!V$3)*Prices!$H$2+(Subs!V15-(Paid!V4+React!V7+Legacy!V6*Legacy!V$3))*Prices!$I$2</f>
        <v/>
      </c>
      <c r="W5" s="9">
        <f>(Paid!W4+React!W7+Legacy!W6*Legacy!W$3)*Prices!$H$2+(Subs!W15-(Paid!W4+React!W7+Legacy!W6*Legacy!W$3))*Prices!$I$2</f>
        <v/>
      </c>
      <c r="X5" s="9">
        <f>(Paid!X4+React!X7+Legacy!X6*Legacy!X$3)*Prices!$H$2+(Subs!X15-(Paid!X4+React!X7+Legacy!X6*Legacy!X$3))*Prices!$I$2</f>
        <v/>
      </c>
      <c r="Y5" s="9">
        <f>(Paid!Y4+React!Y7+Legacy!Y6*Legacy!Y$3)*Prices!$H$2+(Subs!Y15-(Paid!Y4+React!Y7+Legacy!Y6*Legacy!Y$3))*Prices!$I$2</f>
        <v/>
      </c>
      <c r="Z5" s="9">
        <f>(Paid!Z4+React!Z7+Legacy!Z6*Legacy!Z$3)*Prices!$H$2+(Subs!Z15-(Paid!Z4+React!Z7+Legacy!Z6*Legacy!Z$3))*Prices!$I$2</f>
        <v/>
      </c>
      <c r="AA5" s="9">
        <f>(Paid!AA4+React!AA7+Legacy!AA6*Legacy!AA$3)*Prices!$H$2+(Subs!AA15-(Paid!AA4+React!AA7+Legacy!AA6*Legacy!AA$3))*Prices!$I$2</f>
        <v/>
      </c>
      <c r="AB5" s="9">
        <f>(Paid!AB4+React!AB7+Legacy!AB6*Legacy!AB$3)*Prices!$H$2+(Subs!AB15-(Paid!AB4+React!AB7+Legacy!AB6*Legacy!AB$3))*Prices!$I$2</f>
        <v/>
      </c>
      <c r="AC5" s="9">
        <f>(Paid!AC4+React!AC7+Legacy!AC6*Legacy!AC$3)*Prices!$H$2+(Subs!AC15-(Paid!AC4+React!AC7+Legacy!AC6*Legacy!AC$3))*Prices!$I$2</f>
        <v/>
      </c>
      <c r="AD5" s="9">
        <f>(Paid!AD4+React!AD7+Legacy!AD6*Legacy!AD$3)*Prices!$H$2+(Subs!AD15-(Paid!AD4+React!AD7+Legacy!AD6*Legacy!AD$3))*Prices!$I$2</f>
        <v/>
      </c>
      <c r="AE5" s="9">
        <f>(Paid!AE4+React!AE7+Legacy!AE6*Legacy!AE$3)*Prices!$H$2+(Subs!AE15-(Paid!AE4+React!AE7+Legacy!AE6*Legacy!AE$3))*Prices!$I$2</f>
        <v/>
      </c>
      <c r="AF5" s="9">
        <f>(Paid!AF4+React!AF7+Legacy!AF6*Legacy!AF$3)*Prices!$H$2+(Subs!AF15-(Paid!AF4+React!AF7+Legacy!AF6*Legacy!AF$3))*Prices!$I$2</f>
        <v/>
      </c>
      <c r="AG5" s="9">
        <f>(Paid!AG4+React!AG7+Legacy!AG6*Legacy!AG$3)*Prices!$H$2+(Subs!AG15-(Paid!AG4+React!AG7+Legacy!AG6*Legacy!AG$3))*Prices!$I$2</f>
        <v/>
      </c>
      <c r="AH5" s="9">
        <f>(Paid!AH4+React!AH7+Legacy!AH6*Legacy!AH$3)*Prices!$H$2+(Subs!AH15-(Paid!AH4+React!AH7+Legacy!AH6*Legacy!AH$3))*Prices!$I$2</f>
        <v/>
      </c>
      <c r="AI5" s="9">
        <f>(Paid!AI4+React!AI7+Legacy!AI6*Legacy!AI$3)*Prices!$H$2+(Subs!AI15-(Paid!AI4+React!AI7+Legacy!AI6*Legacy!AI$3))*Prices!$I$2</f>
        <v/>
      </c>
      <c r="AJ5" s="9">
        <f>(Paid!AJ4+React!AJ7+Legacy!AJ6*Legacy!AJ$3)*Prices!$H$2+(Subs!AJ15-(Paid!AJ4+React!AJ7+Legacy!AJ6*Legacy!AJ$3))*Prices!$I$2</f>
        <v/>
      </c>
      <c r="AK5" s="9">
        <f>(Paid!AK4+React!AK7+Legacy!AK6*Legacy!AK$3)*Prices!$H$2+(Subs!AK15-(Paid!AK4+React!AK7+Legacy!AK6*Legacy!AK$3))*Prices!$I$2</f>
        <v/>
      </c>
      <c r="AL5" s="9">
        <f>(Paid!AL4+React!AL7+Legacy!AL6*Legacy!AL$3)*Prices!$H$2+(Subs!AL15-(Paid!AL4+React!AL7+Legacy!AL6*Legacy!AL$3))*Prices!$I$2</f>
        <v/>
      </c>
      <c r="AM5" s="9">
        <f>(Paid!AM4+React!AM7+Legacy!AM6*Legacy!AM$3)*Prices!$H$2+(Subs!AM15-(Paid!AM4+React!AM7+Legacy!AM6*Legacy!AM$3))*Prices!$I$2</f>
        <v/>
      </c>
      <c r="AN5" s="9">
        <f>(Paid!AN4+React!AN7+Legacy!AN6*Legacy!AN$3)*Prices!$H$2+(Subs!AN15-(Paid!AN4+React!AN7+Legacy!AN6*Legacy!AN$3))*Prices!$I$2</f>
        <v/>
      </c>
      <c r="AO5" s="9">
        <f>(Paid!AO4+React!AO7+Legacy!AO6*Legacy!AO$3)*Prices!$H$2+(Subs!AO15-(Paid!AO4+React!AO7+Legacy!AO6*Legacy!AO$3))*Prices!$I$2</f>
        <v/>
      </c>
      <c r="AP5" s="9">
        <f>(Paid!AP4+React!AP7+Legacy!AP6*Legacy!AP$3)*Prices!$H$2+(Subs!AP15-(Paid!AP4+React!AP7+Legacy!AP6*Legacy!AP$3))*Prices!$I$2</f>
        <v/>
      </c>
      <c r="AQ5" s="9">
        <f>(Paid!AQ4+React!AQ7+Legacy!AQ6*Legacy!AQ$3)*Prices!$H$2+(Subs!AQ15-(Paid!AQ4+React!AQ7+Legacy!AQ6*Legacy!AQ$3))*Prices!$I$2</f>
        <v/>
      </c>
      <c r="AR5" s="9">
        <f>(Paid!AR4+React!AR7+Legacy!AR6*Legacy!AR$3)*Prices!$H$2+(Subs!AR15-(Paid!AR4+React!AR7+Legacy!AR6*Legacy!AR$3))*Prices!$I$2</f>
        <v/>
      </c>
      <c r="AS5" s="9">
        <f>(Paid!AS4+React!AS7+Legacy!AS6*Legacy!AS$3)*Prices!$H$2+(Subs!AS15-(Paid!AS4+React!AS7+Legacy!AS6*Legacy!AS$3))*Prices!$I$2</f>
        <v/>
      </c>
      <c r="AT5" s="9">
        <f>(Paid!AT4+React!AT7+Legacy!AT6*Legacy!AT$3)*Prices!$H$2+(Subs!AT15-(Paid!AT4+React!AT7+Legacy!AT6*Legacy!AT$3))*Prices!$I$2</f>
        <v/>
      </c>
      <c r="AU5" s="9">
        <f>(Paid!AU4+React!AU7+Legacy!AU6*Legacy!AU$3)*Prices!$H$2+(Subs!AU15-(Paid!AU4+React!AU7+Legacy!AU6*Legacy!AU$3))*Prices!$I$2</f>
        <v/>
      </c>
      <c r="AV5" s="9">
        <f>(Paid!AV4+React!AV7+Legacy!AV6*Legacy!AV$3)*Prices!$H$2+(Subs!AV15-(Paid!AV4+React!AV7+Legacy!AV6*Legacy!AV$3))*Prices!$I$2</f>
        <v/>
      </c>
      <c r="AW5" s="9">
        <f>(Paid!AW4+React!AW7+Legacy!AW6*Legacy!AW$3)*Prices!$H$2+(Subs!AW15-(Paid!AW4+React!AW7+Legacy!AW6*Legacy!AW$3))*Prices!$I$2</f>
        <v/>
      </c>
      <c r="AX5" s="9">
        <f>(Paid!AX4+React!AX7+Legacy!AX6*Legacy!AX$3)*Prices!$H$2+(Subs!AX15-(Paid!AX4+React!AX7+Legacy!AX6*Legacy!AX$3))*Prices!$I$2</f>
        <v/>
      </c>
      <c r="AY5" s="9">
        <f>(Paid!AY4+React!AY7+Legacy!AY6*Legacy!AY$3)*Prices!$H$2+(Subs!AY15-(Paid!AY4+React!AY7+Legacy!AY6*Legacy!AY$3))*Prices!$I$2</f>
        <v/>
      </c>
      <c r="AZ5" s="9">
        <f>(Paid!AZ4+React!AZ7+Legacy!AZ6*Legacy!AZ$3)*Prices!$H$2+(Subs!AZ15-(Paid!AZ4+React!AZ7+Legacy!AZ6*Legacy!AZ$3))*Prices!$I$2</f>
        <v/>
      </c>
      <c r="BA5" s="9">
        <f>(Paid!BA4+React!BA7+Legacy!BA6*Legacy!BA$3)*Prices!$H$2+(Subs!BA15-(Paid!BA4+React!BA7+Legacy!BA6*Legacy!BA$3))*Prices!$I$2</f>
        <v/>
      </c>
      <c r="BB5" s="9">
        <f>(Paid!BB4+React!BB7+Legacy!BB6*Legacy!BB$3)*Prices!$H$2+(Subs!BB15-(Paid!BB4+React!BB7+Legacy!BB6*Legacy!BB$3))*Prices!$I$2</f>
        <v/>
      </c>
      <c r="BC5" s="9">
        <f>(Paid!BC4+React!BC7+Legacy!BC6*Legacy!BC$3)*Prices!$H$2+(Subs!BC15-(Paid!BC4+React!BC7+Legacy!BC6*Legacy!BC$3))*Prices!$I$2</f>
        <v/>
      </c>
      <c r="BD5" s="9">
        <f>(Paid!BD4+React!BD7+Legacy!BD6*Legacy!BD$3)*Prices!$H$2+(Subs!BD15-(Paid!BD4+React!BD7+Legacy!BD6*Legacy!BD$3))*Prices!$I$2</f>
        <v/>
      </c>
      <c r="BE5" s="9">
        <f>(Paid!BE4+React!BE7+Legacy!BE6*Legacy!BE$3)*Prices!$H$2+(Subs!BE15-(Paid!BE4+React!BE7+Legacy!BE6*Legacy!BE$3))*Prices!$I$2</f>
        <v/>
      </c>
      <c r="BF5" s="9">
        <f>(Paid!BF4+React!BF7+Legacy!BF6*Legacy!BF$3)*Prices!$H$2+(Subs!BF15-(Paid!BF4+React!BF7+Legacy!BF6*Legacy!BF$3))*Prices!$I$2</f>
        <v/>
      </c>
      <c r="BG5" s="9">
        <f>(Paid!BG4+React!BG7+Legacy!BG6*Legacy!BG$3)*Prices!$H$2+(Subs!BG15-(Paid!BG4+React!BG7+Legacy!BG6*Legacy!BG$3))*Prices!$I$2</f>
        <v/>
      </c>
      <c r="BH5" s="9">
        <f>(Paid!BH4+React!BH7+Legacy!BH6*Legacy!BH$3)*Prices!$H$2+(Subs!BH15-(Paid!BH4+React!BH7+Legacy!BH6*Legacy!BH$3))*Prices!$I$2</f>
        <v/>
      </c>
      <c r="BI5" s="9">
        <f>(Paid!BI4+React!BI7+Legacy!BI6*Legacy!BI$3)*Prices!$H$2+(Subs!BI15-(Paid!BI4+React!BI7+Legacy!BI6*Legacy!BI$3))*Prices!$I$2</f>
        <v/>
      </c>
      <c r="BJ5" s="9">
        <f>(Paid!BJ4+React!BJ7+Legacy!BJ6*Legacy!BJ$3)*Prices!$H$2+(Subs!BJ15-(Paid!BJ4+React!BJ7+Legacy!BJ6*Legacy!BJ$3))*Prices!$I$2</f>
        <v/>
      </c>
      <c r="BK5" s="9">
        <f>(Paid!BK4+React!BK7+Legacy!BK6*Legacy!BK$3)*Prices!$H$2+(Subs!BK15-(Paid!BK4+React!BK7+Legacy!BK6*Legacy!BK$3))*Prices!$I$2</f>
        <v/>
      </c>
      <c r="BL5" s="9">
        <f>(Paid!BL4+React!BL7+Legacy!BL6*Legacy!BL$3)*Prices!$H$2+(Subs!BL15-(Paid!BL4+React!BL7+Legacy!BL6*Legacy!BL$3))*Prices!$I$2</f>
        <v/>
      </c>
      <c r="BM5" s="9">
        <f>(Paid!BM4+React!BM7+Legacy!BM6*Legacy!BM$3)*Prices!$H$2+(Subs!BM15-(Paid!BM4+React!BM7+Legacy!BM6*Legacy!BM$3))*Prices!$I$2</f>
        <v/>
      </c>
      <c r="BN5" s="9">
        <f>(Paid!BN4+React!BN7+Legacy!BN6*Legacy!BN$3)*Prices!$H$2+(Subs!BN15-(Paid!BN4+React!BN7+Legacy!BN6*Legacy!BN$3))*Prices!$I$2</f>
        <v/>
      </c>
      <c r="BO5" s="9">
        <f>(Paid!BO4+React!BO7+Legacy!BO6*Legacy!BO$3)*Prices!$H$2+(Subs!BO15-(Paid!BO4+React!BO7+Legacy!BO6*Legacy!BO$3))*Prices!$I$2</f>
        <v/>
      </c>
      <c r="BP5" s="9">
        <f>(Paid!BP4+React!BP7+Legacy!BP6*Legacy!BP$3)*Prices!$H$2+(Subs!BP15-(Paid!BP4+React!BP7+Legacy!BP6*Legacy!BP$3))*Prices!$I$2</f>
        <v/>
      </c>
      <c r="BQ5" s="9">
        <f>(Paid!BQ4+React!BQ7+Legacy!BQ6*Legacy!BQ$3)*Prices!$H$2+(Subs!BQ15-(Paid!BQ4+React!BQ7+Legacy!BQ6*Legacy!BQ$3))*Prices!$I$2</f>
        <v/>
      </c>
      <c r="BR5" s="9">
        <f>(Paid!BR4+React!BR7+Legacy!BR6*Legacy!BR$3)*Prices!$H$2+(Subs!BR15-(Paid!BR4+React!BR7+Legacy!BR6*Legacy!BR$3))*Prices!$I$2</f>
        <v/>
      </c>
      <c r="BS5" s="9">
        <f>(Paid!BS4+React!BS7+Legacy!BS6*Legacy!BS$3)*Prices!$H$2+(Subs!BS15-(Paid!BS4+React!BS7+Legacy!BS6*Legacy!BS$3))*Prices!$I$2</f>
        <v/>
      </c>
      <c r="BT5" s="9">
        <f>(Paid!BT4+React!BT7+Legacy!BT6*Legacy!BT$3)*Prices!$H$2+(Subs!BT15-(Paid!BT4+React!BT7+Legacy!BT6*Legacy!BT$3))*Prices!$I$2</f>
        <v/>
      </c>
      <c r="BU5" s="9">
        <f>(Paid!BU4+React!BU7+Legacy!BU6*Legacy!BU$3)*Prices!$H$2+(Subs!BU15-(Paid!BU4+React!BU7+Legacy!BU6*Legacy!BU$3))*Prices!$I$2</f>
        <v/>
      </c>
      <c r="BV5" s="9">
        <f>(Paid!BV4+React!BV7+Legacy!BV6*Legacy!BV$3)*Prices!$H$2+(Subs!BV15-(Paid!BV4+React!BV7+Legacy!BV6*Legacy!BV$3))*Prices!$I$2</f>
        <v/>
      </c>
    </row>
    <row r="6">
      <c r="A6" t="inlineStr">
        <is>
          <t>net revenue $</t>
        </is>
      </c>
      <c r="B6" t="inlineStr">
        <is>
          <t>US_CA|NITRO_A</t>
        </is>
      </c>
      <c r="C6" s="9">
        <f>(Paid!C8+React!C14+Legacy!C10*Legacy!C$3)*Prices!$H$3+(Subs!C22-(Paid!C8+React!C14+Legacy!C10*Legacy!C$3))*Prices!$I$3</f>
        <v/>
      </c>
      <c r="D6" s="9">
        <f>(Paid!D8+React!D14+Legacy!D10*Legacy!D$3)*Prices!$H$3+(Subs!D22-(Paid!D8+React!D14+Legacy!D10*Legacy!D$3))*Prices!$I$3</f>
        <v/>
      </c>
      <c r="E6" s="9">
        <f>(Paid!E8+React!E14+Legacy!E10*Legacy!E$3)*Prices!$H$3+(Subs!E22-(Paid!E8+React!E14+Legacy!E10*Legacy!E$3))*Prices!$I$3</f>
        <v/>
      </c>
      <c r="F6" s="9">
        <f>(Paid!F8+React!F14+Legacy!F10*Legacy!F$3)*Prices!$H$3+(Subs!F22-(Paid!F8+React!F14+Legacy!F10*Legacy!F$3))*Prices!$I$3</f>
        <v/>
      </c>
      <c r="G6" s="9">
        <f>(Paid!G8+React!G14+Legacy!G10*Legacy!G$3)*Prices!$H$3+(Subs!G22-(Paid!G8+React!G14+Legacy!G10*Legacy!G$3))*Prices!$I$3</f>
        <v/>
      </c>
      <c r="H6" s="9">
        <f>(Paid!H8+React!H14+Legacy!H10*Legacy!H$3)*Prices!$H$3+(Subs!H22-(Paid!H8+React!H14+Legacy!H10*Legacy!H$3))*Prices!$I$3</f>
        <v/>
      </c>
      <c r="I6" s="9">
        <f>(Paid!I8+React!I14+Legacy!I10*Legacy!I$3)*Prices!$H$3+(Subs!I22-(Paid!I8+React!I14+Legacy!I10*Legacy!I$3))*Prices!$I$3</f>
        <v/>
      </c>
      <c r="J6" s="9">
        <f>(Paid!J8+React!J14+Legacy!J10*Legacy!J$3)*Prices!$H$3+(Subs!J22-(Paid!J8+React!J14+Legacy!J10*Legacy!J$3))*Prices!$I$3</f>
        <v/>
      </c>
      <c r="K6" s="9">
        <f>(Paid!K8+React!K14+Legacy!K10*Legacy!K$3)*Prices!$H$3+(Subs!K22-(Paid!K8+React!K14+Legacy!K10*Legacy!K$3))*Prices!$I$3</f>
        <v/>
      </c>
      <c r="L6" s="9">
        <f>(Paid!L8+React!L14+Legacy!L10*Legacy!L$3)*Prices!$H$3+(Subs!L22-(Paid!L8+React!L14+Legacy!L10*Legacy!L$3))*Prices!$I$3</f>
        <v/>
      </c>
      <c r="M6" s="9">
        <f>(Paid!M8+React!M14+Legacy!M10*Legacy!M$3)*Prices!$H$3+(Subs!M22-(Paid!M8+React!M14+Legacy!M10*Legacy!M$3))*Prices!$I$3</f>
        <v/>
      </c>
      <c r="N6" s="9">
        <f>(Paid!N8+React!N14+Legacy!N10*Legacy!N$3)*Prices!$H$3+(Subs!N22-(Paid!N8+React!N14+Legacy!N10*Legacy!N$3))*Prices!$I$3</f>
        <v/>
      </c>
      <c r="O6" s="9">
        <f>(Paid!O8+React!O14+Legacy!O10*Legacy!O$3)*Prices!$H$3+(Subs!O22-(Paid!O8+React!O14+Legacy!O10*Legacy!O$3))*Prices!$I$3</f>
        <v/>
      </c>
      <c r="P6" s="9">
        <f>(Paid!P8+React!P14+Legacy!P10*Legacy!P$3)*Prices!$H$3+(Subs!P22-(Paid!P8+React!P14+Legacy!P10*Legacy!P$3))*Prices!$I$3</f>
        <v/>
      </c>
      <c r="Q6" s="9">
        <f>(Paid!Q8+React!Q14+Legacy!Q10*Legacy!Q$3)*Prices!$H$3+(Subs!Q22-(Paid!Q8+React!Q14+Legacy!Q10*Legacy!Q$3))*Prices!$I$3</f>
        <v/>
      </c>
      <c r="R6" s="9">
        <f>(Paid!R8+React!R14+Legacy!R10*Legacy!R$3)*Prices!$H$3+(Subs!R22-(Paid!R8+React!R14+Legacy!R10*Legacy!R$3))*Prices!$I$3</f>
        <v/>
      </c>
      <c r="S6" s="9">
        <f>(Paid!S8+React!S14+Legacy!S10*Legacy!S$3)*Prices!$H$3+(Subs!S22-(Paid!S8+React!S14+Legacy!S10*Legacy!S$3))*Prices!$I$3</f>
        <v/>
      </c>
      <c r="T6" s="9">
        <f>(Paid!T8+React!T14+Legacy!T10*Legacy!T$3)*Prices!$H$3+(Subs!T22-(Paid!T8+React!T14+Legacy!T10*Legacy!T$3))*Prices!$I$3</f>
        <v/>
      </c>
      <c r="U6" s="9">
        <f>(Paid!U8+React!U14+Legacy!U10*Legacy!U$3)*Prices!$H$3+(Subs!U22-(Paid!U8+React!U14+Legacy!U10*Legacy!U$3))*Prices!$I$3</f>
        <v/>
      </c>
      <c r="V6" s="9">
        <f>(Paid!V8+React!V14+Legacy!V10*Legacy!V$3)*Prices!$H$3+(Subs!V22-(Paid!V8+React!V14+Legacy!V10*Legacy!V$3))*Prices!$I$3</f>
        <v/>
      </c>
      <c r="W6" s="9">
        <f>(Paid!W8+React!W14+Legacy!W10*Legacy!W$3)*Prices!$H$3+(Subs!W22-(Paid!W8+React!W14+Legacy!W10*Legacy!W$3))*Prices!$I$3</f>
        <v/>
      </c>
      <c r="X6" s="9">
        <f>(Paid!X8+React!X14+Legacy!X10*Legacy!X$3)*Prices!$H$3+(Subs!X22-(Paid!X8+React!X14+Legacy!X10*Legacy!X$3))*Prices!$I$3</f>
        <v/>
      </c>
      <c r="Y6" s="9">
        <f>(Paid!Y8+React!Y14+Legacy!Y10*Legacy!Y$3)*Prices!$H$3+(Subs!Y22-(Paid!Y8+React!Y14+Legacy!Y10*Legacy!Y$3))*Prices!$I$3</f>
        <v/>
      </c>
      <c r="Z6" s="9">
        <f>(Paid!Z8+React!Z14+Legacy!Z10*Legacy!Z$3)*Prices!$H$3+(Subs!Z22-(Paid!Z8+React!Z14+Legacy!Z10*Legacy!Z$3))*Prices!$I$3</f>
        <v/>
      </c>
      <c r="AA6" s="9">
        <f>(Paid!AA8+React!AA14+Legacy!AA10*Legacy!AA$3)*Prices!$H$3+(Subs!AA22-(Paid!AA8+React!AA14+Legacy!AA10*Legacy!AA$3))*Prices!$I$3</f>
        <v/>
      </c>
      <c r="AB6" s="9">
        <f>(Paid!AB8+React!AB14+Legacy!AB10*Legacy!AB$3)*Prices!$H$3+(Subs!AB22-(Paid!AB8+React!AB14+Legacy!AB10*Legacy!AB$3))*Prices!$I$3</f>
        <v/>
      </c>
      <c r="AC6" s="9">
        <f>(Paid!AC8+React!AC14+Legacy!AC10*Legacy!AC$3)*Prices!$H$3+(Subs!AC22-(Paid!AC8+React!AC14+Legacy!AC10*Legacy!AC$3))*Prices!$I$3</f>
        <v/>
      </c>
      <c r="AD6" s="9">
        <f>(Paid!AD8+React!AD14+Legacy!AD10*Legacy!AD$3)*Prices!$H$3+(Subs!AD22-(Paid!AD8+React!AD14+Legacy!AD10*Legacy!AD$3))*Prices!$I$3</f>
        <v/>
      </c>
      <c r="AE6" s="9">
        <f>(Paid!AE8+React!AE14+Legacy!AE10*Legacy!AE$3)*Prices!$H$3+(Subs!AE22-(Paid!AE8+React!AE14+Legacy!AE10*Legacy!AE$3))*Prices!$I$3</f>
        <v/>
      </c>
      <c r="AF6" s="9">
        <f>(Paid!AF8+React!AF14+Legacy!AF10*Legacy!AF$3)*Prices!$H$3+(Subs!AF22-(Paid!AF8+React!AF14+Legacy!AF10*Legacy!AF$3))*Prices!$I$3</f>
        <v/>
      </c>
      <c r="AG6" s="9">
        <f>(Paid!AG8+React!AG14+Legacy!AG10*Legacy!AG$3)*Prices!$H$3+(Subs!AG22-(Paid!AG8+React!AG14+Legacy!AG10*Legacy!AG$3))*Prices!$I$3</f>
        <v/>
      </c>
      <c r="AH6" s="9">
        <f>(Paid!AH8+React!AH14+Legacy!AH10*Legacy!AH$3)*Prices!$H$3+(Subs!AH22-(Paid!AH8+React!AH14+Legacy!AH10*Legacy!AH$3))*Prices!$I$3</f>
        <v/>
      </c>
      <c r="AI6" s="9">
        <f>(Paid!AI8+React!AI14+Legacy!AI10*Legacy!AI$3)*Prices!$H$3+(Subs!AI22-(Paid!AI8+React!AI14+Legacy!AI10*Legacy!AI$3))*Prices!$I$3</f>
        <v/>
      </c>
      <c r="AJ6" s="9">
        <f>(Paid!AJ8+React!AJ14+Legacy!AJ10*Legacy!AJ$3)*Prices!$H$3+(Subs!AJ22-(Paid!AJ8+React!AJ14+Legacy!AJ10*Legacy!AJ$3))*Prices!$I$3</f>
        <v/>
      </c>
      <c r="AK6" s="9">
        <f>(Paid!AK8+React!AK14+Legacy!AK10*Legacy!AK$3)*Prices!$H$3+(Subs!AK22-(Paid!AK8+React!AK14+Legacy!AK10*Legacy!AK$3))*Prices!$I$3</f>
        <v/>
      </c>
      <c r="AL6" s="9">
        <f>(Paid!AL8+React!AL14+Legacy!AL10*Legacy!AL$3)*Prices!$H$3+(Subs!AL22-(Paid!AL8+React!AL14+Legacy!AL10*Legacy!AL$3))*Prices!$I$3</f>
        <v/>
      </c>
      <c r="AM6" s="9">
        <f>(Paid!AM8+React!AM14+Legacy!AM10*Legacy!AM$3)*Prices!$H$3+(Subs!AM22-(Paid!AM8+React!AM14+Legacy!AM10*Legacy!AM$3))*Prices!$I$3</f>
        <v/>
      </c>
      <c r="AN6" s="9">
        <f>(Paid!AN8+React!AN14+Legacy!AN10*Legacy!AN$3)*Prices!$H$3+(Subs!AN22-(Paid!AN8+React!AN14+Legacy!AN10*Legacy!AN$3))*Prices!$I$3</f>
        <v/>
      </c>
      <c r="AO6" s="9">
        <f>(Paid!AO8+React!AO14+Legacy!AO10*Legacy!AO$3)*Prices!$H$3+(Subs!AO22-(Paid!AO8+React!AO14+Legacy!AO10*Legacy!AO$3))*Prices!$I$3</f>
        <v/>
      </c>
      <c r="AP6" s="9">
        <f>(Paid!AP8+React!AP14+Legacy!AP10*Legacy!AP$3)*Prices!$H$3+(Subs!AP22-(Paid!AP8+React!AP14+Legacy!AP10*Legacy!AP$3))*Prices!$I$3</f>
        <v/>
      </c>
      <c r="AQ6" s="9">
        <f>(Paid!AQ8+React!AQ14+Legacy!AQ10*Legacy!AQ$3)*Prices!$H$3+(Subs!AQ22-(Paid!AQ8+React!AQ14+Legacy!AQ10*Legacy!AQ$3))*Prices!$I$3</f>
        <v/>
      </c>
      <c r="AR6" s="9">
        <f>(Paid!AR8+React!AR14+Legacy!AR10*Legacy!AR$3)*Prices!$H$3+(Subs!AR22-(Paid!AR8+React!AR14+Legacy!AR10*Legacy!AR$3))*Prices!$I$3</f>
        <v/>
      </c>
      <c r="AS6" s="9">
        <f>(Paid!AS8+React!AS14+Legacy!AS10*Legacy!AS$3)*Prices!$H$3+(Subs!AS22-(Paid!AS8+React!AS14+Legacy!AS10*Legacy!AS$3))*Prices!$I$3</f>
        <v/>
      </c>
      <c r="AT6" s="9">
        <f>(Paid!AT8+React!AT14+Legacy!AT10*Legacy!AT$3)*Prices!$H$3+(Subs!AT22-(Paid!AT8+React!AT14+Legacy!AT10*Legacy!AT$3))*Prices!$I$3</f>
        <v/>
      </c>
      <c r="AU6" s="9">
        <f>(Paid!AU8+React!AU14+Legacy!AU10*Legacy!AU$3)*Prices!$H$3+(Subs!AU22-(Paid!AU8+React!AU14+Legacy!AU10*Legacy!AU$3))*Prices!$I$3</f>
        <v/>
      </c>
      <c r="AV6" s="9">
        <f>(Paid!AV8+React!AV14+Legacy!AV10*Legacy!AV$3)*Prices!$H$3+(Subs!AV22-(Paid!AV8+React!AV14+Legacy!AV10*Legacy!AV$3))*Prices!$I$3</f>
        <v/>
      </c>
      <c r="AW6" s="9">
        <f>(Paid!AW8+React!AW14+Legacy!AW10*Legacy!AW$3)*Prices!$H$3+(Subs!AW22-(Paid!AW8+React!AW14+Legacy!AW10*Legacy!AW$3))*Prices!$I$3</f>
        <v/>
      </c>
      <c r="AX6" s="9">
        <f>(Paid!AX8+React!AX14+Legacy!AX10*Legacy!AX$3)*Prices!$H$3+(Subs!AX22-(Paid!AX8+React!AX14+Legacy!AX10*Legacy!AX$3))*Prices!$I$3</f>
        <v/>
      </c>
      <c r="AY6" s="9">
        <f>(Paid!AY8+React!AY14+Legacy!AY10*Legacy!AY$3)*Prices!$H$3+(Subs!AY22-(Paid!AY8+React!AY14+Legacy!AY10*Legacy!AY$3))*Prices!$I$3</f>
        <v/>
      </c>
      <c r="AZ6" s="9">
        <f>(Paid!AZ8+React!AZ14+Legacy!AZ10*Legacy!AZ$3)*Prices!$H$3+(Subs!AZ22-(Paid!AZ8+React!AZ14+Legacy!AZ10*Legacy!AZ$3))*Prices!$I$3</f>
        <v/>
      </c>
      <c r="BA6" s="9">
        <f>(Paid!BA8+React!BA14+Legacy!BA10*Legacy!BA$3)*Prices!$H$3+(Subs!BA22-(Paid!BA8+React!BA14+Legacy!BA10*Legacy!BA$3))*Prices!$I$3</f>
        <v/>
      </c>
      <c r="BB6" s="9">
        <f>(Paid!BB8+React!BB14+Legacy!BB10*Legacy!BB$3)*Prices!$H$3+(Subs!BB22-(Paid!BB8+React!BB14+Legacy!BB10*Legacy!BB$3))*Prices!$I$3</f>
        <v/>
      </c>
      <c r="BC6" s="9">
        <f>(Paid!BC8+React!BC14+Legacy!BC10*Legacy!BC$3)*Prices!$H$3+(Subs!BC22-(Paid!BC8+React!BC14+Legacy!BC10*Legacy!BC$3))*Prices!$I$3</f>
        <v/>
      </c>
      <c r="BD6" s="9">
        <f>(Paid!BD8+React!BD14+Legacy!BD10*Legacy!BD$3)*Prices!$H$3+(Subs!BD22-(Paid!BD8+React!BD14+Legacy!BD10*Legacy!BD$3))*Prices!$I$3</f>
        <v/>
      </c>
      <c r="BE6" s="9">
        <f>(Paid!BE8+React!BE14+Legacy!BE10*Legacy!BE$3)*Prices!$H$3+(Subs!BE22-(Paid!BE8+React!BE14+Legacy!BE10*Legacy!BE$3))*Prices!$I$3</f>
        <v/>
      </c>
      <c r="BF6" s="9">
        <f>(Paid!BF8+React!BF14+Legacy!BF10*Legacy!BF$3)*Prices!$H$3+(Subs!BF22-(Paid!BF8+React!BF14+Legacy!BF10*Legacy!BF$3))*Prices!$I$3</f>
        <v/>
      </c>
      <c r="BG6" s="9">
        <f>(Paid!BG8+React!BG14+Legacy!BG10*Legacy!BG$3)*Prices!$H$3+(Subs!BG22-(Paid!BG8+React!BG14+Legacy!BG10*Legacy!BG$3))*Prices!$I$3</f>
        <v/>
      </c>
      <c r="BH6" s="9">
        <f>(Paid!BH8+React!BH14+Legacy!BH10*Legacy!BH$3)*Prices!$H$3+(Subs!BH22-(Paid!BH8+React!BH14+Legacy!BH10*Legacy!BH$3))*Prices!$I$3</f>
        <v/>
      </c>
      <c r="BI6" s="9">
        <f>(Paid!BI8+React!BI14+Legacy!BI10*Legacy!BI$3)*Prices!$H$3+(Subs!BI22-(Paid!BI8+React!BI14+Legacy!BI10*Legacy!BI$3))*Prices!$I$3</f>
        <v/>
      </c>
      <c r="BJ6" s="9">
        <f>(Paid!BJ8+React!BJ14+Legacy!BJ10*Legacy!BJ$3)*Prices!$H$3+(Subs!BJ22-(Paid!BJ8+React!BJ14+Legacy!BJ10*Legacy!BJ$3))*Prices!$I$3</f>
        <v/>
      </c>
      <c r="BK6" s="9">
        <f>(Paid!BK8+React!BK14+Legacy!BK10*Legacy!BK$3)*Prices!$H$3+(Subs!BK22-(Paid!BK8+React!BK14+Legacy!BK10*Legacy!BK$3))*Prices!$I$3</f>
        <v/>
      </c>
      <c r="BL6" s="9">
        <f>(Paid!BL8+React!BL14+Legacy!BL10*Legacy!BL$3)*Prices!$H$3+(Subs!BL22-(Paid!BL8+React!BL14+Legacy!BL10*Legacy!BL$3))*Prices!$I$3</f>
        <v/>
      </c>
      <c r="BM6" s="9">
        <f>(Paid!BM8+React!BM14+Legacy!BM10*Legacy!BM$3)*Prices!$H$3+(Subs!BM22-(Paid!BM8+React!BM14+Legacy!BM10*Legacy!BM$3))*Prices!$I$3</f>
        <v/>
      </c>
      <c r="BN6" s="9">
        <f>(Paid!BN8+React!BN14+Legacy!BN10*Legacy!BN$3)*Prices!$H$3+(Subs!BN22-(Paid!BN8+React!BN14+Legacy!BN10*Legacy!BN$3))*Prices!$I$3</f>
        <v/>
      </c>
      <c r="BO6" s="9">
        <f>(Paid!BO8+React!BO14+Legacy!BO10*Legacy!BO$3)*Prices!$H$3+(Subs!BO22-(Paid!BO8+React!BO14+Legacy!BO10*Legacy!BO$3))*Prices!$I$3</f>
        <v/>
      </c>
      <c r="BP6" s="9">
        <f>(Paid!BP8+React!BP14+Legacy!BP10*Legacy!BP$3)*Prices!$H$3+(Subs!BP22-(Paid!BP8+React!BP14+Legacy!BP10*Legacy!BP$3))*Prices!$I$3</f>
        <v/>
      </c>
      <c r="BQ6" s="9">
        <f>(Paid!BQ8+React!BQ14+Legacy!BQ10*Legacy!BQ$3)*Prices!$H$3+(Subs!BQ22-(Paid!BQ8+React!BQ14+Legacy!BQ10*Legacy!BQ$3))*Prices!$I$3</f>
        <v/>
      </c>
      <c r="BR6" s="9">
        <f>(Paid!BR8+React!BR14+Legacy!BR10*Legacy!BR$3)*Prices!$H$3+(Subs!BR22-(Paid!BR8+React!BR14+Legacy!BR10*Legacy!BR$3))*Prices!$I$3</f>
        <v/>
      </c>
      <c r="BS6" s="9">
        <f>(Paid!BS8+React!BS14+Legacy!BS10*Legacy!BS$3)*Prices!$H$3+(Subs!BS22-(Paid!BS8+React!BS14+Legacy!BS10*Legacy!BS$3))*Prices!$I$3</f>
        <v/>
      </c>
      <c r="BT6" s="9">
        <f>(Paid!BT8+React!BT14+Legacy!BT10*Legacy!BT$3)*Prices!$H$3+(Subs!BT22-(Paid!BT8+React!BT14+Legacy!BT10*Legacy!BT$3))*Prices!$I$3</f>
        <v/>
      </c>
      <c r="BU6" s="9">
        <f>(Paid!BU8+React!BU14+Legacy!BU10*Legacy!BU$3)*Prices!$H$3+(Subs!BU22-(Paid!BU8+React!BU14+Legacy!BU10*Legacy!BU$3))*Prices!$I$3</f>
        <v/>
      </c>
      <c r="BV6" s="9">
        <f>(Paid!BV8+React!BV14+Legacy!BV10*Legacy!BV$3)*Prices!$H$3+(Subs!BV22-(Paid!BV8+React!BV14+Legacy!BV10*Legacy!BV$3))*Prices!$I$3</f>
        <v/>
      </c>
    </row>
    <row r="7">
      <c r="A7" t="inlineStr">
        <is>
          <t>net revenue $</t>
        </is>
      </c>
      <c r="B7" t="inlineStr">
        <is>
          <t>US_CA|BASIC_M</t>
        </is>
      </c>
      <c r="C7" s="9">
        <f>(Paid!C12+React!C21+Legacy!C14*Legacy!C$3)*Prices!$H$4+(Subs!C29-(Paid!C12+React!C21+Legacy!C14*Legacy!C$3))*Prices!$I$4</f>
        <v/>
      </c>
      <c r="D7" s="9">
        <f>(Paid!D12+React!D21+Legacy!D14*Legacy!D$3)*Prices!$H$4+(Subs!D29-(Paid!D12+React!D21+Legacy!D14*Legacy!D$3))*Prices!$I$4</f>
        <v/>
      </c>
      <c r="E7" s="9">
        <f>(Paid!E12+React!E21+Legacy!E14*Legacy!E$3)*Prices!$H$4+(Subs!E29-(Paid!E12+React!E21+Legacy!E14*Legacy!E$3))*Prices!$I$4</f>
        <v/>
      </c>
      <c r="F7" s="9">
        <f>(Paid!F12+React!F21+Legacy!F14*Legacy!F$3)*Prices!$H$4+(Subs!F29-(Paid!F12+React!F21+Legacy!F14*Legacy!F$3))*Prices!$I$4</f>
        <v/>
      </c>
      <c r="G7" s="9">
        <f>(Paid!G12+React!G21+Legacy!G14*Legacy!G$3)*Prices!$H$4+(Subs!G29-(Paid!G12+React!G21+Legacy!G14*Legacy!G$3))*Prices!$I$4</f>
        <v/>
      </c>
      <c r="H7" s="9">
        <f>(Paid!H12+React!H21+Legacy!H14*Legacy!H$3)*Prices!$H$4+(Subs!H29-(Paid!H12+React!H21+Legacy!H14*Legacy!H$3))*Prices!$I$4</f>
        <v/>
      </c>
      <c r="I7" s="9">
        <f>(Paid!I12+React!I21+Legacy!I14*Legacy!I$3)*Prices!$H$4+(Subs!I29-(Paid!I12+React!I21+Legacy!I14*Legacy!I$3))*Prices!$I$4</f>
        <v/>
      </c>
      <c r="J7" s="9">
        <f>(Paid!J12+React!J21+Legacy!J14*Legacy!J$3)*Prices!$H$4+(Subs!J29-(Paid!J12+React!J21+Legacy!J14*Legacy!J$3))*Prices!$I$4</f>
        <v/>
      </c>
      <c r="K7" s="9">
        <f>(Paid!K12+React!K21+Legacy!K14*Legacy!K$3)*Prices!$H$4+(Subs!K29-(Paid!K12+React!K21+Legacy!K14*Legacy!K$3))*Prices!$I$4</f>
        <v/>
      </c>
      <c r="L7" s="9">
        <f>(Paid!L12+React!L21+Legacy!L14*Legacy!L$3)*Prices!$H$4+(Subs!L29-(Paid!L12+React!L21+Legacy!L14*Legacy!L$3))*Prices!$I$4</f>
        <v/>
      </c>
      <c r="M7" s="9">
        <f>(Paid!M12+React!M21+Legacy!M14*Legacy!M$3)*Prices!$H$4+(Subs!M29-(Paid!M12+React!M21+Legacy!M14*Legacy!M$3))*Prices!$I$4</f>
        <v/>
      </c>
      <c r="N7" s="9">
        <f>(Paid!N12+React!N21+Legacy!N14*Legacy!N$3)*Prices!$H$4+(Subs!N29-(Paid!N12+React!N21+Legacy!N14*Legacy!N$3))*Prices!$I$4</f>
        <v/>
      </c>
      <c r="O7" s="9">
        <f>(Paid!O12+React!O21+Legacy!O14*Legacy!O$3)*Prices!$H$4+(Subs!O29-(Paid!O12+React!O21+Legacy!O14*Legacy!O$3))*Prices!$I$4</f>
        <v/>
      </c>
      <c r="P7" s="9">
        <f>(Paid!P12+React!P21+Legacy!P14*Legacy!P$3)*Prices!$H$4+(Subs!P29-(Paid!P12+React!P21+Legacy!P14*Legacy!P$3))*Prices!$I$4</f>
        <v/>
      </c>
      <c r="Q7" s="9">
        <f>(Paid!Q12+React!Q21+Legacy!Q14*Legacy!Q$3)*Prices!$H$4+(Subs!Q29-(Paid!Q12+React!Q21+Legacy!Q14*Legacy!Q$3))*Prices!$I$4</f>
        <v/>
      </c>
      <c r="R7" s="9">
        <f>(Paid!R12+React!R21+Legacy!R14*Legacy!R$3)*Prices!$H$4+(Subs!R29-(Paid!R12+React!R21+Legacy!R14*Legacy!R$3))*Prices!$I$4</f>
        <v/>
      </c>
      <c r="S7" s="9">
        <f>(Paid!S12+React!S21+Legacy!S14*Legacy!S$3)*Prices!$H$4+(Subs!S29-(Paid!S12+React!S21+Legacy!S14*Legacy!S$3))*Prices!$I$4</f>
        <v/>
      </c>
      <c r="T7" s="9">
        <f>(Paid!T12+React!T21+Legacy!T14*Legacy!T$3)*Prices!$H$4+(Subs!T29-(Paid!T12+React!T21+Legacy!T14*Legacy!T$3))*Prices!$I$4</f>
        <v/>
      </c>
      <c r="U7" s="9">
        <f>(Paid!U12+React!U21+Legacy!U14*Legacy!U$3)*Prices!$H$4+(Subs!U29-(Paid!U12+React!U21+Legacy!U14*Legacy!U$3))*Prices!$I$4</f>
        <v/>
      </c>
      <c r="V7" s="9">
        <f>(Paid!V12+React!V21+Legacy!V14*Legacy!V$3)*Prices!$H$4+(Subs!V29-(Paid!V12+React!V21+Legacy!V14*Legacy!V$3))*Prices!$I$4</f>
        <v/>
      </c>
      <c r="W7" s="9">
        <f>(Paid!W12+React!W21+Legacy!W14*Legacy!W$3)*Prices!$H$4+(Subs!W29-(Paid!W12+React!W21+Legacy!W14*Legacy!W$3))*Prices!$I$4</f>
        <v/>
      </c>
      <c r="X7" s="9">
        <f>(Paid!X12+React!X21+Legacy!X14*Legacy!X$3)*Prices!$H$4+(Subs!X29-(Paid!X12+React!X21+Legacy!X14*Legacy!X$3))*Prices!$I$4</f>
        <v/>
      </c>
      <c r="Y7" s="9">
        <f>(Paid!Y12+React!Y21+Legacy!Y14*Legacy!Y$3)*Prices!$H$4+(Subs!Y29-(Paid!Y12+React!Y21+Legacy!Y14*Legacy!Y$3))*Prices!$I$4</f>
        <v/>
      </c>
      <c r="Z7" s="9">
        <f>(Paid!Z12+React!Z21+Legacy!Z14*Legacy!Z$3)*Prices!$H$4+(Subs!Z29-(Paid!Z12+React!Z21+Legacy!Z14*Legacy!Z$3))*Prices!$I$4</f>
        <v/>
      </c>
      <c r="AA7" s="9">
        <f>(Paid!AA12+React!AA21+Legacy!AA14*Legacy!AA$3)*Prices!$H$4+(Subs!AA29-(Paid!AA12+React!AA21+Legacy!AA14*Legacy!AA$3))*Prices!$I$4</f>
        <v/>
      </c>
      <c r="AB7" s="9">
        <f>(Paid!AB12+React!AB21+Legacy!AB14*Legacy!AB$3)*Prices!$H$4+(Subs!AB29-(Paid!AB12+React!AB21+Legacy!AB14*Legacy!AB$3))*Prices!$I$4</f>
        <v/>
      </c>
      <c r="AC7" s="9">
        <f>(Paid!AC12+React!AC21+Legacy!AC14*Legacy!AC$3)*Prices!$H$4+(Subs!AC29-(Paid!AC12+React!AC21+Legacy!AC14*Legacy!AC$3))*Prices!$I$4</f>
        <v/>
      </c>
      <c r="AD7" s="9">
        <f>(Paid!AD12+React!AD21+Legacy!AD14*Legacy!AD$3)*Prices!$H$4+(Subs!AD29-(Paid!AD12+React!AD21+Legacy!AD14*Legacy!AD$3))*Prices!$I$4</f>
        <v/>
      </c>
      <c r="AE7" s="9">
        <f>(Paid!AE12+React!AE21+Legacy!AE14*Legacy!AE$3)*Prices!$H$4+(Subs!AE29-(Paid!AE12+React!AE21+Legacy!AE14*Legacy!AE$3))*Prices!$I$4</f>
        <v/>
      </c>
      <c r="AF7" s="9">
        <f>(Paid!AF12+React!AF21+Legacy!AF14*Legacy!AF$3)*Prices!$H$4+(Subs!AF29-(Paid!AF12+React!AF21+Legacy!AF14*Legacy!AF$3))*Prices!$I$4</f>
        <v/>
      </c>
      <c r="AG7" s="9">
        <f>(Paid!AG12+React!AG21+Legacy!AG14*Legacy!AG$3)*Prices!$H$4+(Subs!AG29-(Paid!AG12+React!AG21+Legacy!AG14*Legacy!AG$3))*Prices!$I$4</f>
        <v/>
      </c>
      <c r="AH7" s="9">
        <f>(Paid!AH12+React!AH21+Legacy!AH14*Legacy!AH$3)*Prices!$H$4+(Subs!AH29-(Paid!AH12+React!AH21+Legacy!AH14*Legacy!AH$3))*Prices!$I$4</f>
        <v/>
      </c>
      <c r="AI7" s="9">
        <f>(Paid!AI12+React!AI21+Legacy!AI14*Legacy!AI$3)*Prices!$H$4+(Subs!AI29-(Paid!AI12+React!AI21+Legacy!AI14*Legacy!AI$3))*Prices!$I$4</f>
        <v/>
      </c>
      <c r="AJ7" s="9">
        <f>(Paid!AJ12+React!AJ21+Legacy!AJ14*Legacy!AJ$3)*Prices!$H$4+(Subs!AJ29-(Paid!AJ12+React!AJ21+Legacy!AJ14*Legacy!AJ$3))*Prices!$I$4</f>
        <v/>
      </c>
      <c r="AK7" s="9">
        <f>(Paid!AK12+React!AK21+Legacy!AK14*Legacy!AK$3)*Prices!$H$4+(Subs!AK29-(Paid!AK12+React!AK21+Legacy!AK14*Legacy!AK$3))*Prices!$I$4</f>
        <v/>
      </c>
      <c r="AL7" s="9">
        <f>(Paid!AL12+React!AL21+Legacy!AL14*Legacy!AL$3)*Prices!$H$4+(Subs!AL29-(Paid!AL12+React!AL21+Legacy!AL14*Legacy!AL$3))*Prices!$I$4</f>
        <v/>
      </c>
      <c r="AM7" s="9">
        <f>(Paid!AM12+React!AM21+Legacy!AM14*Legacy!AM$3)*Prices!$H$4+(Subs!AM29-(Paid!AM12+React!AM21+Legacy!AM14*Legacy!AM$3))*Prices!$I$4</f>
        <v/>
      </c>
      <c r="AN7" s="9">
        <f>(Paid!AN12+React!AN21+Legacy!AN14*Legacy!AN$3)*Prices!$H$4+(Subs!AN29-(Paid!AN12+React!AN21+Legacy!AN14*Legacy!AN$3))*Prices!$I$4</f>
        <v/>
      </c>
      <c r="AO7" s="9">
        <f>(Paid!AO12+React!AO21+Legacy!AO14*Legacy!AO$3)*Prices!$H$4+(Subs!AO29-(Paid!AO12+React!AO21+Legacy!AO14*Legacy!AO$3))*Prices!$I$4</f>
        <v/>
      </c>
      <c r="AP7" s="9">
        <f>(Paid!AP12+React!AP21+Legacy!AP14*Legacy!AP$3)*Prices!$H$4+(Subs!AP29-(Paid!AP12+React!AP21+Legacy!AP14*Legacy!AP$3))*Prices!$I$4</f>
        <v/>
      </c>
      <c r="AQ7" s="9">
        <f>(Paid!AQ12+React!AQ21+Legacy!AQ14*Legacy!AQ$3)*Prices!$H$4+(Subs!AQ29-(Paid!AQ12+React!AQ21+Legacy!AQ14*Legacy!AQ$3))*Prices!$I$4</f>
        <v/>
      </c>
      <c r="AR7" s="9">
        <f>(Paid!AR12+React!AR21+Legacy!AR14*Legacy!AR$3)*Prices!$H$4+(Subs!AR29-(Paid!AR12+React!AR21+Legacy!AR14*Legacy!AR$3))*Prices!$I$4</f>
        <v/>
      </c>
      <c r="AS7" s="9">
        <f>(Paid!AS12+React!AS21+Legacy!AS14*Legacy!AS$3)*Prices!$H$4+(Subs!AS29-(Paid!AS12+React!AS21+Legacy!AS14*Legacy!AS$3))*Prices!$I$4</f>
        <v/>
      </c>
      <c r="AT7" s="9">
        <f>(Paid!AT12+React!AT21+Legacy!AT14*Legacy!AT$3)*Prices!$H$4+(Subs!AT29-(Paid!AT12+React!AT21+Legacy!AT14*Legacy!AT$3))*Prices!$I$4</f>
        <v/>
      </c>
      <c r="AU7" s="9">
        <f>(Paid!AU12+React!AU21+Legacy!AU14*Legacy!AU$3)*Prices!$H$4+(Subs!AU29-(Paid!AU12+React!AU21+Legacy!AU14*Legacy!AU$3))*Prices!$I$4</f>
        <v/>
      </c>
      <c r="AV7" s="9">
        <f>(Paid!AV12+React!AV21+Legacy!AV14*Legacy!AV$3)*Prices!$H$4+(Subs!AV29-(Paid!AV12+React!AV21+Legacy!AV14*Legacy!AV$3))*Prices!$I$4</f>
        <v/>
      </c>
      <c r="AW7" s="9">
        <f>(Paid!AW12+React!AW21+Legacy!AW14*Legacy!AW$3)*Prices!$H$4+(Subs!AW29-(Paid!AW12+React!AW21+Legacy!AW14*Legacy!AW$3))*Prices!$I$4</f>
        <v/>
      </c>
      <c r="AX7" s="9">
        <f>(Paid!AX12+React!AX21+Legacy!AX14*Legacy!AX$3)*Prices!$H$4+(Subs!AX29-(Paid!AX12+React!AX21+Legacy!AX14*Legacy!AX$3))*Prices!$I$4</f>
        <v/>
      </c>
      <c r="AY7" s="9">
        <f>(Paid!AY12+React!AY21+Legacy!AY14*Legacy!AY$3)*Prices!$H$4+(Subs!AY29-(Paid!AY12+React!AY21+Legacy!AY14*Legacy!AY$3))*Prices!$I$4</f>
        <v/>
      </c>
      <c r="AZ7" s="9">
        <f>(Paid!AZ12+React!AZ21+Legacy!AZ14*Legacy!AZ$3)*Prices!$H$4+(Subs!AZ29-(Paid!AZ12+React!AZ21+Legacy!AZ14*Legacy!AZ$3))*Prices!$I$4</f>
        <v/>
      </c>
      <c r="BA7" s="9">
        <f>(Paid!BA12+React!BA21+Legacy!BA14*Legacy!BA$3)*Prices!$H$4+(Subs!BA29-(Paid!BA12+React!BA21+Legacy!BA14*Legacy!BA$3))*Prices!$I$4</f>
        <v/>
      </c>
      <c r="BB7" s="9">
        <f>(Paid!BB12+React!BB21+Legacy!BB14*Legacy!BB$3)*Prices!$H$4+(Subs!BB29-(Paid!BB12+React!BB21+Legacy!BB14*Legacy!BB$3))*Prices!$I$4</f>
        <v/>
      </c>
      <c r="BC7" s="9">
        <f>(Paid!BC12+React!BC21+Legacy!BC14*Legacy!BC$3)*Prices!$H$4+(Subs!BC29-(Paid!BC12+React!BC21+Legacy!BC14*Legacy!BC$3))*Prices!$I$4</f>
        <v/>
      </c>
      <c r="BD7" s="9">
        <f>(Paid!BD12+React!BD21+Legacy!BD14*Legacy!BD$3)*Prices!$H$4+(Subs!BD29-(Paid!BD12+React!BD21+Legacy!BD14*Legacy!BD$3))*Prices!$I$4</f>
        <v/>
      </c>
      <c r="BE7" s="9">
        <f>(Paid!BE12+React!BE21+Legacy!BE14*Legacy!BE$3)*Prices!$H$4+(Subs!BE29-(Paid!BE12+React!BE21+Legacy!BE14*Legacy!BE$3))*Prices!$I$4</f>
        <v/>
      </c>
      <c r="BF7" s="9">
        <f>(Paid!BF12+React!BF21+Legacy!BF14*Legacy!BF$3)*Prices!$H$4+(Subs!BF29-(Paid!BF12+React!BF21+Legacy!BF14*Legacy!BF$3))*Prices!$I$4</f>
        <v/>
      </c>
      <c r="BG7" s="9">
        <f>(Paid!BG12+React!BG21+Legacy!BG14*Legacy!BG$3)*Prices!$H$4+(Subs!BG29-(Paid!BG12+React!BG21+Legacy!BG14*Legacy!BG$3))*Prices!$I$4</f>
        <v/>
      </c>
      <c r="BH7" s="9">
        <f>(Paid!BH12+React!BH21+Legacy!BH14*Legacy!BH$3)*Prices!$H$4+(Subs!BH29-(Paid!BH12+React!BH21+Legacy!BH14*Legacy!BH$3))*Prices!$I$4</f>
        <v/>
      </c>
      <c r="BI7" s="9">
        <f>(Paid!BI12+React!BI21+Legacy!BI14*Legacy!BI$3)*Prices!$H$4+(Subs!BI29-(Paid!BI12+React!BI21+Legacy!BI14*Legacy!BI$3))*Prices!$I$4</f>
        <v/>
      </c>
      <c r="BJ7" s="9">
        <f>(Paid!BJ12+React!BJ21+Legacy!BJ14*Legacy!BJ$3)*Prices!$H$4+(Subs!BJ29-(Paid!BJ12+React!BJ21+Legacy!BJ14*Legacy!BJ$3))*Prices!$I$4</f>
        <v/>
      </c>
      <c r="BK7" s="9">
        <f>(Paid!BK12+React!BK21+Legacy!BK14*Legacy!BK$3)*Prices!$H$4+(Subs!BK29-(Paid!BK12+React!BK21+Legacy!BK14*Legacy!BK$3))*Prices!$I$4</f>
        <v/>
      </c>
      <c r="BL7" s="9">
        <f>(Paid!BL12+React!BL21+Legacy!BL14*Legacy!BL$3)*Prices!$H$4+(Subs!BL29-(Paid!BL12+React!BL21+Legacy!BL14*Legacy!BL$3))*Prices!$I$4</f>
        <v/>
      </c>
      <c r="BM7" s="9">
        <f>(Paid!BM12+React!BM21+Legacy!BM14*Legacy!BM$3)*Prices!$H$4+(Subs!BM29-(Paid!BM12+React!BM21+Legacy!BM14*Legacy!BM$3))*Prices!$I$4</f>
        <v/>
      </c>
      <c r="BN7" s="9">
        <f>(Paid!BN12+React!BN21+Legacy!BN14*Legacy!BN$3)*Prices!$H$4+(Subs!BN29-(Paid!BN12+React!BN21+Legacy!BN14*Legacy!BN$3))*Prices!$I$4</f>
        <v/>
      </c>
      <c r="BO7" s="9">
        <f>(Paid!BO12+React!BO21+Legacy!BO14*Legacy!BO$3)*Prices!$H$4+(Subs!BO29-(Paid!BO12+React!BO21+Legacy!BO14*Legacy!BO$3))*Prices!$I$4</f>
        <v/>
      </c>
      <c r="BP7" s="9">
        <f>(Paid!BP12+React!BP21+Legacy!BP14*Legacy!BP$3)*Prices!$H$4+(Subs!BP29-(Paid!BP12+React!BP21+Legacy!BP14*Legacy!BP$3))*Prices!$I$4</f>
        <v/>
      </c>
      <c r="BQ7" s="9">
        <f>(Paid!BQ12+React!BQ21+Legacy!BQ14*Legacy!BQ$3)*Prices!$H$4+(Subs!BQ29-(Paid!BQ12+React!BQ21+Legacy!BQ14*Legacy!BQ$3))*Prices!$I$4</f>
        <v/>
      </c>
      <c r="BR7" s="9">
        <f>(Paid!BR12+React!BR21+Legacy!BR14*Legacy!BR$3)*Prices!$H$4+(Subs!BR29-(Paid!BR12+React!BR21+Legacy!BR14*Legacy!BR$3))*Prices!$I$4</f>
        <v/>
      </c>
      <c r="BS7" s="9">
        <f>(Paid!BS12+React!BS21+Legacy!BS14*Legacy!BS$3)*Prices!$H$4+(Subs!BS29-(Paid!BS12+React!BS21+Legacy!BS14*Legacy!BS$3))*Prices!$I$4</f>
        <v/>
      </c>
      <c r="BT7" s="9">
        <f>(Paid!BT12+React!BT21+Legacy!BT14*Legacy!BT$3)*Prices!$H$4+(Subs!BT29-(Paid!BT12+React!BT21+Legacy!BT14*Legacy!BT$3))*Prices!$I$4</f>
        <v/>
      </c>
      <c r="BU7" s="9">
        <f>(Paid!BU12+React!BU21+Legacy!BU14*Legacy!BU$3)*Prices!$H$4+(Subs!BU29-(Paid!BU12+React!BU21+Legacy!BU14*Legacy!BU$3))*Prices!$I$4</f>
        <v/>
      </c>
      <c r="BV7" s="9">
        <f>(Paid!BV12+React!BV21+Legacy!BV14*Legacy!BV$3)*Prices!$H$4+(Subs!BV29-(Paid!BV12+React!BV21+Legacy!BV14*Legacy!BV$3))*Prices!$I$4</f>
        <v/>
      </c>
    </row>
    <row r="8">
      <c r="A8" t="inlineStr">
        <is>
          <t>net revenue $</t>
        </is>
      </c>
      <c r="B8" t="inlineStr">
        <is>
          <t>US_CA|BASIC_A</t>
        </is>
      </c>
      <c r="C8" s="9">
        <f>(Paid!C16+React!C28+Legacy!C18*Legacy!C$3)*Prices!$H$5+(Subs!C36-(Paid!C16+React!C28+Legacy!C18*Legacy!C$3))*Prices!$I$5</f>
        <v/>
      </c>
      <c r="D8" s="9">
        <f>(Paid!D16+React!D28+Legacy!D18*Legacy!D$3)*Prices!$H$5+(Subs!D36-(Paid!D16+React!D28+Legacy!D18*Legacy!D$3))*Prices!$I$5</f>
        <v/>
      </c>
      <c r="E8" s="9">
        <f>(Paid!E16+React!E28+Legacy!E18*Legacy!E$3)*Prices!$H$5+(Subs!E36-(Paid!E16+React!E28+Legacy!E18*Legacy!E$3))*Prices!$I$5</f>
        <v/>
      </c>
      <c r="F8" s="9">
        <f>(Paid!F16+React!F28+Legacy!F18*Legacy!F$3)*Prices!$H$5+(Subs!F36-(Paid!F16+React!F28+Legacy!F18*Legacy!F$3))*Prices!$I$5</f>
        <v/>
      </c>
      <c r="G8" s="9">
        <f>(Paid!G16+React!G28+Legacy!G18*Legacy!G$3)*Prices!$H$5+(Subs!G36-(Paid!G16+React!G28+Legacy!G18*Legacy!G$3))*Prices!$I$5</f>
        <v/>
      </c>
      <c r="H8" s="9">
        <f>(Paid!H16+React!H28+Legacy!H18*Legacy!H$3)*Prices!$H$5+(Subs!H36-(Paid!H16+React!H28+Legacy!H18*Legacy!H$3))*Prices!$I$5</f>
        <v/>
      </c>
      <c r="I8" s="9">
        <f>(Paid!I16+React!I28+Legacy!I18*Legacy!I$3)*Prices!$H$5+(Subs!I36-(Paid!I16+React!I28+Legacy!I18*Legacy!I$3))*Prices!$I$5</f>
        <v/>
      </c>
      <c r="J8" s="9">
        <f>(Paid!J16+React!J28+Legacy!J18*Legacy!J$3)*Prices!$H$5+(Subs!J36-(Paid!J16+React!J28+Legacy!J18*Legacy!J$3))*Prices!$I$5</f>
        <v/>
      </c>
      <c r="K8" s="9">
        <f>(Paid!K16+React!K28+Legacy!K18*Legacy!K$3)*Prices!$H$5+(Subs!K36-(Paid!K16+React!K28+Legacy!K18*Legacy!K$3))*Prices!$I$5</f>
        <v/>
      </c>
      <c r="L8" s="9">
        <f>(Paid!L16+React!L28+Legacy!L18*Legacy!L$3)*Prices!$H$5+(Subs!L36-(Paid!L16+React!L28+Legacy!L18*Legacy!L$3))*Prices!$I$5</f>
        <v/>
      </c>
      <c r="M8" s="9">
        <f>(Paid!M16+React!M28+Legacy!M18*Legacy!M$3)*Prices!$H$5+(Subs!M36-(Paid!M16+React!M28+Legacy!M18*Legacy!M$3))*Prices!$I$5</f>
        <v/>
      </c>
      <c r="N8" s="9">
        <f>(Paid!N16+React!N28+Legacy!N18*Legacy!N$3)*Prices!$H$5+(Subs!N36-(Paid!N16+React!N28+Legacy!N18*Legacy!N$3))*Prices!$I$5</f>
        <v/>
      </c>
      <c r="O8" s="9">
        <f>(Paid!O16+React!O28+Legacy!O18*Legacy!O$3)*Prices!$H$5+(Subs!O36-(Paid!O16+React!O28+Legacy!O18*Legacy!O$3))*Prices!$I$5</f>
        <v/>
      </c>
      <c r="P8" s="9">
        <f>(Paid!P16+React!P28+Legacy!P18*Legacy!P$3)*Prices!$H$5+(Subs!P36-(Paid!P16+React!P28+Legacy!P18*Legacy!P$3))*Prices!$I$5</f>
        <v/>
      </c>
      <c r="Q8" s="9">
        <f>(Paid!Q16+React!Q28+Legacy!Q18*Legacy!Q$3)*Prices!$H$5+(Subs!Q36-(Paid!Q16+React!Q28+Legacy!Q18*Legacy!Q$3))*Prices!$I$5</f>
        <v/>
      </c>
      <c r="R8" s="9">
        <f>(Paid!R16+React!R28+Legacy!R18*Legacy!R$3)*Prices!$H$5+(Subs!R36-(Paid!R16+React!R28+Legacy!R18*Legacy!R$3))*Prices!$I$5</f>
        <v/>
      </c>
      <c r="S8" s="9">
        <f>(Paid!S16+React!S28+Legacy!S18*Legacy!S$3)*Prices!$H$5+(Subs!S36-(Paid!S16+React!S28+Legacy!S18*Legacy!S$3))*Prices!$I$5</f>
        <v/>
      </c>
      <c r="T8" s="9">
        <f>(Paid!T16+React!T28+Legacy!T18*Legacy!T$3)*Prices!$H$5+(Subs!T36-(Paid!T16+React!T28+Legacy!T18*Legacy!T$3))*Prices!$I$5</f>
        <v/>
      </c>
      <c r="U8" s="9">
        <f>(Paid!U16+React!U28+Legacy!U18*Legacy!U$3)*Prices!$H$5+(Subs!U36-(Paid!U16+React!U28+Legacy!U18*Legacy!U$3))*Prices!$I$5</f>
        <v/>
      </c>
      <c r="V8" s="9">
        <f>(Paid!V16+React!V28+Legacy!V18*Legacy!V$3)*Prices!$H$5+(Subs!V36-(Paid!V16+React!V28+Legacy!V18*Legacy!V$3))*Prices!$I$5</f>
        <v/>
      </c>
      <c r="W8" s="9">
        <f>(Paid!W16+React!W28+Legacy!W18*Legacy!W$3)*Prices!$H$5+(Subs!W36-(Paid!W16+React!W28+Legacy!W18*Legacy!W$3))*Prices!$I$5</f>
        <v/>
      </c>
      <c r="X8" s="9">
        <f>(Paid!X16+React!X28+Legacy!X18*Legacy!X$3)*Prices!$H$5+(Subs!X36-(Paid!X16+React!X28+Legacy!X18*Legacy!X$3))*Prices!$I$5</f>
        <v/>
      </c>
      <c r="Y8" s="9">
        <f>(Paid!Y16+React!Y28+Legacy!Y18*Legacy!Y$3)*Prices!$H$5+(Subs!Y36-(Paid!Y16+React!Y28+Legacy!Y18*Legacy!Y$3))*Prices!$I$5</f>
        <v/>
      </c>
      <c r="Z8" s="9">
        <f>(Paid!Z16+React!Z28+Legacy!Z18*Legacy!Z$3)*Prices!$H$5+(Subs!Z36-(Paid!Z16+React!Z28+Legacy!Z18*Legacy!Z$3))*Prices!$I$5</f>
        <v/>
      </c>
      <c r="AA8" s="9">
        <f>(Paid!AA16+React!AA28+Legacy!AA18*Legacy!AA$3)*Prices!$H$5+(Subs!AA36-(Paid!AA16+React!AA28+Legacy!AA18*Legacy!AA$3))*Prices!$I$5</f>
        <v/>
      </c>
      <c r="AB8" s="9">
        <f>(Paid!AB16+React!AB28+Legacy!AB18*Legacy!AB$3)*Prices!$H$5+(Subs!AB36-(Paid!AB16+React!AB28+Legacy!AB18*Legacy!AB$3))*Prices!$I$5</f>
        <v/>
      </c>
      <c r="AC8" s="9">
        <f>(Paid!AC16+React!AC28+Legacy!AC18*Legacy!AC$3)*Prices!$H$5+(Subs!AC36-(Paid!AC16+React!AC28+Legacy!AC18*Legacy!AC$3))*Prices!$I$5</f>
        <v/>
      </c>
      <c r="AD8" s="9">
        <f>(Paid!AD16+React!AD28+Legacy!AD18*Legacy!AD$3)*Prices!$H$5+(Subs!AD36-(Paid!AD16+React!AD28+Legacy!AD18*Legacy!AD$3))*Prices!$I$5</f>
        <v/>
      </c>
      <c r="AE8" s="9">
        <f>(Paid!AE16+React!AE28+Legacy!AE18*Legacy!AE$3)*Prices!$H$5+(Subs!AE36-(Paid!AE16+React!AE28+Legacy!AE18*Legacy!AE$3))*Prices!$I$5</f>
        <v/>
      </c>
      <c r="AF8" s="9">
        <f>(Paid!AF16+React!AF28+Legacy!AF18*Legacy!AF$3)*Prices!$H$5+(Subs!AF36-(Paid!AF16+React!AF28+Legacy!AF18*Legacy!AF$3))*Prices!$I$5</f>
        <v/>
      </c>
      <c r="AG8" s="9">
        <f>(Paid!AG16+React!AG28+Legacy!AG18*Legacy!AG$3)*Prices!$H$5+(Subs!AG36-(Paid!AG16+React!AG28+Legacy!AG18*Legacy!AG$3))*Prices!$I$5</f>
        <v/>
      </c>
      <c r="AH8" s="9">
        <f>(Paid!AH16+React!AH28+Legacy!AH18*Legacy!AH$3)*Prices!$H$5+(Subs!AH36-(Paid!AH16+React!AH28+Legacy!AH18*Legacy!AH$3))*Prices!$I$5</f>
        <v/>
      </c>
      <c r="AI8" s="9">
        <f>(Paid!AI16+React!AI28+Legacy!AI18*Legacy!AI$3)*Prices!$H$5+(Subs!AI36-(Paid!AI16+React!AI28+Legacy!AI18*Legacy!AI$3))*Prices!$I$5</f>
        <v/>
      </c>
      <c r="AJ8" s="9">
        <f>(Paid!AJ16+React!AJ28+Legacy!AJ18*Legacy!AJ$3)*Prices!$H$5+(Subs!AJ36-(Paid!AJ16+React!AJ28+Legacy!AJ18*Legacy!AJ$3))*Prices!$I$5</f>
        <v/>
      </c>
      <c r="AK8" s="9">
        <f>(Paid!AK16+React!AK28+Legacy!AK18*Legacy!AK$3)*Prices!$H$5+(Subs!AK36-(Paid!AK16+React!AK28+Legacy!AK18*Legacy!AK$3))*Prices!$I$5</f>
        <v/>
      </c>
      <c r="AL8" s="9">
        <f>(Paid!AL16+React!AL28+Legacy!AL18*Legacy!AL$3)*Prices!$H$5+(Subs!AL36-(Paid!AL16+React!AL28+Legacy!AL18*Legacy!AL$3))*Prices!$I$5</f>
        <v/>
      </c>
      <c r="AM8" s="9">
        <f>(Paid!AM16+React!AM28+Legacy!AM18*Legacy!AM$3)*Prices!$H$5+(Subs!AM36-(Paid!AM16+React!AM28+Legacy!AM18*Legacy!AM$3))*Prices!$I$5</f>
        <v/>
      </c>
      <c r="AN8" s="9">
        <f>(Paid!AN16+React!AN28+Legacy!AN18*Legacy!AN$3)*Prices!$H$5+(Subs!AN36-(Paid!AN16+React!AN28+Legacy!AN18*Legacy!AN$3))*Prices!$I$5</f>
        <v/>
      </c>
      <c r="AO8" s="9">
        <f>(Paid!AO16+React!AO28+Legacy!AO18*Legacy!AO$3)*Prices!$H$5+(Subs!AO36-(Paid!AO16+React!AO28+Legacy!AO18*Legacy!AO$3))*Prices!$I$5</f>
        <v/>
      </c>
      <c r="AP8" s="9">
        <f>(Paid!AP16+React!AP28+Legacy!AP18*Legacy!AP$3)*Prices!$H$5+(Subs!AP36-(Paid!AP16+React!AP28+Legacy!AP18*Legacy!AP$3))*Prices!$I$5</f>
        <v/>
      </c>
      <c r="AQ8" s="9">
        <f>(Paid!AQ16+React!AQ28+Legacy!AQ18*Legacy!AQ$3)*Prices!$H$5+(Subs!AQ36-(Paid!AQ16+React!AQ28+Legacy!AQ18*Legacy!AQ$3))*Prices!$I$5</f>
        <v/>
      </c>
      <c r="AR8" s="9">
        <f>(Paid!AR16+React!AR28+Legacy!AR18*Legacy!AR$3)*Prices!$H$5+(Subs!AR36-(Paid!AR16+React!AR28+Legacy!AR18*Legacy!AR$3))*Prices!$I$5</f>
        <v/>
      </c>
      <c r="AS8" s="9">
        <f>(Paid!AS16+React!AS28+Legacy!AS18*Legacy!AS$3)*Prices!$H$5+(Subs!AS36-(Paid!AS16+React!AS28+Legacy!AS18*Legacy!AS$3))*Prices!$I$5</f>
        <v/>
      </c>
      <c r="AT8" s="9">
        <f>(Paid!AT16+React!AT28+Legacy!AT18*Legacy!AT$3)*Prices!$H$5+(Subs!AT36-(Paid!AT16+React!AT28+Legacy!AT18*Legacy!AT$3))*Prices!$I$5</f>
        <v/>
      </c>
      <c r="AU8" s="9">
        <f>(Paid!AU16+React!AU28+Legacy!AU18*Legacy!AU$3)*Prices!$H$5+(Subs!AU36-(Paid!AU16+React!AU28+Legacy!AU18*Legacy!AU$3))*Prices!$I$5</f>
        <v/>
      </c>
      <c r="AV8" s="9">
        <f>(Paid!AV16+React!AV28+Legacy!AV18*Legacy!AV$3)*Prices!$H$5+(Subs!AV36-(Paid!AV16+React!AV28+Legacy!AV18*Legacy!AV$3))*Prices!$I$5</f>
        <v/>
      </c>
      <c r="AW8" s="9">
        <f>(Paid!AW16+React!AW28+Legacy!AW18*Legacy!AW$3)*Prices!$H$5+(Subs!AW36-(Paid!AW16+React!AW28+Legacy!AW18*Legacy!AW$3))*Prices!$I$5</f>
        <v/>
      </c>
      <c r="AX8" s="9">
        <f>(Paid!AX16+React!AX28+Legacy!AX18*Legacy!AX$3)*Prices!$H$5+(Subs!AX36-(Paid!AX16+React!AX28+Legacy!AX18*Legacy!AX$3))*Prices!$I$5</f>
        <v/>
      </c>
      <c r="AY8" s="9">
        <f>(Paid!AY16+React!AY28+Legacy!AY18*Legacy!AY$3)*Prices!$H$5+(Subs!AY36-(Paid!AY16+React!AY28+Legacy!AY18*Legacy!AY$3))*Prices!$I$5</f>
        <v/>
      </c>
      <c r="AZ8" s="9">
        <f>(Paid!AZ16+React!AZ28+Legacy!AZ18*Legacy!AZ$3)*Prices!$H$5+(Subs!AZ36-(Paid!AZ16+React!AZ28+Legacy!AZ18*Legacy!AZ$3))*Prices!$I$5</f>
        <v/>
      </c>
      <c r="BA8" s="9">
        <f>(Paid!BA16+React!BA28+Legacy!BA18*Legacy!BA$3)*Prices!$H$5+(Subs!BA36-(Paid!BA16+React!BA28+Legacy!BA18*Legacy!BA$3))*Prices!$I$5</f>
        <v/>
      </c>
      <c r="BB8" s="9">
        <f>(Paid!BB16+React!BB28+Legacy!BB18*Legacy!BB$3)*Prices!$H$5+(Subs!BB36-(Paid!BB16+React!BB28+Legacy!BB18*Legacy!BB$3))*Prices!$I$5</f>
        <v/>
      </c>
      <c r="BC8" s="9">
        <f>(Paid!BC16+React!BC28+Legacy!BC18*Legacy!BC$3)*Prices!$H$5+(Subs!BC36-(Paid!BC16+React!BC28+Legacy!BC18*Legacy!BC$3))*Prices!$I$5</f>
        <v/>
      </c>
      <c r="BD8" s="9">
        <f>(Paid!BD16+React!BD28+Legacy!BD18*Legacy!BD$3)*Prices!$H$5+(Subs!BD36-(Paid!BD16+React!BD28+Legacy!BD18*Legacy!BD$3))*Prices!$I$5</f>
        <v/>
      </c>
      <c r="BE8" s="9">
        <f>(Paid!BE16+React!BE28+Legacy!BE18*Legacy!BE$3)*Prices!$H$5+(Subs!BE36-(Paid!BE16+React!BE28+Legacy!BE18*Legacy!BE$3))*Prices!$I$5</f>
        <v/>
      </c>
      <c r="BF8" s="9">
        <f>(Paid!BF16+React!BF28+Legacy!BF18*Legacy!BF$3)*Prices!$H$5+(Subs!BF36-(Paid!BF16+React!BF28+Legacy!BF18*Legacy!BF$3))*Prices!$I$5</f>
        <v/>
      </c>
      <c r="BG8" s="9">
        <f>(Paid!BG16+React!BG28+Legacy!BG18*Legacy!BG$3)*Prices!$H$5+(Subs!BG36-(Paid!BG16+React!BG28+Legacy!BG18*Legacy!BG$3))*Prices!$I$5</f>
        <v/>
      </c>
      <c r="BH8" s="9">
        <f>(Paid!BH16+React!BH28+Legacy!BH18*Legacy!BH$3)*Prices!$H$5+(Subs!BH36-(Paid!BH16+React!BH28+Legacy!BH18*Legacy!BH$3))*Prices!$I$5</f>
        <v/>
      </c>
      <c r="BI8" s="9">
        <f>(Paid!BI16+React!BI28+Legacy!BI18*Legacy!BI$3)*Prices!$H$5+(Subs!BI36-(Paid!BI16+React!BI28+Legacy!BI18*Legacy!BI$3))*Prices!$I$5</f>
        <v/>
      </c>
      <c r="BJ8" s="9">
        <f>(Paid!BJ16+React!BJ28+Legacy!BJ18*Legacy!BJ$3)*Prices!$H$5+(Subs!BJ36-(Paid!BJ16+React!BJ28+Legacy!BJ18*Legacy!BJ$3))*Prices!$I$5</f>
        <v/>
      </c>
      <c r="BK8" s="9">
        <f>(Paid!BK16+React!BK28+Legacy!BK18*Legacy!BK$3)*Prices!$H$5+(Subs!BK36-(Paid!BK16+React!BK28+Legacy!BK18*Legacy!BK$3))*Prices!$I$5</f>
        <v/>
      </c>
      <c r="BL8" s="9">
        <f>(Paid!BL16+React!BL28+Legacy!BL18*Legacy!BL$3)*Prices!$H$5+(Subs!BL36-(Paid!BL16+React!BL28+Legacy!BL18*Legacy!BL$3))*Prices!$I$5</f>
        <v/>
      </c>
      <c r="BM8" s="9">
        <f>(Paid!BM16+React!BM28+Legacy!BM18*Legacy!BM$3)*Prices!$H$5+(Subs!BM36-(Paid!BM16+React!BM28+Legacy!BM18*Legacy!BM$3))*Prices!$I$5</f>
        <v/>
      </c>
      <c r="BN8" s="9">
        <f>(Paid!BN16+React!BN28+Legacy!BN18*Legacy!BN$3)*Prices!$H$5+(Subs!BN36-(Paid!BN16+React!BN28+Legacy!BN18*Legacy!BN$3))*Prices!$I$5</f>
        <v/>
      </c>
      <c r="BO8" s="9">
        <f>(Paid!BO16+React!BO28+Legacy!BO18*Legacy!BO$3)*Prices!$H$5+(Subs!BO36-(Paid!BO16+React!BO28+Legacy!BO18*Legacy!BO$3))*Prices!$I$5</f>
        <v/>
      </c>
      <c r="BP8" s="9">
        <f>(Paid!BP16+React!BP28+Legacy!BP18*Legacy!BP$3)*Prices!$H$5+(Subs!BP36-(Paid!BP16+React!BP28+Legacy!BP18*Legacy!BP$3))*Prices!$I$5</f>
        <v/>
      </c>
      <c r="BQ8" s="9">
        <f>(Paid!BQ16+React!BQ28+Legacy!BQ18*Legacy!BQ$3)*Prices!$H$5+(Subs!BQ36-(Paid!BQ16+React!BQ28+Legacy!BQ18*Legacy!BQ$3))*Prices!$I$5</f>
        <v/>
      </c>
      <c r="BR8" s="9">
        <f>(Paid!BR16+React!BR28+Legacy!BR18*Legacy!BR$3)*Prices!$H$5+(Subs!BR36-(Paid!BR16+React!BR28+Legacy!BR18*Legacy!BR$3))*Prices!$I$5</f>
        <v/>
      </c>
      <c r="BS8" s="9">
        <f>(Paid!BS16+React!BS28+Legacy!BS18*Legacy!BS$3)*Prices!$H$5+(Subs!BS36-(Paid!BS16+React!BS28+Legacy!BS18*Legacy!BS$3))*Prices!$I$5</f>
        <v/>
      </c>
      <c r="BT8" s="9">
        <f>(Paid!BT16+React!BT28+Legacy!BT18*Legacy!BT$3)*Prices!$H$5+(Subs!BT36-(Paid!BT16+React!BT28+Legacy!BT18*Legacy!BT$3))*Prices!$I$5</f>
        <v/>
      </c>
      <c r="BU8" s="9">
        <f>(Paid!BU16+React!BU28+Legacy!BU18*Legacy!BU$3)*Prices!$H$5+(Subs!BU36-(Paid!BU16+React!BU28+Legacy!BU18*Legacy!BU$3))*Prices!$I$5</f>
        <v/>
      </c>
      <c r="BV8" s="9">
        <f>(Paid!BV16+React!BV28+Legacy!BV18*Legacy!BV$3)*Prices!$H$5+(Subs!BV36-(Paid!BV16+React!BV28+Legacy!BV18*Legacy!BV$3))*Prices!$I$5</f>
        <v/>
      </c>
    </row>
    <row r="9">
      <c r="A9" t="inlineStr">
        <is>
          <t>net revenue $</t>
        </is>
      </c>
      <c r="B9" t="inlineStr">
        <is>
          <t>EUROPE|NITRO_M</t>
        </is>
      </c>
      <c r="C9" s="9">
        <f>(Paid!C20+React!C35+Legacy!C22*Legacy!C$3)*Prices!$H$6+(Subs!C43-(Paid!C20+React!C35+Legacy!C22*Legacy!C$3))*Prices!$I$6</f>
        <v/>
      </c>
      <c r="D9" s="9">
        <f>(Paid!D20+React!D35+Legacy!D22*Legacy!D$3)*Prices!$H$6+(Subs!D43-(Paid!D20+React!D35+Legacy!D22*Legacy!D$3))*Prices!$I$6</f>
        <v/>
      </c>
      <c r="E9" s="9">
        <f>(Paid!E20+React!E35+Legacy!E22*Legacy!E$3)*Prices!$H$6+(Subs!E43-(Paid!E20+React!E35+Legacy!E22*Legacy!E$3))*Prices!$I$6</f>
        <v/>
      </c>
      <c r="F9" s="9">
        <f>(Paid!F20+React!F35+Legacy!F22*Legacy!F$3)*Prices!$H$6+(Subs!F43-(Paid!F20+React!F35+Legacy!F22*Legacy!F$3))*Prices!$I$6</f>
        <v/>
      </c>
      <c r="G9" s="9">
        <f>(Paid!G20+React!G35+Legacy!G22*Legacy!G$3)*Prices!$H$6+(Subs!G43-(Paid!G20+React!G35+Legacy!G22*Legacy!G$3))*Prices!$I$6</f>
        <v/>
      </c>
      <c r="H9" s="9">
        <f>(Paid!H20+React!H35+Legacy!H22*Legacy!H$3)*Prices!$H$6+(Subs!H43-(Paid!H20+React!H35+Legacy!H22*Legacy!H$3))*Prices!$I$6</f>
        <v/>
      </c>
      <c r="I9" s="9">
        <f>(Paid!I20+React!I35+Legacy!I22*Legacy!I$3)*Prices!$H$6+(Subs!I43-(Paid!I20+React!I35+Legacy!I22*Legacy!I$3))*Prices!$I$6</f>
        <v/>
      </c>
      <c r="J9" s="9">
        <f>(Paid!J20+React!J35+Legacy!J22*Legacy!J$3)*Prices!$H$6+(Subs!J43-(Paid!J20+React!J35+Legacy!J22*Legacy!J$3))*Prices!$I$6</f>
        <v/>
      </c>
      <c r="K9" s="9">
        <f>(Paid!K20+React!K35+Legacy!K22*Legacy!K$3)*Prices!$H$6+(Subs!K43-(Paid!K20+React!K35+Legacy!K22*Legacy!K$3))*Prices!$I$6</f>
        <v/>
      </c>
      <c r="L9" s="9">
        <f>(Paid!L20+React!L35+Legacy!L22*Legacy!L$3)*Prices!$H$6+(Subs!L43-(Paid!L20+React!L35+Legacy!L22*Legacy!L$3))*Prices!$I$6</f>
        <v/>
      </c>
      <c r="M9" s="9">
        <f>(Paid!M20+React!M35+Legacy!M22*Legacy!M$3)*Prices!$H$6+(Subs!M43-(Paid!M20+React!M35+Legacy!M22*Legacy!M$3))*Prices!$I$6</f>
        <v/>
      </c>
      <c r="N9" s="9">
        <f>(Paid!N20+React!N35+Legacy!N22*Legacy!N$3)*Prices!$H$6+(Subs!N43-(Paid!N20+React!N35+Legacy!N22*Legacy!N$3))*Prices!$I$6</f>
        <v/>
      </c>
      <c r="O9" s="9">
        <f>(Paid!O20+React!O35+Legacy!O22*Legacy!O$3)*Prices!$H$6+(Subs!O43-(Paid!O20+React!O35+Legacy!O22*Legacy!O$3))*Prices!$I$6</f>
        <v/>
      </c>
      <c r="P9" s="9">
        <f>(Paid!P20+React!P35+Legacy!P22*Legacy!P$3)*Prices!$H$6+(Subs!P43-(Paid!P20+React!P35+Legacy!P22*Legacy!P$3))*Prices!$I$6</f>
        <v/>
      </c>
      <c r="Q9" s="9">
        <f>(Paid!Q20+React!Q35+Legacy!Q22*Legacy!Q$3)*Prices!$H$6+(Subs!Q43-(Paid!Q20+React!Q35+Legacy!Q22*Legacy!Q$3))*Prices!$I$6</f>
        <v/>
      </c>
      <c r="R9" s="9">
        <f>(Paid!R20+React!R35+Legacy!R22*Legacy!R$3)*Prices!$H$6+(Subs!R43-(Paid!R20+React!R35+Legacy!R22*Legacy!R$3))*Prices!$I$6</f>
        <v/>
      </c>
      <c r="S9" s="9">
        <f>(Paid!S20+React!S35+Legacy!S22*Legacy!S$3)*Prices!$H$6+(Subs!S43-(Paid!S20+React!S35+Legacy!S22*Legacy!S$3))*Prices!$I$6</f>
        <v/>
      </c>
      <c r="T9" s="9">
        <f>(Paid!T20+React!T35+Legacy!T22*Legacy!T$3)*Prices!$H$6+(Subs!T43-(Paid!T20+React!T35+Legacy!T22*Legacy!T$3))*Prices!$I$6</f>
        <v/>
      </c>
      <c r="U9" s="9">
        <f>(Paid!U20+React!U35+Legacy!U22*Legacy!U$3)*Prices!$H$6+(Subs!U43-(Paid!U20+React!U35+Legacy!U22*Legacy!U$3))*Prices!$I$6</f>
        <v/>
      </c>
      <c r="V9" s="9">
        <f>(Paid!V20+React!V35+Legacy!V22*Legacy!V$3)*Prices!$H$6+(Subs!V43-(Paid!V20+React!V35+Legacy!V22*Legacy!V$3))*Prices!$I$6</f>
        <v/>
      </c>
      <c r="W9" s="9">
        <f>(Paid!W20+React!W35+Legacy!W22*Legacy!W$3)*Prices!$H$6+(Subs!W43-(Paid!W20+React!W35+Legacy!W22*Legacy!W$3))*Prices!$I$6</f>
        <v/>
      </c>
      <c r="X9" s="9">
        <f>(Paid!X20+React!X35+Legacy!X22*Legacy!X$3)*Prices!$H$6+(Subs!X43-(Paid!X20+React!X35+Legacy!X22*Legacy!X$3))*Prices!$I$6</f>
        <v/>
      </c>
      <c r="Y9" s="9">
        <f>(Paid!Y20+React!Y35+Legacy!Y22*Legacy!Y$3)*Prices!$H$6+(Subs!Y43-(Paid!Y20+React!Y35+Legacy!Y22*Legacy!Y$3))*Prices!$I$6</f>
        <v/>
      </c>
      <c r="Z9" s="9">
        <f>(Paid!Z20+React!Z35+Legacy!Z22*Legacy!Z$3)*Prices!$H$6+(Subs!Z43-(Paid!Z20+React!Z35+Legacy!Z22*Legacy!Z$3))*Prices!$I$6</f>
        <v/>
      </c>
      <c r="AA9" s="9">
        <f>(Paid!AA20+React!AA35+Legacy!AA22*Legacy!AA$3)*Prices!$H$6+(Subs!AA43-(Paid!AA20+React!AA35+Legacy!AA22*Legacy!AA$3))*Prices!$I$6</f>
        <v/>
      </c>
      <c r="AB9" s="9">
        <f>(Paid!AB20+React!AB35+Legacy!AB22*Legacy!AB$3)*Prices!$H$6+(Subs!AB43-(Paid!AB20+React!AB35+Legacy!AB22*Legacy!AB$3))*Prices!$I$6</f>
        <v/>
      </c>
      <c r="AC9" s="9">
        <f>(Paid!AC20+React!AC35+Legacy!AC22*Legacy!AC$3)*Prices!$H$6+(Subs!AC43-(Paid!AC20+React!AC35+Legacy!AC22*Legacy!AC$3))*Prices!$I$6</f>
        <v/>
      </c>
      <c r="AD9" s="9">
        <f>(Paid!AD20+React!AD35+Legacy!AD22*Legacy!AD$3)*Prices!$H$6+(Subs!AD43-(Paid!AD20+React!AD35+Legacy!AD22*Legacy!AD$3))*Prices!$I$6</f>
        <v/>
      </c>
      <c r="AE9" s="9">
        <f>(Paid!AE20+React!AE35+Legacy!AE22*Legacy!AE$3)*Prices!$H$6+(Subs!AE43-(Paid!AE20+React!AE35+Legacy!AE22*Legacy!AE$3))*Prices!$I$6</f>
        <v/>
      </c>
      <c r="AF9" s="9">
        <f>(Paid!AF20+React!AF35+Legacy!AF22*Legacy!AF$3)*Prices!$H$6+(Subs!AF43-(Paid!AF20+React!AF35+Legacy!AF22*Legacy!AF$3))*Prices!$I$6</f>
        <v/>
      </c>
      <c r="AG9" s="9">
        <f>(Paid!AG20+React!AG35+Legacy!AG22*Legacy!AG$3)*Prices!$H$6+(Subs!AG43-(Paid!AG20+React!AG35+Legacy!AG22*Legacy!AG$3))*Prices!$I$6</f>
        <v/>
      </c>
      <c r="AH9" s="9">
        <f>(Paid!AH20+React!AH35+Legacy!AH22*Legacy!AH$3)*Prices!$H$6+(Subs!AH43-(Paid!AH20+React!AH35+Legacy!AH22*Legacy!AH$3))*Prices!$I$6</f>
        <v/>
      </c>
      <c r="AI9" s="9">
        <f>(Paid!AI20+React!AI35+Legacy!AI22*Legacy!AI$3)*Prices!$H$6+(Subs!AI43-(Paid!AI20+React!AI35+Legacy!AI22*Legacy!AI$3))*Prices!$I$6</f>
        <v/>
      </c>
      <c r="AJ9" s="9">
        <f>(Paid!AJ20+React!AJ35+Legacy!AJ22*Legacy!AJ$3)*Prices!$H$6+(Subs!AJ43-(Paid!AJ20+React!AJ35+Legacy!AJ22*Legacy!AJ$3))*Prices!$I$6</f>
        <v/>
      </c>
      <c r="AK9" s="9">
        <f>(Paid!AK20+React!AK35+Legacy!AK22*Legacy!AK$3)*Prices!$H$6+(Subs!AK43-(Paid!AK20+React!AK35+Legacy!AK22*Legacy!AK$3))*Prices!$I$6</f>
        <v/>
      </c>
      <c r="AL9" s="9">
        <f>(Paid!AL20+React!AL35+Legacy!AL22*Legacy!AL$3)*Prices!$H$6+(Subs!AL43-(Paid!AL20+React!AL35+Legacy!AL22*Legacy!AL$3))*Prices!$I$6</f>
        <v/>
      </c>
      <c r="AM9" s="9">
        <f>(Paid!AM20+React!AM35+Legacy!AM22*Legacy!AM$3)*Prices!$H$6+(Subs!AM43-(Paid!AM20+React!AM35+Legacy!AM22*Legacy!AM$3))*Prices!$I$6</f>
        <v/>
      </c>
      <c r="AN9" s="9">
        <f>(Paid!AN20+React!AN35+Legacy!AN22*Legacy!AN$3)*Prices!$H$6+(Subs!AN43-(Paid!AN20+React!AN35+Legacy!AN22*Legacy!AN$3))*Prices!$I$6</f>
        <v/>
      </c>
      <c r="AO9" s="9">
        <f>(Paid!AO20+React!AO35+Legacy!AO22*Legacy!AO$3)*Prices!$H$6+(Subs!AO43-(Paid!AO20+React!AO35+Legacy!AO22*Legacy!AO$3))*Prices!$I$6</f>
        <v/>
      </c>
      <c r="AP9" s="9">
        <f>(Paid!AP20+React!AP35+Legacy!AP22*Legacy!AP$3)*Prices!$H$6+(Subs!AP43-(Paid!AP20+React!AP35+Legacy!AP22*Legacy!AP$3))*Prices!$I$6</f>
        <v/>
      </c>
      <c r="AQ9" s="9">
        <f>(Paid!AQ20+React!AQ35+Legacy!AQ22*Legacy!AQ$3)*Prices!$H$6+(Subs!AQ43-(Paid!AQ20+React!AQ35+Legacy!AQ22*Legacy!AQ$3))*Prices!$I$6</f>
        <v/>
      </c>
      <c r="AR9" s="9">
        <f>(Paid!AR20+React!AR35+Legacy!AR22*Legacy!AR$3)*Prices!$H$6+(Subs!AR43-(Paid!AR20+React!AR35+Legacy!AR22*Legacy!AR$3))*Prices!$I$6</f>
        <v/>
      </c>
      <c r="AS9" s="9">
        <f>(Paid!AS20+React!AS35+Legacy!AS22*Legacy!AS$3)*Prices!$H$6+(Subs!AS43-(Paid!AS20+React!AS35+Legacy!AS22*Legacy!AS$3))*Prices!$I$6</f>
        <v/>
      </c>
      <c r="AT9" s="9">
        <f>(Paid!AT20+React!AT35+Legacy!AT22*Legacy!AT$3)*Prices!$H$6+(Subs!AT43-(Paid!AT20+React!AT35+Legacy!AT22*Legacy!AT$3))*Prices!$I$6</f>
        <v/>
      </c>
      <c r="AU9" s="9">
        <f>(Paid!AU20+React!AU35+Legacy!AU22*Legacy!AU$3)*Prices!$H$6+(Subs!AU43-(Paid!AU20+React!AU35+Legacy!AU22*Legacy!AU$3))*Prices!$I$6</f>
        <v/>
      </c>
      <c r="AV9" s="9">
        <f>(Paid!AV20+React!AV35+Legacy!AV22*Legacy!AV$3)*Prices!$H$6+(Subs!AV43-(Paid!AV20+React!AV35+Legacy!AV22*Legacy!AV$3))*Prices!$I$6</f>
        <v/>
      </c>
      <c r="AW9" s="9">
        <f>(Paid!AW20+React!AW35+Legacy!AW22*Legacy!AW$3)*Prices!$H$6+(Subs!AW43-(Paid!AW20+React!AW35+Legacy!AW22*Legacy!AW$3))*Prices!$I$6</f>
        <v/>
      </c>
      <c r="AX9" s="9">
        <f>(Paid!AX20+React!AX35+Legacy!AX22*Legacy!AX$3)*Prices!$H$6+(Subs!AX43-(Paid!AX20+React!AX35+Legacy!AX22*Legacy!AX$3))*Prices!$I$6</f>
        <v/>
      </c>
      <c r="AY9" s="9">
        <f>(Paid!AY20+React!AY35+Legacy!AY22*Legacy!AY$3)*Prices!$H$6+(Subs!AY43-(Paid!AY20+React!AY35+Legacy!AY22*Legacy!AY$3))*Prices!$I$6</f>
        <v/>
      </c>
      <c r="AZ9" s="9">
        <f>(Paid!AZ20+React!AZ35+Legacy!AZ22*Legacy!AZ$3)*Prices!$H$6+(Subs!AZ43-(Paid!AZ20+React!AZ35+Legacy!AZ22*Legacy!AZ$3))*Prices!$I$6</f>
        <v/>
      </c>
      <c r="BA9" s="9">
        <f>(Paid!BA20+React!BA35+Legacy!BA22*Legacy!BA$3)*Prices!$H$6+(Subs!BA43-(Paid!BA20+React!BA35+Legacy!BA22*Legacy!BA$3))*Prices!$I$6</f>
        <v/>
      </c>
      <c r="BB9" s="9">
        <f>(Paid!BB20+React!BB35+Legacy!BB22*Legacy!BB$3)*Prices!$H$6+(Subs!BB43-(Paid!BB20+React!BB35+Legacy!BB22*Legacy!BB$3))*Prices!$I$6</f>
        <v/>
      </c>
      <c r="BC9" s="9">
        <f>(Paid!BC20+React!BC35+Legacy!BC22*Legacy!BC$3)*Prices!$H$6+(Subs!BC43-(Paid!BC20+React!BC35+Legacy!BC22*Legacy!BC$3))*Prices!$I$6</f>
        <v/>
      </c>
      <c r="BD9" s="9">
        <f>(Paid!BD20+React!BD35+Legacy!BD22*Legacy!BD$3)*Prices!$H$6+(Subs!BD43-(Paid!BD20+React!BD35+Legacy!BD22*Legacy!BD$3))*Prices!$I$6</f>
        <v/>
      </c>
      <c r="BE9" s="9">
        <f>(Paid!BE20+React!BE35+Legacy!BE22*Legacy!BE$3)*Prices!$H$6+(Subs!BE43-(Paid!BE20+React!BE35+Legacy!BE22*Legacy!BE$3))*Prices!$I$6</f>
        <v/>
      </c>
      <c r="BF9" s="9">
        <f>(Paid!BF20+React!BF35+Legacy!BF22*Legacy!BF$3)*Prices!$H$6+(Subs!BF43-(Paid!BF20+React!BF35+Legacy!BF22*Legacy!BF$3))*Prices!$I$6</f>
        <v/>
      </c>
      <c r="BG9" s="9">
        <f>(Paid!BG20+React!BG35+Legacy!BG22*Legacy!BG$3)*Prices!$H$6+(Subs!BG43-(Paid!BG20+React!BG35+Legacy!BG22*Legacy!BG$3))*Prices!$I$6</f>
        <v/>
      </c>
      <c r="BH9" s="9">
        <f>(Paid!BH20+React!BH35+Legacy!BH22*Legacy!BH$3)*Prices!$H$6+(Subs!BH43-(Paid!BH20+React!BH35+Legacy!BH22*Legacy!BH$3))*Prices!$I$6</f>
        <v/>
      </c>
      <c r="BI9" s="9">
        <f>(Paid!BI20+React!BI35+Legacy!BI22*Legacy!BI$3)*Prices!$H$6+(Subs!BI43-(Paid!BI20+React!BI35+Legacy!BI22*Legacy!BI$3))*Prices!$I$6</f>
        <v/>
      </c>
      <c r="BJ9" s="9">
        <f>(Paid!BJ20+React!BJ35+Legacy!BJ22*Legacy!BJ$3)*Prices!$H$6+(Subs!BJ43-(Paid!BJ20+React!BJ35+Legacy!BJ22*Legacy!BJ$3))*Prices!$I$6</f>
        <v/>
      </c>
      <c r="BK9" s="9">
        <f>(Paid!BK20+React!BK35+Legacy!BK22*Legacy!BK$3)*Prices!$H$6+(Subs!BK43-(Paid!BK20+React!BK35+Legacy!BK22*Legacy!BK$3))*Prices!$I$6</f>
        <v/>
      </c>
      <c r="BL9" s="9">
        <f>(Paid!BL20+React!BL35+Legacy!BL22*Legacy!BL$3)*Prices!$H$6+(Subs!BL43-(Paid!BL20+React!BL35+Legacy!BL22*Legacy!BL$3))*Prices!$I$6</f>
        <v/>
      </c>
      <c r="BM9" s="9">
        <f>(Paid!BM20+React!BM35+Legacy!BM22*Legacy!BM$3)*Prices!$H$6+(Subs!BM43-(Paid!BM20+React!BM35+Legacy!BM22*Legacy!BM$3))*Prices!$I$6</f>
        <v/>
      </c>
      <c r="BN9" s="9">
        <f>(Paid!BN20+React!BN35+Legacy!BN22*Legacy!BN$3)*Prices!$H$6+(Subs!BN43-(Paid!BN20+React!BN35+Legacy!BN22*Legacy!BN$3))*Prices!$I$6</f>
        <v/>
      </c>
      <c r="BO9" s="9">
        <f>(Paid!BO20+React!BO35+Legacy!BO22*Legacy!BO$3)*Prices!$H$6+(Subs!BO43-(Paid!BO20+React!BO35+Legacy!BO22*Legacy!BO$3))*Prices!$I$6</f>
        <v/>
      </c>
      <c r="BP9" s="9">
        <f>(Paid!BP20+React!BP35+Legacy!BP22*Legacy!BP$3)*Prices!$H$6+(Subs!BP43-(Paid!BP20+React!BP35+Legacy!BP22*Legacy!BP$3))*Prices!$I$6</f>
        <v/>
      </c>
      <c r="BQ9" s="9">
        <f>(Paid!BQ20+React!BQ35+Legacy!BQ22*Legacy!BQ$3)*Prices!$H$6+(Subs!BQ43-(Paid!BQ20+React!BQ35+Legacy!BQ22*Legacy!BQ$3))*Prices!$I$6</f>
        <v/>
      </c>
      <c r="BR9" s="9">
        <f>(Paid!BR20+React!BR35+Legacy!BR22*Legacy!BR$3)*Prices!$H$6+(Subs!BR43-(Paid!BR20+React!BR35+Legacy!BR22*Legacy!BR$3))*Prices!$I$6</f>
        <v/>
      </c>
      <c r="BS9" s="9">
        <f>(Paid!BS20+React!BS35+Legacy!BS22*Legacy!BS$3)*Prices!$H$6+(Subs!BS43-(Paid!BS20+React!BS35+Legacy!BS22*Legacy!BS$3))*Prices!$I$6</f>
        <v/>
      </c>
      <c r="BT9" s="9">
        <f>(Paid!BT20+React!BT35+Legacy!BT22*Legacy!BT$3)*Prices!$H$6+(Subs!BT43-(Paid!BT20+React!BT35+Legacy!BT22*Legacy!BT$3))*Prices!$I$6</f>
        <v/>
      </c>
      <c r="BU9" s="9">
        <f>(Paid!BU20+React!BU35+Legacy!BU22*Legacy!BU$3)*Prices!$H$6+(Subs!BU43-(Paid!BU20+React!BU35+Legacy!BU22*Legacy!BU$3))*Prices!$I$6</f>
        <v/>
      </c>
      <c r="BV9" s="9">
        <f>(Paid!BV20+React!BV35+Legacy!BV22*Legacy!BV$3)*Prices!$H$6+(Subs!BV43-(Paid!BV20+React!BV35+Legacy!BV22*Legacy!BV$3))*Prices!$I$6</f>
        <v/>
      </c>
    </row>
    <row r="10">
      <c r="A10" t="inlineStr">
        <is>
          <t>net revenue $</t>
        </is>
      </c>
      <c r="B10" t="inlineStr">
        <is>
          <t>EUROPE|NITRO_A</t>
        </is>
      </c>
      <c r="C10" s="9">
        <f>(Paid!C24+React!C42+Legacy!C26*Legacy!C$3)*Prices!$H$7+(Subs!C50-(Paid!C24+React!C42+Legacy!C26*Legacy!C$3))*Prices!$I$7</f>
        <v/>
      </c>
      <c r="D10" s="9">
        <f>(Paid!D24+React!D42+Legacy!D26*Legacy!D$3)*Prices!$H$7+(Subs!D50-(Paid!D24+React!D42+Legacy!D26*Legacy!D$3))*Prices!$I$7</f>
        <v/>
      </c>
      <c r="E10" s="9">
        <f>(Paid!E24+React!E42+Legacy!E26*Legacy!E$3)*Prices!$H$7+(Subs!E50-(Paid!E24+React!E42+Legacy!E26*Legacy!E$3))*Prices!$I$7</f>
        <v/>
      </c>
      <c r="F10" s="9">
        <f>(Paid!F24+React!F42+Legacy!F26*Legacy!F$3)*Prices!$H$7+(Subs!F50-(Paid!F24+React!F42+Legacy!F26*Legacy!F$3))*Prices!$I$7</f>
        <v/>
      </c>
      <c r="G10" s="9">
        <f>(Paid!G24+React!G42+Legacy!G26*Legacy!G$3)*Prices!$H$7+(Subs!G50-(Paid!G24+React!G42+Legacy!G26*Legacy!G$3))*Prices!$I$7</f>
        <v/>
      </c>
      <c r="H10" s="9">
        <f>(Paid!H24+React!H42+Legacy!H26*Legacy!H$3)*Prices!$H$7+(Subs!H50-(Paid!H24+React!H42+Legacy!H26*Legacy!H$3))*Prices!$I$7</f>
        <v/>
      </c>
      <c r="I10" s="9">
        <f>(Paid!I24+React!I42+Legacy!I26*Legacy!I$3)*Prices!$H$7+(Subs!I50-(Paid!I24+React!I42+Legacy!I26*Legacy!I$3))*Prices!$I$7</f>
        <v/>
      </c>
      <c r="J10" s="9">
        <f>(Paid!J24+React!J42+Legacy!J26*Legacy!J$3)*Prices!$H$7+(Subs!J50-(Paid!J24+React!J42+Legacy!J26*Legacy!J$3))*Prices!$I$7</f>
        <v/>
      </c>
      <c r="K10" s="9">
        <f>(Paid!K24+React!K42+Legacy!K26*Legacy!K$3)*Prices!$H$7+(Subs!K50-(Paid!K24+React!K42+Legacy!K26*Legacy!K$3))*Prices!$I$7</f>
        <v/>
      </c>
      <c r="L10" s="9">
        <f>(Paid!L24+React!L42+Legacy!L26*Legacy!L$3)*Prices!$H$7+(Subs!L50-(Paid!L24+React!L42+Legacy!L26*Legacy!L$3))*Prices!$I$7</f>
        <v/>
      </c>
      <c r="M10" s="9">
        <f>(Paid!M24+React!M42+Legacy!M26*Legacy!M$3)*Prices!$H$7+(Subs!M50-(Paid!M24+React!M42+Legacy!M26*Legacy!M$3))*Prices!$I$7</f>
        <v/>
      </c>
      <c r="N10" s="9">
        <f>(Paid!N24+React!N42+Legacy!N26*Legacy!N$3)*Prices!$H$7+(Subs!N50-(Paid!N24+React!N42+Legacy!N26*Legacy!N$3))*Prices!$I$7</f>
        <v/>
      </c>
      <c r="O10" s="9">
        <f>(Paid!O24+React!O42+Legacy!O26*Legacy!O$3)*Prices!$H$7+(Subs!O50-(Paid!O24+React!O42+Legacy!O26*Legacy!O$3))*Prices!$I$7</f>
        <v/>
      </c>
      <c r="P10" s="9">
        <f>(Paid!P24+React!P42+Legacy!P26*Legacy!P$3)*Prices!$H$7+(Subs!P50-(Paid!P24+React!P42+Legacy!P26*Legacy!P$3))*Prices!$I$7</f>
        <v/>
      </c>
      <c r="Q10" s="9">
        <f>(Paid!Q24+React!Q42+Legacy!Q26*Legacy!Q$3)*Prices!$H$7+(Subs!Q50-(Paid!Q24+React!Q42+Legacy!Q26*Legacy!Q$3))*Prices!$I$7</f>
        <v/>
      </c>
      <c r="R10" s="9">
        <f>(Paid!R24+React!R42+Legacy!R26*Legacy!R$3)*Prices!$H$7+(Subs!R50-(Paid!R24+React!R42+Legacy!R26*Legacy!R$3))*Prices!$I$7</f>
        <v/>
      </c>
      <c r="S10" s="9">
        <f>(Paid!S24+React!S42+Legacy!S26*Legacy!S$3)*Prices!$H$7+(Subs!S50-(Paid!S24+React!S42+Legacy!S26*Legacy!S$3))*Prices!$I$7</f>
        <v/>
      </c>
      <c r="T10" s="9">
        <f>(Paid!T24+React!T42+Legacy!T26*Legacy!T$3)*Prices!$H$7+(Subs!T50-(Paid!T24+React!T42+Legacy!T26*Legacy!T$3))*Prices!$I$7</f>
        <v/>
      </c>
      <c r="U10" s="9">
        <f>(Paid!U24+React!U42+Legacy!U26*Legacy!U$3)*Prices!$H$7+(Subs!U50-(Paid!U24+React!U42+Legacy!U26*Legacy!U$3))*Prices!$I$7</f>
        <v/>
      </c>
      <c r="V10" s="9">
        <f>(Paid!V24+React!V42+Legacy!V26*Legacy!V$3)*Prices!$H$7+(Subs!V50-(Paid!V24+React!V42+Legacy!V26*Legacy!V$3))*Prices!$I$7</f>
        <v/>
      </c>
      <c r="W10" s="9">
        <f>(Paid!W24+React!W42+Legacy!W26*Legacy!W$3)*Prices!$H$7+(Subs!W50-(Paid!W24+React!W42+Legacy!W26*Legacy!W$3))*Prices!$I$7</f>
        <v/>
      </c>
      <c r="X10" s="9">
        <f>(Paid!X24+React!X42+Legacy!X26*Legacy!X$3)*Prices!$H$7+(Subs!X50-(Paid!X24+React!X42+Legacy!X26*Legacy!X$3))*Prices!$I$7</f>
        <v/>
      </c>
      <c r="Y10" s="9">
        <f>(Paid!Y24+React!Y42+Legacy!Y26*Legacy!Y$3)*Prices!$H$7+(Subs!Y50-(Paid!Y24+React!Y42+Legacy!Y26*Legacy!Y$3))*Prices!$I$7</f>
        <v/>
      </c>
      <c r="Z10" s="9">
        <f>(Paid!Z24+React!Z42+Legacy!Z26*Legacy!Z$3)*Prices!$H$7+(Subs!Z50-(Paid!Z24+React!Z42+Legacy!Z26*Legacy!Z$3))*Prices!$I$7</f>
        <v/>
      </c>
      <c r="AA10" s="9">
        <f>(Paid!AA24+React!AA42+Legacy!AA26*Legacy!AA$3)*Prices!$H$7+(Subs!AA50-(Paid!AA24+React!AA42+Legacy!AA26*Legacy!AA$3))*Prices!$I$7</f>
        <v/>
      </c>
      <c r="AB10" s="9">
        <f>(Paid!AB24+React!AB42+Legacy!AB26*Legacy!AB$3)*Prices!$H$7+(Subs!AB50-(Paid!AB24+React!AB42+Legacy!AB26*Legacy!AB$3))*Prices!$I$7</f>
        <v/>
      </c>
      <c r="AC10" s="9">
        <f>(Paid!AC24+React!AC42+Legacy!AC26*Legacy!AC$3)*Prices!$H$7+(Subs!AC50-(Paid!AC24+React!AC42+Legacy!AC26*Legacy!AC$3))*Prices!$I$7</f>
        <v/>
      </c>
      <c r="AD10" s="9">
        <f>(Paid!AD24+React!AD42+Legacy!AD26*Legacy!AD$3)*Prices!$H$7+(Subs!AD50-(Paid!AD24+React!AD42+Legacy!AD26*Legacy!AD$3))*Prices!$I$7</f>
        <v/>
      </c>
      <c r="AE10" s="9">
        <f>(Paid!AE24+React!AE42+Legacy!AE26*Legacy!AE$3)*Prices!$H$7+(Subs!AE50-(Paid!AE24+React!AE42+Legacy!AE26*Legacy!AE$3))*Prices!$I$7</f>
        <v/>
      </c>
      <c r="AF10" s="9">
        <f>(Paid!AF24+React!AF42+Legacy!AF26*Legacy!AF$3)*Prices!$H$7+(Subs!AF50-(Paid!AF24+React!AF42+Legacy!AF26*Legacy!AF$3))*Prices!$I$7</f>
        <v/>
      </c>
      <c r="AG10" s="9">
        <f>(Paid!AG24+React!AG42+Legacy!AG26*Legacy!AG$3)*Prices!$H$7+(Subs!AG50-(Paid!AG24+React!AG42+Legacy!AG26*Legacy!AG$3))*Prices!$I$7</f>
        <v/>
      </c>
      <c r="AH10" s="9">
        <f>(Paid!AH24+React!AH42+Legacy!AH26*Legacy!AH$3)*Prices!$H$7+(Subs!AH50-(Paid!AH24+React!AH42+Legacy!AH26*Legacy!AH$3))*Prices!$I$7</f>
        <v/>
      </c>
      <c r="AI10" s="9">
        <f>(Paid!AI24+React!AI42+Legacy!AI26*Legacy!AI$3)*Prices!$H$7+(Subs!AI50-(Paid!AI24+React!AI42+Legacy!AI26*Legacy!AI$3))*Prices!$I$7</f>
        <v/>
      </c>
      <c r="AJ10" s="9">
        <f>(Paid!AJ24+React!AJ42+Legacy!AJ26*Legacy!AJ$3)*Prices!$H$7+(Subs!AJ50-(Paid!AJ24+React!AJ42+Legacy!AJ26*Legacy!AJ$3))*Prices!$I$7</f>
        <v/>
      </c>
      <c r="AK10" s="9">
        <f>(Paid!AK24+React!AK42+Legacy!AK26*Legacy!AK$3)*Prices!$H$7+(Subs!AK50-(Paid!AK24+React!AK42+Legacy!AK26*Legacy!AK$3))*Prices!$I$7</f>
        <v/>
      </c>
      <c r="AL10" s="9">
        <f>(Paid!AL24+React!AL42+Legacy!AL26*Legacy!AL$3)*Prices!$H$7+(Subs!AL50-(Paid!AL24+React!AL42+Legacy!AL26*Legacy!AL$3))*Prices!$I$7</f>
        <v/>
      </c>
      <c r="AM10" s="9">
        <f>(Paid!AM24+React!AM42+Legacy!AM26*Legacy!AM$3)*Prices!$H$7+(Subs!AM50-(Paid!AM24+React!AM42+Legacy!AM26*Legacy!AM$3))*Prices!$I$7</f>
        <v/>
      </c>
      <c r="AN10" s="9">
        <f>(Paid!AN24+React!AN42+Legacy!AN26*Legacy!AN$3)*Prices!$H$7+(Subs!AN50-(Paid!AN24+React!AN42+Legacy!AN26*Legacy!AN$3))*Prices!$I$7</f>
        <v/>
      </c>
      <c r="AO10" s="9">
        <f>(Paid!AO24+React!AO42+Legacy!AO26*Legacy!AO$3)*Prices!$H$7+(Subs!AO50-(Paid!AO24+React!AO42+Legacy!AO26*Legacy!AO$3))*Prices!$I$7</f>
        <v/>
      </c>
      <c r="AP10" s="9">
        <f>(Paid!AP24+React!AP42+Legacy!AP26*Legacy!AP$3)*Prices!$H$7+(Subs!AP50-(Paid!AP24+React!AP42+Legacy!AP26*Legacy!AP$3))*Prices!$I$7</f>
        <v/>
      </c>
      <c r="AQ10" s="9">
        <f>(Paid!AQ24+React!AQ42+Legacy!AQ26*Legacy!AQ$3)*Prices!$H$7+(Subs!AQ50-(Paid!AQ24+React!AQ42+Legacy!AQ26*Legacy!AQ$3))*Prices!$I$7</f>
        <v/>
      </c>
      <c r="AR10" s="9">
        <f>(Paid!AR24+React!AR42+Legacy!AR26*Legacy!AR$3)*Prices!$H$7+(Subs!AR50-(Paid!AR24+React!AR42+Legacy!AR26*Legacy!AR$3))*Prices!$I$7</f>
        <v/>
      </c>
      <c r="AS10" s="9">
        <f>(Paid!AS24+React!AS42+Legacy!AS26*Legacy!AS$3)*Prices!$H$7+(Subs!AS50-(Paid!AS24+React!AS42+Legacy!AS26*Legacy!AS$3))*Prices!$I$7</f>
        <v/>
      </c>
      <c r="AT10" s="9">
        <f>(Paid!AT24+React!AT42+Legacy!AT26*Legacy!AT$3)*Prices!$H$7+(Subs!AT50-(Paid!AT24+React!AT42+Legacy!AT26*Legacy!AT$3))*Prices!$I$7</f>
        <v/>
      </c>
      <c r="AU10" s="9">
        <f>(Paid!AU24+React!AU42+Legacy!AU26*Legacy!AU$3)*Prices!$H$7+(Subs!AU50-(Paid!AU24+React!AU42+Legacy!AU26*Legacy!AU$3))*Prices!$I$7</f>
        <v/>
      </c>
      <c r="AV10" s="9">
        <f>(Paid!AV24+React!AV42+Legacy!AV26*Legacy!AV$3)*Prices!$H$7+(Subs!AV50-(Paid!AV24+React!AV42+Legacy!AV26*Legacy!AV$3))*Prices!$I$7</f>
        <v/>
      </c>
      <c r="AW10" s="9">
        <f>(Paid!AW24+React!AW42+Legacy!AW26*Legacy!AW$3)*Prices!$H$7+(Subs!AW50-(Paid!AW24+React!AW42+Legacy!AW26*Legacy!AW$3))*Prices!$I$7</f>
        <v/>
      </c>
      <c r="AX10" s="9">
        <f>(Paid!AX24+React!AX42+Legacy!AX26*Legacy!AX$3)*Prices!$H$7+(Subs!AX50-(Paid!AX24+React!AX42+Legacy!AX26*Legacy!AX$3))*Prices!$I$7</f>
        <v/>
      </c>
      <c r="AY10" s="9">
        <f>(Paid!AY24+React!AY42+Legacy!AY26*Legacy!AY$3)*Prices!$H$7+(Subs!AY50-(Paid!AY24+React!AY42+Legacy!AY26*Legacy!AY$3))*Prices!$I$7</f>
        <v/>
      </c>
      <c r="AZ10" s="9">
        <f>(Paid!AZ24+React!AZ42+Legacy!AZ26*Legacy!AZ$3)*Prices!$H$7+(Subs!AZ50-(Paid!AZ24+React!AZ42+Legacy!AZ26*Legacy!AZ$3))*Prices!$I$7</f>
        <v/>
      </c>
      <c r="BA10" s="9">
        <f>(Paid!BA24+React!BA42+Legacy!BA26*Legacy!BA$3)*Prices!$H$7+(Subs!BA50-(Paid!BA24+React!BA42+Legacy!BA26*Legacy!BA$3))*Prices!$I$7</f>
        <v/>
      </c>
      <c r="BB10" s="9">
        <f>(Paid!BB24+React!BB42+Legacy!BB26*Legacy!BB$3)*Prices!$H$7+(Subs!BB50-(Paid!BB24+React!BB42+Legacy!BB26*Legacy!BB$3))*Prices!$I$7</f>
        <v/>
      </c>
      <c r="BC10" s="9">
        <f>(Paid!BC24+React!BC42+Legacy!BC26*Legacy!BC$3)*Prices!$H$7+(Subs!BC50-(Paid!BC24+React!BC42+Legacy!BC26*Legacy!BC$3))*Prices!$I$7</f>
        <v/>
      </c>
      <c r="BD10" s="9">
        <f>(Paid!BD24+React!BD42+Legacy!BD26*Legacy!BD$3)*Prices!$H$7+(Subs!BD50-(Paid!BD24+React!BD42+Legacy!BD26*Legacy!BD$3))*Prices!$I$7</f>
        <v/>
      </c>
      <c r="BE10" s="9">
        <f>(Paid!BE24+React!BE42+Legacy!BE26*Legacy!BE$3)*Prices!$H$7+(Subs!BE50-(Paid!BE24+React!BE42+Legacy!BE26*Legacy!BE$3))*Prices!$I$7</f>
        <v/>
      </c>
      <c r="BF10" s="9">
        <f>(Paid!BF24+React!BF42+Legacy!BF26*Legacy!BF$3)*Prices!$H$7+(Subs!BF50-(Paid!BF24+React!BF42+Legacy!BF26*Legacy!BF$3))*Prices!$I$7</f>
        <v/>
      </c>
      <c r="BG10" s="9">
        <f>(Paid!BG24+React!BG42+Legacy!BG26*Legacy!BG$3)*Prices!$H$7+(Subs!BG50-(Paid!BG24+React!BG42+Legacy!BG26*Legacy!BG$3))*Prices!$I$7</f>
        <v/>
      </c>
      <c r="BH10" s="9">
        <f>(Paid!BH24+React!BH42+Legacy!BH26*Legacy!BH$3)*Prices!$H$7+(Subs!BH50-(Paid!BH24+React!BH42+Legacy!BH26*Legacy!BH$3))*Prices!$I$7</f>
        <v/>
      </c>
      <c r="BI10" s="9">
        <f>(Paid!BI24+React!BI42+Legacy!BI26*Legacy!BI$3)*Prices!$H$7+(Subs!BI50-(Paid!BI24+React!BI42+Legacy!BI26*Legacy!BI$3))*Prices!$I$7</f>
        <v/>
      </c>
      <c r="BJ10" s="9">
        <f>(Paid!BJ24+React!BJ42+Legacy!BJ26*Legacy!BJ$3)*Prices!$H$7+(Subs!BJ50-(Paid!BJ24+React!BJ42+Legacy!BJ26*Legacy!BJ$3))*Prices!$I$7</f>
        <v/>
      </c>
      <c r="BK10" s="9">
        <f>(Paid!BK24+React!BK42+Legacy!BK26*Legacy!BK$3)*Prices!$H$7+(Subs!BK50-(Paid!BK24+React!BK42+Legacy!BK26*Legacy!BK$3))*Prices!$I$7</f>
        <v/>
      </c>
      <c r="BL10" s="9">
        <f>(Paid!BL24+React!BL42+Legacy!BL26*Legacy!BL$3)*Prices!$H$7+(Subs!BL50-(Paid!BL24+React!BL42+Legacy!BL26*Legacy!BL$3))*Prices!$I$7</f>
        <v/>
      </c>
      <c r="BM10" s="9">
        <f>(Paid!BM24+React!BM42+Legacy!BM26*Legacy!BM$3)*Prices!$H$7+(Subs!BM50-(Paid!BM24+React!BM42+Legacy!BM26*Legacy!BM$3))*Prices!$I$7</f>
        <v/>
      </c>
      <c r="BN10" s="9">
        <f>(Paid!BN24+React!BN42+Legacy!BN26*Legacy!BN$3)*Prices!$H$7+(Subs!BN50-(Paid!BN24+React!BN42+Legacy!BN26*Legacy!BN$3))*Prices!$I$7</f>
        <v/>
      </c>
      <c r="BO10" s="9">
        <f>(Paid!BO24+React!BO42+Legacy!BO26*Legacy!BO$3)*Prices!$H$7+(Subs!BO50-(Paid!BO24+React!BO42+Legacy!BO26*Legacy!BO$3))*Prices!$I$7</f>
        <v/>
      </c>
      <c r="BP10" s="9">
        <f>(Paid!BP24+React!BP42+Legacy!BP26*Legacy!BP$3)*Prices!$H$7+(Subs!BP50-(Paid!BP24+React!BP42+Legacy!BP26*Legacy!BP$3))*Prices!$I$7</f>
        <v/>
      </c>
      <c r="BQ10" s="9">
        <f>(Paid!BQ24+React!BQ42+Legacy!BQ26*Legacy!BQ$3)*Prices!$H$7+(Subs!BQ50-(Paid!BQ24+React!BQ42+Legacy!BQ26*Legacy!BQ$3))*Prices!$I$7</f>
        <v/>
      </c>
      <c r="BR10" s="9">
        <f>(Paid!BR24+React!BR42+Legacy!BR26*Legacy!BR$3)*Prices!$H$7+(Subs!BR50-(Paid!BR24+React!BR42+Legacy!BR26*Legacy!BR$3))*Prices!$I$7</f>
        <v/>
      </c>
      <c r="BS10" s="9">
        <f>(Paid!BS24+React!BS42+Legacy!BS26*Legacy!BS$3)*Prices!$H$7+(Subs!BS50-(Paid!BS24+React!BS42+Legacy!BS26*Legacy!BS$3))*Prices!$I$7</f>
        <v/>
      </c>
      <c r="BT10" s="9">
        <f>(Paid!BT24+React!BT42+Legacy!BT26*Legacy!BT$3)*Prices!$H$7+(Subs!BT50-(Paid!BT24+React!BT42+Legacy!BT26*Legacy!BT$3))*Prices!$I$7</f>
        <v/>
      </c>
      <c r="BU10" s="9">
        <f>(Paid!BU24+React!BU42+Legacy!BU26*Legacy!BU$3)*Prices!$H$7+(Subs!BU50-(Paid!BU24+React!BU42+Legacy!BU26*Legacy!BU$3))*Prices!$I$7</f>
        <v/>
      </c>
      <c r="BV10" s="9">
        <f>(Paid!BV24+React!BV42+Legacy!BV26*Legacy!BV$3)*Prices!$H$7+(Subs!BV50-(Paid!BV24+React!BV42+Legacy!BV26*Legacy!BV$3))*Prices!$I$7</f>
        <v/>
      </c>
    </row>
    <row r="11">
      <c r="A11" t="inlineStr">
        <is>
          <t>net revenue $</t>
        </is>
      </c>
      <c r="B11" t="inlineStr">
        <is>
          <t>EUROPE|BASIC_M</t>
        </is>
      </c>
      <c r="C11" s="9">
        <f>(Paid!C28+React!C49+Legacy!C30*Legacy!C$3)*Prices!$H$8+(Subs!C57-(Paid!C28+React!C49+Legacy!C30*Legacy!C$3))*Prices!$I$8</f>
        <v/>
      </c>
      <c r="D11" s="9">
        <f>(Paid!D28+React!D49+Legacy!D30*Legacy!D$3)*Prices!$H$8+(Subs!D57-(Paid!D28+React!D49+Legacy!D30*Legacy!D$3))*Prices!$I$8</f>
        <v/>
      </c>
      <c r="E11" s="9">
        <f>(Paid!E28+React!E49+Legacy!E30*Legacy!E$3)*Prices!$H$8+(Subs!E57-(Paid!E28+React!E49+Legacy!E30*Legacy!E$3))*Prices!$I$8</f>
        <v/>
      </c>
      <c r="F11" s="9">
        <f>(Paid!F28+React!F49+Legacy!F30*Legacy!F$3)*Prices!$H$8+(Subs!F57-(Paid!F28+React!F49+Legacy!F30*Legacy!F$3))*Prices!$I$8</f>
        <v/>
      </c>
      <c r="G11" s="9">
        <f>(Paid!G28+React!G49+Legacy!G30*Legacy!G$3)*Prices!$H$8+(Subs!G57-(Paid!G28+React!G49+Legacy!G30*Legacy!G$3))*Prices!$I$8</f>
        <v/>
      </c>
      <c r="H11" s="9">
        <f>(Paid!H28+React!H49+Legacy!H30*Legacy!H$3)*Prices!$H$8+(Subs!H57-(Paid!H28+React!H49+Legacy!H30*Legacy!H$3))*Prices!$I$8</f>
        <v/>
      </c>
      <c r="I11" s="9">
        <f>(Paid!I28+React!I49+Legacy!I30*Legacy!I$3)*Prices!$H$8+(Subs!I57-(Paid!I28+React!I49+Legacy!I30*Legacy!I$3))*Prices!$I$8</f>
        <v/>
      </c>
      <c r="J11" s="9">
        <f>(Paid!J28+React!J49+Legacy!J30*Legacy!J$3)*Prices!$H$8+(Subs!J57-(Paid!J28+React!J49+Legacy!J30*Legacy!J$3))*Prices!$I$8</f>
        <v/>
      </c>
      <c r="K11" s="9">
        <f>(Paid!K28+React!K49+Legacy!K30*Legacy!K$3)*Prices!$H$8+(Subs!K57-(Paid!K28+React!K49+Legacy!K30*Legacy!K$3))*Prices!$I$8</f>
        <v/>
      </c>
      <c r="L11" s="9">
        <f>(Paid!L28+React!L49+Legacy!L30*Legacy!L$3)*Prices!$H$8+(Subs!L57-(Paid!L28+React!L49+Legacy!L30*Legacy!L$3))*Prices!$I$8</f>
        <v/>
      </c>
      <c r="M11" s="9">
        <f>(Paid!M28+React!M49+Legacy!M30*Legacy!M$3)*Prices!$H$8+(Subs!M57-(Paid!M28+React!M49+Legacy!M30*Legacy!M$3))*Prices!$I$8</f>
        <v/>
      </c>
      <c r="N11" s="9">
        <f>(Paid!N28+React!N49+Legacy!N30*Legacy!N$3)*Prices!$H$8+(Subs!N57-(Paid!N28+React!N49+Legacy!N30*Legacy!N$3))*Prices!$I$8</f>
        <v/>
      </c>
      <c r="O11" s="9">
        <f>(Paid!O28+React!O49+Legacy!O30*Legacy!O$3)*Prices!$H$8+(Subs!O57-(Paid!O28+React!O49+Legacy!O30*Legacy!O$3))*Prices!$I$8</f>
        <v/>
      </c>
      <c r="P11" s="9">
        <f>(Paid!P28+React!P49+Legacy!P30*Legacy!P$3)*Prices!$H$8+(Subs!P57-(Paid!P28+React!P49+Legacy!P30*Legacy!P$3))*Prices!$I$8</f>
        <v/>
      </c>
      <c r="Q11" s="9">
        <f>(Paid!Q28+React!Q49+Legacy!Q30*Legacy!Q$3)*Prices!$H$8+(Subs!Q57-(Paid!Q28+React!Q49+Legacy!Q30*Legacy!Q$3))*Prices!$I$8</f>
        <v/>
      </c>
      <c r="R11" s="9">
        <f>(Paid!R28+React!R49+Legacy!R30*Legacy!R$3)*Prices!$H$8+(Subs!R57-(Paid!R28+React!R49+Legacy!R30*Legacy!R$3))*Prices!$I$8</f>
        <v/>
      </c>
      <c r="S11" s="9">
        <f>(Paid!S28+React!S49+Legacy!S30*Legacy!S$3)*Prices!$H$8+(Subs!S57-(Paid!S28+React!S49+Legacy!S30*Legacy!S$3))*Prices!$I$8</f>
        <v/>
      </c>
      <c r="T11" s="9">
        <f>(Paid!T28+React!T49+Legacy!T30*Legacy!T$3)*Prices!$H$8+(Subs!T57-(Paid!T28+React!T49+Legacy!T30*Legacy!T$3))*Prices!$I$8</f>
        <v/>
      </c>
      <c r="U11" s="9">
        <f>(Paid!U28+React!U49+Legacy!U30*Legacy!U$3)*Prices!$H$8+(Subs!U57-(Paid!U28+React!U49+Legacy!U30*Legacy!U$3))*Prices!$I$8</f>
        <v/>
      </c>
      <c r="V11" s="9">
        <f>(Paid!V28+React!V49+Legacy!V30*Legacy!V$3)*Prices!$H$8+(Subs!V57-(Paid!V28+React!V49+Legacy!V30*Legacy!V$3))*Prices!$I$8</f>
        <v/>
      </c>
      <c r="W11" s="9">
        <f>(Paid!W28+React!W49+Legacy!W30*Legacy!W$3)*Prices!$H$8+(Subs!W57-(Paid!W28+React!W49+Legacy!W30*Legacy!W$3))*Prices!$I$8</f>
        <v/>
      </c>
      <c r="X11" s="9">
        <f>(Paid!X28+React!X49+Legacy!X30*Legacy!X$3)*Prices!$H$8+(Subs!X57-(Paid!X28+React!X49+Legacy!X30*Legacy!X$3))*Prices!$I$8</f>
        <v/>
      </c>
      <c r="Y11" s="9">
        <f>(Paid!Y28+React!Y49+Legacy!Y30*Legacy!Y$3)*Prices!$H$8+(Subs!Y57-(Paid!Y28+React!Y49+Legacy!Y30*Legacy!Y$3))*Prices!$I$8</f>
        <v/>
      </c>
      <c r="Z11" s="9">
        <f>(Paid!Z28+React!Z49+Legacy!Z30*Legacy!Z$3)*Prices!$H$8+(Subs!Z57-(Paid!Z28+React!Z49+Legacy!Z30*Legacy!Z$3))*Prices!$I$8</f>
        <v/>
      </c>
      <c r="AA11" s="9">
        <f>(Paid!AA28+React!AA49+Legacy!AA30*Legacy!AA$3)*Prices!$H$8+(Subs!AA57-(Paid!AA28+React!AA49+Legacy!AA30*Legacy!AA$3))*Prices!$I$8</f>
        <v/>
      </c>
      <c r="AB11" s="9">
        <f>(Paid!AB28+React!AB49+Legacy!AB30*Legacy!AB$3)*Prices!$H$8+(Subs!AB57-(Paid!AB28+React!AB49+Legacy!AB30*Legacy!AB$3))*Prices!$I$8</f>
        <v/>
      </c>
      <c r="AC11" s="9">
        <f>(Paid!AC28+React!AC49+Legacy!AC30*Legacy!AC$3)*Prices!$H$8+(Subs!AC57-(Paid!AC28+React!AC49+Legacy!AC30*Legacy!AC$3))*Prices!$I$8</f>
        <v/>
      </c>
      <c r="AD11" s="9">
        <f>(Paid!AD28+React!AD49+Legacy!AD30*Legacy!AD$3)*Prices!$H$8+(Subs!AD57-(Paid!AD28+React!AD49+Legacy!AD30*Legacy!AD$3))*Prices!$I$8</f>
        <v/>
      </c>
      <c r="AE11" s="9">
        <f>(Paid!AE28+React!AE49+Legacy!AE30*Legacy!AE$3)*Prices!$H$8+(Subs!AE57-(Paid!AE28+React!AE49+Legacy!AE30*Legacy!AE$3))*Prices!$I$8</f>
        <v/>
      </c>
      <c r="AF11" s="9">
        <f>(Paid!AF28+React!AF49+Legacy!AF30*Legacy!AF$3)*Prices!$H$8+(Subs!AF57-(Paid!AF28+React!AF49+Legacy!AF30*Legacy!AF$3))*Prices!$I$8</f>
        <v/>
      </c>
      <c r="AG11" s="9">
        <f>(Paid!AG28+React!AG49+Legacy!AG30*Legacy!AG$3)*Prices!$H$8+(Subs!AG57-(Paid!AG28+React!AG49+Legacy!AG30*Legacy!AG$3))*Prices!$I$8</f>
        <v/>
      </c>
      <c r="AH11" s="9">
        <f>(Paid!AH28+React!AH49+Legacy!AH30*Legacy!AH$3)*Prices!$H$8+(Subs!AH57-(Paid!AH28+React!AH49+Legacy!AH30*Legacy!AH$3))*Prices!$I$8</f>
        <v/>
      </c>
      <c r="AI11" s="9">
        <f>(Paid!AI28+React!AI49+Legacy!AI30*Legacy!AI$3)*Prices!$H$8+(Subs!AI57-(Paid!AI28+React!AI49+Legacy!AI30*Legacy!AI$3))*Prices!$I$8</f>
        <v/>
      </c>
      <c r="AJ11" s="9">
        <f>(Paid!AJ28+React!AJ49+Legacy!AJ30*Legacy!AJ$3)*Prices!$H$8+(Subs!AJ57-(Paid!AJ28+React!AJ49+Legacy!AJ30*Legacy!AJ$3))*Prices!$I$8</f>
        <v/>
      </c>
      <c r="AK11" s="9">
        <f>(Paid!AK28+React!AK49+Legacy!AK30*Legacy!AK$3)*Prices!$H$8+(Subs!AK57-(Paid!AK28+React!AK49+Legacy!AK30*Legacy!AK$3))*Prices!$I$8</f>
        <v/>
      </c>
      <c r="AL11" s="9">
        <f>(Paid!AL28+React!AL49+Legacy!AL30*Legacy!AL$3)*Prices!$H$8+(Subs!AL57-(Paid!AL28+React!AL49+Legacy!AL30*Legacy!AL$3))*Prices!$I$8</f>
        <v/>
      </c>
      <c r="AM11" s="9">
        <f>(Paid!AM28+React!AM49+Legacy!AM30*Legacy!AM$3)*Prices!$H$8+(Subs!AM57-(Paid!AM28+React!AM49+Legacy!AM30*Legacy!AM$3))*Prices!$I$8</f>
        <v/>
      </c>
      <c r="AN11" s="9">
        <f>(Paid!AN28+React!AN49+Legacy!AN30*Legacy!AN$3)*Prices!$H$8+(Subs!AN57-(Paid!AN28+React!AN49+Legacy!AN30*Legacy!AN$3))*Prices!$I$8</f>
        <v/>
      </c>
      <c r="AO11" s="9">
        <f>(Paid!AO28+React!AO49+Legacy!AO30*Legacy!AO$3)*Prices!$H$8+(Subs!AO57-(Paid!AO28+React!AO49+Legacy!AO30*Legacy!AO$3))*Prices!$I$8</f>
        <v/>
      </c>
      <c r="AP11" s="9">
        <f>(Paid!AP28+React!AP49+Legacy!AP30*Legacy!AP$3)*Prices!$H$8+(Subs!AP57-(Paid!AP28+React!AP49+Legacy!AP30*Legacy!AP$3))*Prices!$I$8</f>
        <v/>
      </c>
      <c r="AQ11" s="9">
        <f>(Paid!AQ28+React!AQ49+Legacy!AQ30*Legacy!AQ$3)*Prices!$H$8+(Subs!AQ57-(Paid!AQ28+React!AQ49+Legacy!AQ30*Legacy!AQ$3))*Prices!$I$8</f>
        <v/>
      </c>
      <c r="AR11" s="9">
        <f>(Paid!AR28+React!AR49+Legacy!AR30*Legacy!AR$3)*Prices!$H$8+(Subs!AR57-(Paid!AR28+React!AR49+Legacy!AR30*Legacy!AR$3))*Prices!$I$8</f>
        <v/>
      </c>
      <c r="AS11" s="9">
        <f>(Paid!AS28+React!AS49+Legacy!AS30*Legacy!AS$3)*Prices!$H$8+(Subs!AS57-(Paid!AS28+React!AS49+Legacy!AS30*Legacy!AS$3))*Prices!$I$8</f>
        <v/>
      </c>
      <c r="AT11" s="9">
        <f>(Paid!AT28+React!AT49+Legacy!AT30*Legacy!AT$3)*Prices!$H$8+(Subs!AT57-(Paid!AT28+React!AT49+Legacy!AT30*Legacy!AT$3))*Prices!$I$8</f>
        <v/>
      </c>
      <c r="AU11" s="9">
        <f>(Paid!AU28+React!AU49+Legacy!AU30*Legacy!AU$3)*Prices!$H$8+(Subs!AU57-(Paid!AU28+React!AU49+Legacy!AU30*Legacy!AU$3))*Prices!$I$8</f>
        <v/>
      </c>
      <c r="AV11" s="9">
        <f>(Paid!AV28+React!AV49+Legacy!AV30*Legacy!AV$3)*Prices!$H$8+(Subs!AV57-(Paid!AV28+React!AV49+Legacy!AV30*Legacy!AV$3))*Prices!$I$8</f>
        <v/>
      </c>
      <c r="AW11" s="9">
        <f>(Paid!AW28+React!AW49+Legacy!AW30*Legacy!AW$3)*Prices!$H$8+(Subs!AW57-(Paid!AW28+React!AW49+Legacy!AW30*Legacy!AW$3))*Prices!$I$8</f>
        <v/>
      </c>
      <c r="AX11" s="9">
        <f>(Paid!AX28+React!AX49+Legacy!AX30*Legacy!AX$3)*Prices!$H$8+(Subs!AX57-(Paid!AX28+React!AX49+Legacy!AX30*Legacy!AX$3))*Prices!$I$8</f>
        <v/>
      </c>
      <c r="AY11" s="9">
        <f>(Paid!AY28+React!AY49+Legacy!AY30*Legacy!AY$3)*Prices!$H$8+(Subs!AY57-(Paid!AY28+React!AY49+Legacy!AY30*Legacy!AY$3))*Prices!$I$8</f>
        <v/>
      </c>
      <c r="AZ11" s="9">
        <f>(Paid!AZ28+React!AZ49+Legacy!AZ30*Legacy!AZ$3)*Prices!$H$8+(Subs!AZ57-(Paid!AZ28+React!AZ49+Legacy!AZ30*Legacy!AZ$3))*Prices!$I$8</f>
        <v/>
      </c>
      <c r="BA11" s="9">
        <f>(Paid!BA28+React!BA49+Legacy!BA30*Legacy!BA$3)*Prices!$H$8+(Subs!BA57-(Paid!BA28+React!BA49+Legacy!BA30*Legacy!BA$3))*Prices!$I$8</f>
        <v/>
      </c>
      <c r="BB11" s="9">
        <f>(Paid!BB28+React!BB49+Legacy!BB30*Legacy!BB$3)*Prices!$H$8+(Subs!BB57-(Paid!BB28+React!BB49+Legacy!BB30*Legacy!BB$3))*Prices!$I$8</f>
        <v/>
      </c>
      <c r="BC11" s="9">
        <f>(Paid!BC28+React!BC49+Legacy!BC30*Legacy!BC$3)*Prices!$H$8+(Subs!BC57-(Paid!BC28+React!BC49+Legacy!BC30*Legacy!BC$3))*Prices!$I$8</f>
        <v/>
      </c>
      <c r="BD11" s="9">
        <f>(Paid!BD28+React!BD49+Legacy!BD30*Legacy!BD$3)*Prices!$H$8+(Subs!BD57-(Paid!BD28+React!BD49+Legacy!BD30*Legacy!BD$3))*Prices!$I$8</f>
        <v/>
      </c>
      <c r="BE11" s="9">
        <f>(Paid!BE28+React!BE49+Legacy!BE30*Legacy!BE$3)*Prices!$H$8+(Subs!BE57-(Paid!BE28+React!BE49+Legacy!BE30*Legacy!BE$3))*Prices!$I$8</f>
        <v/>
      </c>
      <c r="BF11" s="9">
        <f>(Paid!BF28+React!BF49+Legacy!BF30*Legacy!BF$3)*Prices!$H$8+(Subs!BF57-(Paid!BF28+React!BF49+Legacy!BF30*Legacy!BF$3))*Prices!$I$8</f>
        <v/>
      </c>
      <c r="BG11" s="9">
        <f>(Paid!BG28+React!BG49+Legacy!BG30*Legacy!BG$3)*Prices!$H$8+(Subs!BG57-(Paid!BG28+React!BG49+Legacy!BG30*Legacy!BG$3))*Prices!$I$8</f>
        <v/>
      </c>
      <c r="BH11" s="9">
        <f>(Paid!BH28+React!BH49+Legacy!BH30*Legacy!BH$3)*Prices!$H$8+(Subs!BH57-(Paid!BH28+React!BH49+Legacy!BH30*Legacy!BH$3))*Prices!$I$8</f>
        <v/>
      </c>
      <c r="BI11" s="9">
        <f>(Paid!BI28+React!BI49+Legacy!BI30*Legacy!BI$3)*Prices!$H$8+(Subs!BI57-(Paid!BI28+React!BI49+Legacy!BI30*Legacy!BI$3))*Prices!$I$8</f>
        <v/>
      </c>
      <c r="BJ11" s="9">
        <f>(Paid!BJ28+React!BJ49+Legacy!BJ30*Legacy!BJ$3)*Prices!$H$8+(Subs!BJ57-(Paid!BJ28+React!BJ49+Legacy!BJ30*Legacy!BJ$3))*Prices!$I$8</f>
        <v/>
      </c>
      <c r="BK11" s="9">
        <f>(Paid!BK28+React!BK49+Legacy!BK30*Legacy!BK$3)*Prices!$H$8+(Subs!BK57-(Paid!BK28+React!BK49+Legacy!BK30*Legacy!BK$3))*Prices!$I$8</f>
        <v/>
      </c>
      <c r="BL11" s="9">
        <f>(Paid!BL28+React!BL49+Legacy!BL30*Legacy!BL$3)*Prices!$H$8+(Subs!BL57-(Paid!BL28+React!BL49+Legacy!BL30*Legacy!BL$3))*Prices!$I$8</f>
        <v/>
      </c>
      <c r="BM11" s="9">
        <f>(Paid!BM28+React!BM49+Legacy!BM30*Legacy!BM$3)*Prices!$H$8+(Subs!BM57-(Paid!BM28+React!BM49+Legacy!BM30*Legacy!BM$3))*Prices!$I$8</f>
        <v/>
      </c>
      <c r="BN11" s="9">
        <f>(Paid!BN28+React!BN49+Legacy!BN30*Legacy!BN$3)*Prices!$H$8+(Subs!BN57-(Paid!BN28+React!BN49+Legacy!BN30*Legacy!BN$3))*Prices!$I$8</f>
        <v/>
      </c>
      <c r="BO11" s="9">
        <f>(Paid!BO28+React!BO49+Legacy!BO30*Legacy!BO$3)*Prices!$H$8+(Subs!BO57-(Paid!BO28+React!BO49+Legacy!BO30*Legacy!BO$3))*Prices!$I$8</f>
        <v/>
      </c>
      <c r="BP11" s="9">
        <f>(Paid!BP28+React!BP49+Legacy!BP30*Legacy!BP$3)*Prices!$H$8+(Subs!BP57-(Paid!BP28+React!BP49+Legacy!BP30*Legacy!BP$3))*Prices!$I$8</f>
        <v/>
      </c>
      <c r="BQ11" s="9">
        <f>(Paid!BQ28+React!BQ49+Legacy!BQ30*Legacy!BQ$3)*Prices!$H$8+(Subs!BQ57-(Paid!BQ28+React!BQ49+Legacy!BQ30*Legacy!BQ$3))*Prices!$I$8</f>
        <v/>
      </c>
      <c r="BR11" s="9">
        <f>(Paid!BR28+React!BR49+Legacy!BR30*Legacy!BR$3)*Prices!$H$8+(Subs!BR57-(Paid!BR28+React!BR49+Legacy!BR30*Legacy!BR$3))*Prices!$I$8</f>
        <v/>
      </c>
      <c r="BS11" s="9">
        <f>(Paid!BS28+React!BS49+Legacy!BS30*Legacy!BS$3)*Prices!$H$8+(Subs!BS57-(Paid!BS28+React!BS49+Legacy!BS30*Legacy!BS$3))*Prices!$I$8</f>
        <v/>
      </c>
      <c r="BT11" s="9">
        <f>(Paid!BT28+React!BT49+Legacy!BT30*Legacy!BT$3)*Prices!$H$8+(Subs!BT57-(Paid!BT28+React!BT49+Legacy!BT30*Legacy!BT$3))*Prices!$I$8</f>
        <v/>
      </c>
      <c r="BU11" s="9">
        <f>(Paid!BU28+React!BU49+Legacy!BU30*Legacy!BU$3)*Prices!$H$8+(Subs!BU57-(Paid!BU28+React!BU49+Legacy!BU30*Legacy!BU$3))*Prices!$I$8</f>
        <v/>
      </c>
      <c r="BV11" s="9">
        <f>(Paid!BV28+React!BV49+Legacy!BV30*Legacy!BV$3)*Prices!$H$8+(Subs!BV57-(Paid!BV28+React!BV49+Legacy!BV30*Legacy!BV$3))*Prices!$I$8</f>
        <v/>
      </c>
    </row>
    <row r="12">
      <c r="A12" t="inlineStr">
        <is>
          <t>net revenue $</t>
        </is>
      </c>
      <c r="B12" t="inlineStr">
        <is>
          <t>EUROPE|BASIC_A</t>
        </is>
      </c>
      <c r="C12" s="9">
        <f>(Paid!C32+React!C56+Legacy!C34*Legacy!C$3)*Prices!$H$9+(Subs!C64-(Paid!C32+React!C56+Legacy!C34*Legacy!C$3))*Prices!$I$9</f>
        <v/>
      </c>
      <c r="D12" s="9">
        <f>(Paid!D32+React!D56+Legacy!D34*Legacy!D$3)*Prices!$H$9+(Subs!D64-(Paid!D32+React!D56+Legacy!D34*Legacy!D$3))*Prices!$I$9</f>
        <v/>
      </c>
      <c r="E12" s="9">
        <f>(Paid!E32+React!E56+Legacy!E34*Legacy!E$3)*Prices!$H$9+(Subs!E64-(Paid!E32+React!E56+Legacy!E34*Legacy!E$3))*Prices!$I$9</f>
        <v/>
      </c>
      <c r="F12" s="9">
        <f>(Paid!F32+React!F56+Legacy!F34*Legacy!F$3)*Prices!$H$9+(Subs!F64-(Paid!F32+React!F56+Legacy!F34*Legacy!F$3))*Prices!$I$9</f>
        <v/>
      </c>
      <c r="G12" s="9">
        <f>(Paid!G32+React!G56+Legacy!G34*Legacy!G$3)*Prices!$H$9+(Subs!G64-(Paid!G32+React!G56+Legacy!G34*Legacy!G$3))*Prices!$I$9</f>
        <v/>
      </c>
      <c r="H12" s="9">
        <f>(Paid!H32+React!H56+Legacy!H34*Legacy!H$3)*Prices!$H$9+(Subs!H64-(Paid!H32+React!H56+Legacy!H34*Legacy!H$3))*Prices!$I$9</f>
        <v/>
      </c>
      <c r="I12" s="9">
        <f>(Paid!I32+React!I56+Legacy!I34*Legacy!I$3)*Prices!$H$9+(Subs!I64-(Paid!I32+React!I56+Legacy!I34*Legacy!I$3))*Prices!$I$9</f>
        <v/>
      </c>
      <c r="J12" s="9">
        <f>(Paid!J32+React!J56+Legacy!J34*Legacy!J$3)*Prices!$H$9+(Subs!J64-(Paid!J32+React!J56+Legacy!J34*Legacy!J$3))*Prices!$I$9</f>
        <v/>
      </c>
      <c r="K12" s="9">
        <f>(Paid!K32+React!K56+Legacy!K34*Legacy!K$3)*Prices!$H$9+(Subs!K64-(Paid!K32+React!K56+Legacy!K34*Legacy!K$3))*Prices!$I$9</f>
        <v/>
      </c>
      <c r="L12" s="9">
        <f>(Paid!L32+React!L56+Legacy!L34*Legacy!L$3)*Prices!$H$9+(Subs!L64-(Paid!L32+React!L56+Legacy!L34*Legacy!L$3))*Prices!$I$9</f>
        <v/>
      </c>
      <c r="M12" s="9">
        <f>(Paid!M32+React!M56+Legacy!M34*Legacy!M$3)*Prices!$H$9+(Subs!M64-(Paid!M32+React!M56+Legacy!M34*Legacy!M$3))*Prices!$I$9</f>
        <v/>
      </c>
      <c r="N12" s="9">
        <f>(Paid!N32+React!N56+Legacy!N34*Legacy!N$3)*Prices!$H$9+(Subs!N64-(Paid!N32+React!N56+Legacy!N34*Legacy!N$3))*Prices!$I$9</f>
        <v/>
      </c>
      <c r="O12" s="9">
        <f>(Paid!O32+React!O56+Legacy!O34*Legacy!O$3)*Prices!$H$9+(Subs!O64-(Paid!O32+React!O56+Legacy!O34*Legacy!O$3))*Prices!$I$9</f>
        <v/>
      </c>
      <c r="P12" s="9">
        <f>(Paid!P32+React!P56+Legacy!P34*Legacy!P$3)*Prices!$H$9+(Subs!P64-(Paid!P32+React!P56+Legacy!P34*Legacy!P$3))*Prices!$I$9</f>
        <v/>
      </c>
      <c r="Q12" s="9">
        <f>(Paid!Q32+React!Q56+Legacy!Q34*Legacy!Q$3)*Prices!$H$9+(Subs!Q64-(Paid!Q32+React!Q56+Legacy!Q34*Legacy!Q$3))*Prices!$I$9</f>
        <v/>
      </c>
      <c r="R12" s="9">
        <f>(Paid!R32+React!R56+Legacy!R34*Legacy!R$3)*Prices!$H$9+(Subs!R64-(Paid!R32+React!R56+Legacy!R34*Legacy!R$3))*Prices!$I$9</f>
        <v/>
      </c>
      <c r="S12" s="9">
        <f>(Paid!S32+React!S56+Legacy!S34*Legacy!S$3)*Prices!$H$9+(Subs!S64-(Paid!S32+React!S56+Legacy!S34*Legacy!S$3))*Prices!$I$9</f>
        <v/>
      </c>
      <c r="T12" s="9">
        <f>(Paid!T32+React!T56+Legacy!T34*Legacy!T$3)*Prices!$H$9+(Subs!T64-(Paid!T32+React!T56+Legacy!T34*Legacy!T$3))*Prices!$I$9</f>
        <v/>
      </c>
      <c r="U12" s="9">
        <f>(Paid!U32+React!U56+Legacy!U34*Legacy!U$3)*Prices!$H$9+(Subs!U64-(Paid!U32+React!U56+Legacy!U34*Legacy!U$3))*Prices!$I$9</f>
        <v/>
      </c>
      <c r="V12" s="9">
        <f>(Paid!V32+React!V56+Legacy!V34*Legacy!V$3)*Prices!$H$9+(Subs!V64-(Paid!V32+React!V56+Legacy!V34*Legacy!V$3))*Prices!$I$9</f>
        <v/>
      </c>
      <c r="W12" s="9">
        <f>(Paid!W32+React!W56+Legacy!W34*Legacy!W$3)*Prices!$H$9+(Subs!W64-(Paid!W32+React!W56+Legacy!W34*Legacy!W$3))*Prices!$I$9</f>
        <v/>
      </c>
      <c r="X12" s="9">
        <f>(Paid!X32+React!X56+Legacy!X34*Legacy!X$3)*Prices!$H$9+(Subs!X64-(Paid!X32+React!X56+Legacy!X34*Legacy!X$3))*Prices!$I$9</f>
        <v/>
      </c>
      <c r="Y12" s="9">
        <f>(Paid!Y32+React!Y56+Legacy!Y34*Legacy!Y$3)*Prices!$H$9+(Subs!Y64-(Paid!Y32+React!Y56+Legacy!Y34*Legacy!Y$3))*Prices!$I$9</f>
        <v/>
      </c>
      <c r="Z12" s="9">
        <f>(Paid!Z32+React!Z56+Legacy!Z34*Legacy!Z$3)*Prices!$H$9+(Subs!Z64-(Paid!Z32+React!Z56+Legacy!Z34*Legacy!Z$3))*Prices!$I$9</f>
        <v/>
      </c>
      <c r="AA12" s="9">
        <f>(Paid!AA32+React!AA56+Legacy!AA34*Legacy!AA$3)*Prices!$H$9+(Subs!AA64-(Paid!AA32+React!AA56+Legacy!AA34*Legacy!AA$3))*Prices!$I$9</f>
        <v/>
      </c>
      <c r="AB12" s="9">
        <f>(Paid!AB32+React!AB56+Legacy!AB34*Legacy!AB$3)*Prices!$H$9+(Subs!AB64-(Paid!AB32+React!AB56+Legacy!AB34*Legacy!AB$3))*Prices!$I$9</f>
        <v/>
      </c>
      <c r="AC12" s="9">
        <f>(Paid!AC32+React!AC56+Legacy!AC34*Legacy!AC$3)*Prices!$H$9+(Subs!AC64-(Paid!AC32+React!AC56+Legacy!AC34*Legacy!AC$3))*Prices!$I$9</f>
        <v/>
      </c>
      <c r="AD12" s="9">
        <f>(Paid!AD32+React!AD56+Legacy!AD34*Legacy!AD$3)*Prices!$H$9+(Subs!AD64-(Paid!AD32+React!AD56+Legacy!AD34*Legacy!AD$3))*Prices!$I$9</f>
        <v/>
      </c>
      <c r="AE12" s="9">
        <f>(Paid!AE32+React!AE56+Legacy!AE34*Legacy!AE$3)*Prices!$H$9+(Subs!AE64-(Paid!AE32+React!AE56+Legacy!AE34*Legacy!AE$3))*Prices!$I$9</f>
        <v/>
      </c>
      <c r="AF12" s="9">
        <f>(Paid!AF32+React!AF56+Legacy!AF34*Legacy!AF$3)*Prices!$H$9+(Subs!AF64-(Paid!AF32+React!AF56+Legacy!AF34*Legacy!AF$3))*Prices!$I$9</f>
        <v/>
      </c>
      <c r="AG12" s="9">
        <f>(Paid!AG32+React!AG56+Legacy!AG34*Legacy!AG$3)*Prices!$H$9+(Subs!AG64-(Paid!AG32+React!AG56+Legacy!AG34*Legacy!AG$3))*Prices!$I$9</f>
        <v/>
      </c>
      <c r="AH12" s="9">
        <f>(Paid!AH32+React!AH56+Legacy!AH34*Legacy!AH$3)*Prices!$H$9+(Subs!AH64-(Paid!AH32+React!AH56+Legacy!AH34*Legacy!AH$3))*Prices!$I$9</f>
        <v/>
      </c>
      <c r="AI12" s="9">
        <f>(Paid!AI32+React!AI56+Legacy!AI34*Legacy!AI$3)*Prices!$H$9+(Subs!AI64-(Paid!AI32+React!AI56+Legacy!AI34*Legacy!AI$3))*Prices!$I$9</f>
        <v/>
      </c>
      <c r="AJ12" s="9">
        <f>(Paid!AJ32+React!AJ56+Legacy!AJ34*Legacy!AJ$3)*Prices!$H$9+(Subs!AJ64-(Paid!AJ32+React!AJ56+Legacy!AJ34*Legacy!AJ$3))*Prices!$I$9</f>
        <v/>
      </c>
      <c r="AK12" s="9">
        <f>(Paid!AK32+React!AK56+Legacy!AK34*Legacy!AK$3)*Prices!$H$9+(Subs!AK64-(Paid!AK32+React!AK56+Legacy!AK34*Legacy!AK$3))*Prices!$I$9</f>
        <v/>
      </c>
      <c r="AL12" s="9">
        <f>(Paid!AL32+React!AL56+Legacy!AL34*Legacy!AL$3)*Prices!$H$9+(Subs!AL64-(Paid!AL32+React!AL56+Legacy!AL34*Legacy!AL$3))*Prices!$I$9</f>
        <v/>
      </c>
      <c r="AM12" s="9">
        <f>(Paid!AM32+React!AM56+Legacy!AM34*Legacy!AM$3)*Prices!$H$9+(Subs!AM64-(Paid!AM32+React!AM56+Legacy!AM34*Legacy!AM$3))*Prices!$I$9</f>
        <v/>
      </c>
      <c r="AN12" s="9">
        <f>(Paid!AN32+React!AN56+Legacy!AN34*Legacy!AN$3)*Prices!$H$9+(Subs!AN64-(Paid!AN32+React!AN56+Legacy!AN34*Legacy!AN$3))*Prices!$I$9</f>
        <v/>
      </c>
      <c r="AO12" s="9">
        <f>(Paid!AO32+React!AO56+Legacy!AO34*Legacy!AO$3)*Prices!$H$9+(Subs!AO64-(Paid!AO32+React!AO56+Legacy!AO34*Legacy!AO$3))*Prices!$I$9</f>
        <v/>
      </c>
      <c r="AP12" s="9">
        <f>(Paid!AP32+React!AP56+Legacy!AP34*Legacy!AP$3)*Prices!$H$9+(Subs!AP64-(Paid!AP32+React!AP56+Legacy!AP34*Legacy!AP$3))*Prices!$I$9</f>
        <v/>
      </c>
      <c r="AQ12" s="9">
        <f>(Paid!AQ32+React!AQ56+Legacy!AQ34*Legacy!AQ$3)*Prices!$H$9+(Subs!AQ64-(Paid!AQ32+React!AQ56+Legacy!AQ34*Legacy!AQ$3))*Prices!$I$9</f>
        <v/>
      </c>
      <c r="AR12" s="9">
        <f>(Paid!AR32+React!AR56+Legacy!AR34*Legacy!AR$3)*Prices!$H$9+(Subs!AR64-(Paid!AR32+React!AR56+Legacy!AR34*Legacy!AR$3))*Prices!$I$9</f>
        <v/>
      </c>
      <c r="AS12" s="9">
        <f>(Paid!AS32+React!AS56+Legacy!AS34*Legacy!AS$3)*Prices!$H$9+(Subs!AS64-(Paid!AS32+React!AS56+Legacy!AS34*Legacy!AS$3))*Prices!$I$9</f>
        <v/>
      </c>
      <c r="AT12" s="9">
        <f>(Paid!AT32+React!AT56+Legacy!AT34*Legacy!AT$3)*Prices!$H$9+(Subs!AT64-(Paid!AT32+React!AT56+Legacy!AT34*Legacy!AT$3))*Prices!$I$9</f>
        <v/>
      </c>
      <c r="AU12" s="9">
        <f>(Paid!AU32+React!AU56+Legacy!AU34*Legacy!AU$3)*Prices!$H$9+(Subs!AU64-(Paid!AU32+React!AU56+Legacy!AU34*Legacy!AU$3))*Prices!$I$9</f>
        <v/>
      </c>
      <c r="AV12" s="9">
        <f>(Paid!AV32+React!AV56+Legacy!AV34*Legacy!AV$3)*Prices!$H$9+(Subs!AV64-(Paid!AV32+React!AV56+Legacy!AV34*Legacy!AV$3))*Prices!$I$9</f>
        <v/>
      </c>
      <c r="AW12" s="9">
        <f>(Paid!AW32+React!AW56+Legacy!AW34*Legacy!AW$3)*Prices!$H$9+(Subs!AW64-(Paid!AW32+React!AW56+Legacy!AW34*Legacy!AW$3))*Prices!$I$9</f>
        <v/>
      </c>
      <c r="AX12" s="9">
        <f>(Paid!AX32+React!AX56+Legacy!AX34*Legacy!AX$3)*Prices!$H$9+(Subs!AX64-(Paid!AX32+React!AX56+Legacy!AX34*Legacy!AX$3))*Prices!$I$9</f>
        <v/>
      </c>
      <c r="AY12" s="9">
        <f>(Paid!AY32+React!AY56+Legacy!AY34*Legacy!AY$3)*Prices!$H$9+(Subs!AY64-(Paid!AY32+React!AY56+Legacy!AY34*Legacy!AY$3))*Prices!$I$9</f>
        <v/>
      </c>
      <c r="AZ12" s="9">
        <f>(Paid!AZ32+React!AZ56+Legacy!AZ34*Legacy!AZ$3)*Prices!$H$9+(Subs!AZ64-(Paid!AZ32+React!AZ56+Legacy!AZ34*Legacy!AZ$3))*Prices!$I$9</f>
        <v/>
      </c>
      <c r="BA12" s="9">
        <f>(Paid!BA32+React!BA56+Legacy!BA34*Legacy!BA$3)*Prices!$H$9+(Subs!BA64-(Paid!BA32+React!BA56+Legacy!BA34*Legacy!BA$3))*Prices!$I$9</f>
        <v/>
      </c>
      <c r="BB12" s="9">
        <f>(Paid!BB32+React!BB56+Legacy!BB34*Legacy!BB$3)*Prices!$H$9+(Subs!BB64-(Paid!BB32+React!BB56+Legacy!BB34*Legacy!BB$3))*Prices!$I$9</f>
        <v/>
      </c>
      <c r="BC12" s="9">
        <f>(Paid!BC32+React!BC56+Legacy!BC34*Legacy!BC$3)*Prices!$H$9+(Subs!BC64-(Paid!BC32+React!BC56+Legacy!BC34*Legacy!BC$3))*Prices!$I$9</f>
        <v/>
      </c>
      <c r="BD12" s="9">
        <f>(Paid!BD32+React!BD56+Legacy!BD34*Legacy!BD$3)*Prices!$H$9+(Subs!BD64-(Paid!BD32+React!BD56+Legacy!BD34*Legacy!BD$3))*Prices!$I$9</f>
        <v/>
      </c>
      <c r="BE12" s="9">
        <f>(Paid!BE32+React!BE56+Legacy!BE34*Legacy!BE$3)*Prices!$H$9+(Subs!BE64-(Paid!BE32+React!BE56+Legacy!BE34*Legacy!BE$3))*Prices!$I$9</f>
        <v/>
      </c>
      <c r="BF12" s="9">
        <f>(Paid!BF32+React!BF56+Legacy!BF34*Legacy!BF$3)*Prices!$H$9+(Subs!BF64-(Paid!BF32+React!BF56+Legacy!BF34*Legacy!BF$3))*Prices!$I$9</f>
        <v/>
      </c>
      <c r="BG12" s="9">
        <f>(Paid!BG32+React!BG56+Legacy!BG34*Legacy!BG$3)*Prices!$H$9+(Subs!BG64-(Paid!BG32+React!BG56+Legacy!BG34*Legacy!BG$3))*Prices!$I$9</f>
        <v/>
      </c>
      <c r="BH12" s="9">
        <f>(Paid!BH32+React!BH56+Legacy!BH34*Legacy!BH$3)*Prices!$H$9+(Subs!BH64-(Paid!BH32+React!BH56+Legacy!BH34*Legacy!BH$3))*Prices!$I$9</f>
        <v/>
      </c>
      <c r="BI12" s="9">
        <f>(Paid!BI32+React!BI56+Legacy!BI34*Legacy!BI$3)*Prices!$H$9+(Subs!BI64-(Paid!BI32+React!BI56+Legacy!BI34*Legacy!BI$3))*Prices!$I$9</f>
        <v/>
      </c>
      <c r="BJ12" s="9">
        <f>(Paid!BJ32+React!BJ56+Legacy!BJ34*Legacy!BJ$3)*Prices!$H$9+(Subs!BJ64-(Paid!BJ32+React!BJ56+Legacy!BJ34*Legacy!BJ$3))*Prices!$I$9</f>
        <v/>
      </c>
      <c r="BK12" s="9">
        <f>(Paid!BK32+React!BK56+Legacy!BK34*Legacy!BK$3)*Prices!$H$9+(Subs!BK64-(Paid!BK32+React!BK56+Legacy!BK34*Legacy!BK$3))*Prices!$I$9</f>
        <v/>
      </c>
      <c r="BL12" s="9">
        <f>(Paid!BL32+React!BL56+Legacy!BL34*Legacy!BL$3)*Prices!$H$9+(Subs!BL64-(Paid!BL32+React!BL56+Legacy!BL34*Legacy!BL$3))*Prices!$I$9</f>
        <v/>
      </c>
      <c r="BM12" s="9">
        <f>(Paid!BM32+React!BM56+Legacy!BM34*Legacy!BM$3)*Prices!$H$9+(Subs!BM64-(Paid!BM32+React!BM56+Legacy!BM34*Legacy!BM$3))*Prices!$I$9</f>
        <v/>
      </c>
      <c r="BN12" s="9">
        <f>(Paid!BN32+React!BN56+Legacy!BN34*Legacy!BN$3)*Prices!$H$9+(Subs!BN64-(Paid!BN32+React!BN56+Legacy!BN34*Legacy!BN$3))*Prices!$I$9</f>
        <v/>
      </c>
      <c r="BO12" s="9">
        <f>(Paid!BO32+React!BO56+Legacy!BO34*Legacy!BO$3)*Prices!$H$9+(Subs!BO64-(Paid!BO32+React!BO56+Legacy!BO34*Legacy!BO$3))*Prices!$I$9</f>
        <v/>
      </c>
      <c r="BP12" s="9">
        <f>(Paid!BP32+React!BP56+Legacy!BP34*Legacy!BP$3)*Prices!$H$9+(Subs!BP64-(Paid!BP32+React!BP56+Legacy!BP34*Legacy!BP$3))*Prices!$I$9</f>
        <v/>
      </c>
      <c r="BQ12" s="9">
        <f>(Paid!BQ32+React!BQ56+Legacy!BQ34*Legacy!BQ$3)*Prices!$H$9+(Subs!BQ64-(Paid!BQ32+React!BQ56+Legacy!BQ34*Legacy!BQ$3))*Prices!$I$9</f>
        <v/>
      </c>
      <c r="BR12" s="9">
        <f>(Paid!BR32+React!BR56+Legacy!BR34*Legacy!BR$3)*Prices!$H$9+(Subs!BR64-(Paid!BR32+React!BR56+Legacy!BR34*Legacy!BR$3))*Prices!$I$9</f>
        <v/>
      </c>
      <c r="BS12" s="9">
        <f>(Paid!BS32+React!BS56+Legacy!BS34*Legacy!BS$3)*Prices!$H$9+(Subs!BS64-(Paid!BS32+React!BS56+Legacy!BS34*Legacy!BS$3))*Prices!$I$9</f>
        <v/>
      </c>
      <c r="BT12" s="9">
        <f>(Paid!BT32+React!BT56+Legacy!BT34*Legacy!BT$3)*Prices!$H$9+(Subs!BT64-(Paid!BT32+React!BT56+Legacy!BT34*Legacy!BT$3))*Prices!$I$9</f>
        <v/>
      </c>
      <c r="BU12" s="9">
        <f>(Paid!BU32+React!BU56+Legacy!BU34*Legacy!BU$3)*Prices!$H$9+(Subs!BU64-(Paid!BU32+React!BU56+Legacy!BU34*Legacy!BU$3))*Prices!$I$9</f>
        <v/>
      </c>
      <c r="BV12" s="9">
        <f>(Paid!BV32+React!BV56+Legacy!BV34*Legacy!BV$3)*Prices!$H$9+(Subs!BV64-(Paid!BV32+React!BV56+Legacy!BV34*Legacy!BV$3))*Prices!$I$9</f>
        <v/>
      </c>
    </row>
    <row r="13">
      <c r="A13" t="inlineStr">
        <is>
          <t>net revenue $</t>
        </is>
      </c>
      <c r="B13" t="inlineStr">
        <is>
          <t>LATAM|NITRO_M</t>
        </is>
      </c>
      <c r="C13" s="9">
        <f>(Paid!C36+React!C63+Legacy!C38*Legacy!C$3)*Prices!$H$10+(Subs!C71-(Paid!C36+React!C63+Legacy!C38*Legacy!C$3))*Prices!$I$10</f>
        <v/>
      </c>
      <c r="D13" s="9">
        <f>(Paid!D36+React!D63+Legacy!D38*Legacy!D$3)*Prices!$H$10+(Subs!D71-(Paid!D36+React!D63+Legacy!D38*Legacy!D$3))*Prices!$I$10</f>
        <v/>
      </c>
      <c r="E13" s="9">
        <f>(Paid!E36+React!E63+Legacy!E38*Legacy!E$3)*Prices!$H$10+(Subs!E71-(Paid!E36+React!E63+Legacy!E38*Legacy!E$3))*Prices!$I$10</f>
        <v/>
      </c>
      <c r="F13" s="9">
        <f>(Paid!F36+React!F63+Legacy!F38*Legacy!F$3)*Prices!$H$10+(Subs!F71-(Paid!F36+React!F63+Legacy!F38*Legacy!F$3))*Prices!$I$10</f>
        <v/>
      </c>
      <c r="G13" s="9">
        <f>(Paid!G36+React!G63+Legacy!G38*Legacy!G$3)*Prices!$H$10+(Subs!G71-(Paid!G36+React!G63+Legacy!G38*Legacy!G$3))*Prices!$I$10</f>
        <v/>
      </c>
      <c r="H13" s="9">
        <f>(Paid!H36+React!H63+Legacy!H38*Legacy!H$3)*Prices!$H$10+(Subs!H71-(Paid!H36+React!H63+Legacy!H38*Legacy!H$3))*Prices!$I$10</f>
        <v/>
      </c>
      <c r="I13" s="9">
        <f>(Paid!I36+React!I63+Legacy!I38*Legacy!I$3)*Prices!$H$10+(Subs!I71-(Paid!I36+React!I63+Legacy!I38*Legacy!I$3))*Prices!$I$10</f>
        <v/>
      </c>
      <c r="J13" s="9">
        <f>(Paid!J36+React!J63+Legacy!J38*Legacy!J$3)*Prices!$H$10+(Subs!J71-(Paid!J36+React!J63+Legacy!J38*Legacy!J$3))*Prices!$I$10</f>
        <v/>
      </c>
      <c r="K13" s="9">
        <f>(Paid!K36+React!K63+Legacy!K38*Legacy!K$3)*Prices!$H$10+(Subs!K71-(Paid!K36+React!K63+Legacy!K38*Legacy!K$3))*Prices!$I$10</f>
        <v/>
      </c>
      <c r="L13" s="9">
        <f>(Paid!L36+React!L63+Legacy!L38*Legacy!L$3)*Prices!$H$10+(Subs!L71-(Paid!L36+React!L63+Legacy!L38*Legacy!L$3))*Prices!$I$10</f>
        <v/>
      </c>
      <c r="M13" s="9">
        <f>(Paid!M36+React!M63+Legacy!M38*Legacy!M$3)*Prices!$H$10+(Subs!M71-(Paid!M36+React!M63+Legacy!M38*Legacy!M$3))*Prices!$I$10</f>
        <v/>
      </c>
      <c r="N13" s="9">
        <f>(Paid!N36+React!N63+Legacy!N38*Legacy!N$3)*Prices!$H$10+(Subs!N71-(Paid!N36+React!N63+Legacy!N38*Legacy!N$3))*Prices!$I$10</f>
        <v/>
      </c>
      <c r="O13" s="9">
        <f>(Paid!O36+React!O63+Legacy!O38*Legacy!O$3)*Prices!$H$10+(Subs!O71-(Paid!O36+React!O63+Legacy!O38*Legacy!O$3))*Prices!$I$10</f>
        <v/>
      </c>
      <c r="P13" s="9">
        <f>(Paid!P36+React!P63+Legacy!P38*Legacy!P$3)*Prices!$H$10+(Subs!P71-(Paid!P36+React!P63+Legacy!P38*Legacy!P$3))*Prices!$I$10</f>
        <v/>
      </c>
      <c r="Q13" s="9">
        <f>(Paid!Q36+React!Q63+Legacy!Q38*Legacy!Q$3)*Prices!$H$10+(Subs!Q71-(Paid!Q36+React!Q63+Legacy!Q38*Legacy!Q$3))*Prices!$I$10</f>
        <v/>
      </c>
      <c r="R13" s="9">
        <f>(Paid!R36+React!R63+Legacy!R38*Legacy!R$3)*Prices!$H$10+(Subs!R71-(Paid!R36+React!R63+Legacy!R38*Legacy!R$3))*Prices!$I$10</f>
        <v/>
      </c>
      <c r="S13" s="9">
        <f>(Paid!S36+React!S63+Legacy!S38*Legacy!S$3)*Prices!$H$10+(Subs!S71-(Paid!S36+React!S63+Legacy!S38*Legacy!S$3))*Prices!$I$10</f>
        <v/>
      </c>
      <c r="T13" s="9">
        <f>(Paid!T36+React!T63+Legacy!T38*Legacy!T$3)*Prices!$H$10+(Subs!T71-(Paid!T36+React!T63+Legacy!T38*Legacy!T$3))*Prices!$I$10</f>
        <v/>
      </c>
      <c r="U13" s="9">
        <f>(Paid!U36+React!U63+Legacy!U38*Legacy!U$3)*Prices!$H$10+(Subs!U71-(Paid!U36+React!U63+Legacy!U38*Legacy!U$3))*Prices!$I$10</f>
        <v/>
      </c>
      <c r="V13" s="9">
        <f>(Paid!V36+React!V63+Legacy!V38*Legacy!V$3)*Prices!$H$10+(Subs!V71-(Paid!V36+React!V63+Legacy!V38*Legacy!V$3))*Prices!$I$10</f>
        <v/>
      </c>
      <c r="W13" s="9">
        <f>(Paid!W36+React!W63+Legacy!W38*Legacy!W$3)*Prices!$H$10+(Subs!W71-(Paid!W36+React!W63+Legacy!W38*Legacy!W$3))*Prices!$I$10</f>
        <v/>
      </c>
      <c r="X13" s="9">
        <f>(Paid!X36+React!X63+Legacy!X38*Legacy!X$3)*Prices!$H$10+(Subs!X71-(Paid!X36+React!X63+Legacy!X38*Legacy!X$3))*Prices!$I$10</f>
        <v/>
      </c>
      <c r="Y13" s="9">
        <f>(Paid!Y36+React!Y63+Legacy!Y38*Legacy!Y$3)*Prices!$H$10+(Subs!Y71-(Paid!Y36+React!Y63+Legacy!Y38*Legacy!Y$3))*Prices!$I$10</f>
        <v/>
      </c>
      <c r="Z13" s="9">
        <f>(Paid!Z36+React!Z63+Legacy!Z38*Legacy!Z$3)*Prices!$H$10+(Subs!Z71-(Paid!Z36+React!Z63+Legacy!Z38*Legacy!Z$3))*Prices!$I$10</f>
        <v/>
      </c>
      <c r="AA13" s="9">
        <f>(Paid!AA36+React!AA63+Legacy!AA38*Legacy!AA$3)*Prices!$H$10+(Subs!AA71-(Paid!AA36+React!AA63+Legacy!AA38*Legacy!AA$3))*Prices!$I$10</f>
        <v/>
      </c>
      <c r="AB13" s="9">
        <f>(Paid!AB36+React!AB63+Legacy!AB38*Legacy!AB$3)*Prices!$H$10+(Subs!AB71-(Paid!AB36+React!AB63+Legacy!AB38*Legacy!AB$3))*Prices!$I$10</f>
        <v/>
      </c>
      <c r="AC13" s="9">
        <f>(Paid!AC36+React!AC63+Legacy!AC38*Legacy!AC$3)*Prices!$H$10+(Subs!AC71-(Paid!AC36+React!AC63+Legacy!AC38*Legacy!AC$3))*Prices!$I$10</f>
        <v/>
      </c>
      <c r="AD13" s="9">
        <f>(Paid!AD36+React!AD63+Legacy!AD38*Legacy!AD$3)*Prices!$H$10+(Subs!AD71-(Paid!AD36+React!AD63+Legacy!AD38*Legacy!AD$3))*Prices!$I$10</f>
        <v/>
      </c>
      <c r="AE13" s="9">
        <f>(Paid!AE36+React!AE63+Legacy!AE38*Legacy!AE$3)*Prices!$H$10+(Subs!AE71-(Paid!AE36+React!AE63+Legacy!AE38*Legacy!AE$3))*Prices!$I$10</f>
        <v/>
      </c>
      <c r="AF13" s="9">
        <f>(Paid!AF36+React!AF63+Legacy!AF38*Legacy!AF$3)*Prices!$H$10+(Subs!AF71-(Paid!AF36+React!AF63+Legacy!AF38*Legacy!AF$3))*Prices!$I$10</f>
        <v/>
      </c>
      <c r="AG13" s="9">
        <f>(Paid!AG36+React!AG63+Legacy!AG38*Legacy!AG$3)*Prices!$H$10+(Subs!AG71-(Paid!AG36+React!AG63+Legacy!AG38*Legacy!AG$3))*Prices!$I$10</f>
        <v/>
      </c>
      <c r="AH13" s="9">
        <f>(Paid!AH36+React!AH63+Legacy!AH38*Legacy!AH$3)*Prices!$H$10+(Subs!AH71-(Paid!AH36+React!AH63+Legacy!AH38*Legacy!AH$3))*Prices!$I$10</f>
        <v/>
      </c>
      <c r="AI13" s="9">
        <f>(Paid!AI36+React!AI63+Legacy!AI38*Legacy!AI$3)*Prices!$H$10+(Subs!AI71-(Paid!AI36+React!AI63+Legacy!AI38*Legacy!AI$3))*Prices!$I$10</f>
        <v/>
      </c>
      <c r="AJ13" s="9">
        <f>(Paid!AJ36+React!AJ63+Legacy!AJ38*Legacy!AJ$3)*Prices!$H$10+(Subs!AJ71-(Paid!AJ36+React!AJ63+Legacy!AJ38*Legacy!AJ$3))*Prices!$I$10</f>
        <v/>
      </c>
      <c r="AK13" s="9">
        <f>(Paid!AK36+React!AK63+Legacy!AK38*Legacy!AK$3)*Prices!$H$10+(Subs!AK71-(Paid!AK36+React!AK63+Legacy!AK38*Legacy!AK$3))*Prices!$I$10</f>
        <v/>
      </c>
      <c r="AL13" s="9">
        <f>(Paid!AL36+React!AL63+Legacy!AL38*Legacy!AL$3)*Prices!$H$10+(Subs!AL71-(Paid!AL36+React!AL63+Legacy!AL38*Legacy!AL$3))*Prices!$I$10</f>
        <v/>
      </c>
      <c r="AM13" s="9">
        <f>(Paid!AM36+React!AM63+Legacy!AM38*Legacy!AM$3)*Prices!$H$10+(Subs!AM71-(Paid!AM36+React!AM63+Legacy!AM38*Legacy!AM$3))*Prices!$I$10</f>
        <v/>
      </c>
      <c r="AN13" s="9">
        <f>(Paid!AN36+React!AN63+Legacy!AN38*Legacy!AN$3)*Prices!$H$10+(Subs!AN71-(Paid!AN36+React!AN63+Legacy!AN38*Legacy!AN$3))*Prices!$I$10</f>
        <v/>
      </c>
      <c r="AO13" s="9">
        <f>(Paid!AO36+React!AO63+Legacy!AO38*Legacy!AO$3)*Prices!$H$10+(Subs!AO71-(Paid!AO36+React!AO63+Legacy!AO38*Legacy!AO$3))*Prices!$I$10</f>
        <v/>
      </c>
      <c r="AP13" s="9">
        <f>(Paid!AP36+React!AP63+Legacy!AP38*Legacy!AP$3)*Prices!$H$10+(Subs!AP71-(Paid!AP36+React!AP63+Legacy!AP38*Legacy!AP$3))*Prices!$I$10</f>
        <v/>
      </c>
      <c r="AQ13" s="9">
        <f>(Paid!AQ36+React!AQ63+Legacy!AQ38*Legacy!AQ$3)*Prices!$H$10+(Subs!AQ71-(Paid!AQ36+React!AQ63+Legacy!AQ38*Legacy!AQ$3))*Prices!$I$10</f>
        <v/>
      </c>
      <c r="AR13" s="9">
        <f>(Paid!AR36+React!AR63+Legacy!AR38*Legacy!AR$3)*Prices!$H$10+(Subs!AR71-(Paid!AR36+React!AR63+Legacy!AR38*Legacy!AR$3))*Prices!$I$10</f>
        <v/>
      </c>
      <c r="AS13" s="9">
        <f>(Paid!AS36+React!AS63+Legacy!AS38*Legacy!AS$3)*Prices!$H$10+(Subs!AS71-(Paid!AS36+React!AS63+Legacy!AS38*Legacy!AS$3))*Prices!$I$10</f>
        <v/>
      </c>
      <c r="AT13" s="9">
        <f>(Paid!AT36+React!AT63+Legacy!AT38*Legacy!AT$3)*Prices!$H$10+(Subs!AT71-(Paid!AT36+React!AT63+Legacy!AT38*Legacy!AT$3))*Prices!$I$10</f>
        <v/>
      </c>
      <c r="AU13" s="9">
        <f>(Paid!AU36+React!AU63+Legacy!AU38*Legacy!AU$3)*Prices!$H$10+(Subs!AU71-(Paid!AU36+React!AU63+Legacy!AU38*Legacy!AU$3))*Prices!$I$10</f>
        <v/>
      </c>
      <c r="AV13" s="9">
        <f>(Paid!AV36+React!AV63+Legacy!AV38*Legacy!AV$3)*Prices!$H$10+(Subs!AV71-(Paid!AV36+React!AV63+Legacy!AV38*Legacy!AV$3))*Prices!$I$10</f>
        <v/>
      </c>
      <c r="AW13" s="9">
        <f>(Paid!AW36+React!AW63+Legacy!AW38*Legacy!AW$3)*Prices!$H$10+(Subs!AW71-(Paid!AW36+React!AW63+Legacy!AW38*Legacy!AW$3))*Prices!$I$10</f>
        <v/>
      </c>
      <c r="AX13" s="9">
        <f>(Paid!AX36+React!AX63+Legacy!AX38*Legacy!AX$3)*Prices!$H$10+(Subs!AX71-(Paid!AX36+React!AX63+Legacy!AX38*Legacy!AX$3))*Prices!$I$10</f>
        <v/>
      </c>
      <c r="AY13" s="9">
        <f>(Paid!AY36+React!AY63+Legacy!AY38*Legacy!AY$3)*Prices!$H$10+(Subs!AY71-(Paid!AY36+React!AY63+Legacy!AY38*Legacy!AY$3))*Prices!$I$10</f>
        <v/>
      </c>
      <c r="AZ13" s="9">
        <f>(Paid!AZ36+React!AZ63+Legacy!AZ38*Legacy!AZ$3)*Prices!$H$10+(Subs!AZ71-(Paid!AZ36+React!AZ63+Legacy!AZ38*Legacy!AZ$3))*Prices!$I$10</f>
        <v/>
      </c>
      <c r="BA13" s="9">
        <f>(Paid!BA36+React!BA63+Legacy!BA38*Legacy!BA$3)*Prices!$H$10+(Subs!BA71-(Paid!BA36+React!BA63+Legacy!BA38*Legacy!BA$3))*Prices!$I$10</f>
        <v/>
      </c>
      <c r="BB13" s="9">
        <f>(Paid!BB36+React!BB63+Legacy!BB38*Legacy!BB$3)*Prices!$H$10+(Subs!BB71-(Paid!BB36+React!BB63+Legacy!BB38*Legacy!BB$3))*Prices!$I$10</f>
        <v/>
      </c>
      <c r="BC13" s="9">
        <f>(Paid!BC36+React!BC63+Legacy!BC38*Legacy!BC$3)*Prices!$H$10+(Subs!BC71-(Paid!BC36+React!BC63+Legacy!BC38*Legacy!BC$3))*Prices!$I$10</f>
        <v/>
      </c>
      <c r="BD13" s="9">
        <f>(Paid!BD36+React!BD63+Legacy!BD38*Legacy!BD$3)*Prices!$H$10+(Subs!BD71-(Paid!BD36+React!BD63+Legacy!BD38*Legacy!BD$3))*Prices!$I$10</f>
        <v/>
      </c>
      <c r="BE13" s="9">
        <f>(Paid!BE36+React!BE63+Legacy!BE38*Legacy!BE$3)*Prices!$H$10+(Subs!BE71-(Paid!BE36+React!BE63+Legacy!BE38*Legacy!BE$3))*Prices!$I$10</f>
        <v/>
      </c>
      <c r="BF13" s="9">
        <f>(Paid!BF36+React!BF63+Legacy!BF38*Legacy!BF$3)*Prices!$H$10+(Subs!BF71-(Paid!BF36+React!BF63+Legacy!BF38*Legacy!BF$3))*Prices!$I$10</f>
        <v/>
      </c>
      <c r="BG13" s="9">
        <f>(Paid!BG36+React!BG63+Legacy!BG38*Legacy!BG$3)*Prices!$H$10+(Subs!BG71-(Paid!BG36+React!BG63+Legacy!BG38*Legacy!BG$3))*Prices!$I$10</f>
        <v/>
      </c>
      <c r="BH13" s="9">
        <f>(Paid!BH36+React!BH63+Legacy!BH38*Legacy!BH$3)*Prices!$H$10+(Subs!BH71-(Paid!BH36+React!BH63+Legacy!BH38*Legacy!BH$3))*Prices!$I$10</f>
        <v/>
      </c>
      <c r="BI13" s="9">
        <f>(Paid!BI36+React!BI63+Legacy!BI38*Legacy!BI$3)*Prices!$H$10+(Subs!BI71-(Paid!BI36+React!BI63+Legacy!BI38*Legacy!BI$3))*Prices!$I$10</f>
        <v/>
      </c>
      <c r="BJ13" s="9">
        <f>(Paid!BJ36+React!BJ63+Legacy!BJ38*Legacy!BJ$3)*Prices!$H$10+(Subs!BJ71-(Paid!BJ36+React!BJ63+Legacy!BJ38*Legacy!BJ$3))*Prices!$I$10</f>
        <v/>
      </c>
      <c r="BK13" s="9">
        <f>(Paid!BK36+React!BK63+Legacy!BK38*Legacy!BK$3)*Prices!$H$10+(Subs!BK71-(Paid!BK36+React!BK63+Legacy!BK38*Legacy!BK$3))*Prices!$I$10</f>
        <v/>
      </c>
      <c r="BL13" s="9">
        <f>(Paid!BL36+React!BL63+Legacy!BL38*Legacy!BL$3)*Prices!$H$10+(Subs!BL71-(Paid!BL36+React!BL63+Legacy!BL38*Legacy!BL$3))*Prices!$I$10</f>
        <v/>
      </c>
      <c r="BM13" s="9">
        <f>(Paid!BM36+React!BM63+Legacy!BM38*Legacy!BM$3)*Prices!$H$10+(Subs!BM71-(Paid!BM36+React!BM63+Legacy!BM38*Legacy!BM$3))*Prices!$I$10</f>
        <v/>
      </c>
      <c r="BN13" s="9">
        <f>(Paid!BN36+React!BN63+Legacy!BN38*Legacy!BN$3)*Prices!$H$10+(Subs!BN71-(Paid!BN36+React!BN63+Legacy!BN38*Legacy!BN$3))*Prices!$I$10</f>
        <v/>
      </c>
      <c r="BO13" s="9">
        <f>(Paid!BO36+React!BO63+Legacy!BO38*Legacy!BO$3)*Prices!$H$10+(Subs!BO71-(Paid!BO36+React!BO63+Legacy!BO38*Legacy!BO$3))*Prices!$I$10</f>
        <v/>
      </c>
      <c r="BP13" s="9">
        <f>(Paid!BP36+React!BP63+Legacy!BP38*Legacy!BP$3)*Prices!$H$10+(Subs!BP71-(Paid!BP36+React!BP63+Legacy!BP38*Legacy!BP$3))*Prices!$I$10</f>
        <v/>
      </c>
      <c r="BQ13" s="9">
        <f>(Paid!BQ36+React!BQ63+Legacy!BQ38*Legacy!BQ$3)*Prices!$H$10+(Subs!BQ71-(Paid!BQ36+React!BQ63+Legacy!BQ38*Legacy!BQ$3))*Prices!$I$10</f>
        <v/>
      </c>
      <c r="BR13" s="9">
        <f>(Paid!BR36+React!BR63+Legacy!BR38*Legacy!BR$3)*Prices!$H$10+(Subs!BR71-(Paid!BR36+React!BR63+Legacy!BR38*Legacy!BR$3))*Prices!$I$10</f>
        <v/>
      </c>
      <c r="BS13" s="9">
        <f>(Paid!BS36+React!BS63+Legacy!BS38*Legacy!BS$3)*Prices!$H$10+(Subs!BS71-(Paid!BS36+React!BS63+Legacy!BS38*Legacy!BS$3))*Prices!$I$10</f>
        <v/>
      </c>
      <c r="BT13" s="9">
        <f>(Paid!BT36+React!BT63+Legacy!BT38*Legacy!BT$3)*Prices!$H$10+(Subs!BT71-(Paid!BT36+React!BT63+Legacy!BT38*Legacy!BT$3))*Prices!$I$10</f>
        <v/>
      </c>
      <c r="BU13" s="9">
        <f>(Paid!BU36+React!BU63+Legacy!BU38*Legacy!BU$3)*Prices!$H$10+(Subs!BU71-(Paid!BU36+React!BU63+Legacy!BU38*Legacy!BU$3))*Prices!$I$10</f>
        <v/>
      </c>
      <c r="BV13" s="9">
        <f>(Paid!BV36+React!BV63+Legacy!BV38*Legacy!BV$3)*Prices!$H$10+(Subs!BV71-(Paid!BV36+React!BV63+Legacy!BV38*Legacy!BV$3))*Prices!$I$10</f>
        <v/>
      </c>
    </row>
    <row r="14">
      <c r="A14" t="inlineStr">
        <is>
          <t>net revenue $</t>
        </is>
      </c>
      <c r="B14" t="inlineStr">
        <is>
          <t>LATAM|NITRO_A</t>
        </is>
      </c>
      <c r="C14" s="9">
        <f>(Paid!C40+React!C70+Legacy!C42*Legacy!C$3)*Prices!$H$11+(Subs!C78-(Paid!C40+React!C70+Legacy!C42*Legacy!C$3))*Prices!$I$11</f>
        <v/>
      </c>
      <c r="D14" s="9">
        <f>(Paid!D40+React!D70+Legacy!D42*Legacy!D$3)*Prices!$H$11+(Subs!D78-(Paid!D40+React!D70+Legacy!D42*Legacy!D$3))*Prices!$I$11</f>
        <v/>
      </c>
      <c r="E14" s="9">
        <f>(Paid!E40+React!E70+Legacy!E42*Legacy!E$3)*Prices!$H$11+(Subs!E78-(Paid!E40+React!E70+Legacy!E42*Legacy!E$3))*Prices!$I$11</f>
        <v/>
      </c>
      <c r="F14" s="9">
        <f>(Paid!F40+React!F70+Legacy!F42*Legacy!F$3)*Prices!$H$11+(Subs!F78-(Paid!F40+React!F70+Legacy!F42*Legacy!F$3))*Prices!$I$11</f>
        <v/>
      </c>
      <c r="G14" s="9">
        <f>(Paid!G40+React!G70+Legacy!G42*Legacy!G$3)*Prices!$H$11+(Subs!G78-(Paid!G40+React!G70+Legacy!G42*Legacy!G$3))*Prices!$I$11</f>
        <v/>
      </c>
      <c r="H14" s="9">
        <f>(Paid!H40+React!H70+Legacy!H42*Legacy!H$3)*Prices!$H$11+(Subs!H78-(Paid!H40+React!H70+Legacy!H42*Legacy!H$3))*Prices!$I$11</f>
        <v/>
      </c>
      <c r="I14" s="9">
        <f>(Paid!I40+React!I70+Legacy!I42*Legacy!I$3)*Prices!$H$11+(Subs!I78-(Paid!I40+React!I70+Legacy!I42*Legacy!I$3))*Prices!$I$11</f>
        <v/>
      </c>
      <c r="J14" s="9">
        <f>(Paid!J40+React!J70+Legacy!J42*Legacy!J$3)*Prices!$H$11+(Subs!J78-(Paid!J40+React!J70+Legacy!J42*Legacy!J$3))*Prices!$I$11</f>
        <v/>
      </c>
      <c r="K14" s="9">
        <f>(Paid!K40+React!K70+Legacy!K42*Legacy!K$3)*Prices!$H$11+(Subs!K78-(Paid!K40+React!K70+Legacy!K42*Legacy!K$3))*Prices!$I$11</f>
        <v/>
      </c>
      <c r="L14" s="9">
        <f>(Paid!L40+React!L70+Legacy!L42*Legacy!L$3)*Prices!$H$11+(Subs!L78-(Paid!L40+React!L70+Legacy!L42*Legacy!L$3))*Prices!$I$11</f>
        <v/>
      </c>
      <c r="M14" s="9">
        <f>(Paid!M40+React!M70+Legacy!M42*Legacy!M$3)*Prices!$H$11+(Subs!M78-(Paid!M40+React!M70+Legacy!M42*Legacy!M$3))*Prices!$I$11</f>
        <v/>
      </c>
      <c r="N14" s="9">
        <f>(Paid!N40+React!N70+Legacy!N42*Legacy!N$3)*Prices!$H$11+(Subs!N78-(Paid!N40+React!N70+Legacy!N42*Legacy!N$3))*Prices!$I$11</f>
        <v/>
      </c>
      <c r="O14" s="9">
        <f>(Paid!O40+React!O70+Legacy!O42*Legacy!O$3)*Prices!$H$11+(Subs!O78-(Paid!O40+React!O70+Legacy!O42*Legacy!O$3))*Prices!$I$11</f>
        <v/>
      </c>
      <c r="P14" s="9">
        <f>(Paid!P40+React!P70+Legacy!P42*Legacy!P$3)*Prices!$H$11+(Subs!P78-(Paid!P40+React!P70+Legacy!P42*Legacy!P$3))*Prices!$I$11</f>
        <v/>
      </c>
      <c r="Q14" s="9">
        <f>(Paid!Q40+React!Q70+Legacy!Q42*Legacy!Q$3)*Prices!$H$11+(Subs!Q78-(Paid!Q40+React!Q70+Legacy!Q42*Legacy!Q$3))*Prices!$I$11</f>
        <v/>
      </c>
      <c r="R14" s="9">
        <f>(Paid!R40+React!R70+Legacy!R42*Legacy!R$3)*Prices!$H$11+(Subs!R78-(Paid!R40+React!R70+Legacy!R42*Legacy!R$3))*Prices!$I$11</f>
        <v/>
      </c>
      <c r="S14" s="9">
        <f>(Paid!S40+React!S70+Legacy!S42*Legacy!S$3)*Prices!$H$11+(Subs!S78-(Paid!S40+React!S70+Legacy!S42*Legacy!S$3))*Prices!$I$11</f>
        <v/>
      </c>
      <c r="T14" s="9">
        <f>(Paid!T40+React!T70+Legacy!T42*Legacy!T$3)*Prices!$H$11+(Subs!T78-(Paid!T40+React!T70+Legacy!T42*Legacy!T$3))*Prices!$I$11</f>
        <v/>
      </c>
      <c r="U14" s="9">
        <f>(Paid!U40+React!U70+Legacy!U42*Legacy!U$3)*Prices!$H$11+(Subs!U78-(Paid!U40+React!U70+Legacy!U42*Legacy!U$3))*Prices!$I$11</f>
        <v/>
      </c>
      <c r="V14" s="9">
        <f>(Paid!V40+React!V70+Legacy!V42*Legacy!V$3)*Prices!$H$11+(Subs!V78-(Paid!V40+React!V70+Legacy!V42*Legacy!V$3))*Prices!$I$11</f>
        <v/>
      </c>
      <c r="W14" s="9">
        <f>(Paid!W40+React!W70+Legacy!W42*Legacy!W$3)*Prices!$H$11+(Subs!W78-(Paid!W40+React!W70+Legacy!W42*Legacy!W$3))*Prices!$I$11</f>
        <v/>
      </c>
      <c r="X14" s="9">
        <f>(Paid!X40+React!X70+Legacy!X42*Legacy!X$3)*Prices!$H$11+(Subs!X78-(Paid!X40+React!X70+Legacy!X42*Legacy!X$3))*Prices!$I$11</f>
        <v/>
      </c>
      <c r="Y14" s="9">
        <f>(Paid!Y40+React!Y70+Legacy!Y42*Legacy!Y$3)*Prices!$H$11+(Subs!Y78-(Paid!Y40+React!Y70+Legacy!Y42*Legacy!Y$3))*Prices!$I$11</f>
        <v/>
      </c>
      <c r="Z14" s="9">
        <f>(Paid!Z40+React!Z70+Legacy!Z42*Legacy!Z$3)*Prices!$H$11+(Subs!Z78-(Paid!Z40+React!Z70+Legacy!Z42*Legacy!Z$3))*Prices!$I$11</f>
        <v/>
      </c>
      <c r="AA14" s="9">
        <f>(Paid!AA40+React!AA70+Legacy!AA42*Legacy!AA$3)*Prices!$H$11+(Subs!AA78-(Paid!AA40+React!AA70+Legacy!AA42*Legacy!AA$3))*Prices!$I$11</f>
        <v/>
      </c>
      <c r="AB14" s="9">
        <f>(Paid!AB40+React!AB70+Legacy!AB42*Legacy!AB$3)*Prices!$H$11+(Subs!AB78-(Paid!AB40+React!AB70+Legacy!AB42*Legacy!AB$3))*Prices!$I$11</f>
        <v/>
      </c>
      <c r="AC14" s="9">
        <f>(Paid!AC40+React!AC70+Legacy!AC42*Legacy!AC$3)*Prices!$H$11+(Subs!AC78-(Paid!AC40+React!AC70+Legacy!AC42*Legacy!AC$3))*Prices!$I$11</f>
        <v/>
      </c>
      <c r="AD14" s="9">
        <f>(Paid!AD40+React!AD70+Legacy!AD42*Legacy!AD$3)*Prices!$H$11+(Subs!AD78-(Paid!AD40+React!AD70+Legacy!AD42*Legacy!AD$3))*Prices!$I$11</f>
        <v/>
      </c>
      <c r="AE14" s="9">
        <f>(Paid!AE40+React!AE70+Legacy!AE42*Legacy!AE$3)*Prices!$H$11+(Subs!AE78-(Paid!AE40+React!AE70+Legacy!AE42*Legacy!AE$3))*Prices!$I$11</f>
        <v/>
      </c>
      <c r="AF14" s="9">
        <f>(Paid!AF40+React!AF70+Legacy!AF42*Legacy!AF$3)*Prices!$H$11+(Subs!AF78-(Paid!AF40+React!AF70+Legacy!AF42*Legacy!AF$3))*Prices!$I$11</f>
        <v/>
      </c>
      <c r="AG14" s="9">
        <f>(Paid!AG40+React!AG70+Legacy!AG42*Legacy!AG$3)*Prices!$H$11+(Subs!AG78-(Paid!AG40+React!AG70+Legacy!AG42*Legacy!AG$3))*Prices!$I$11</f>
        <v/>
      </c>
      <c r="AH14" s="9">
        <f>(Paid!AH40+React!AH70+Legacy!AH42*Legacy!AH$3)*Prices!$H$11+(Subs!AH78-(Paid!AH40+React!AH70+Legacy!AH42*Legacy!AH$3))*Prices!$I$11</f>
        <v/>
      </c>
      <c r="AI14" s="9">
        <f>(Paid!AI40+React!AI70+Legacy!AI42*Legacy!AI$3)*Prices!$H$11+(Subs!AI78-(Paid!AI40+React!AI70+Legacy!AI42*Legacy!AI$3))*Prices!$I$11</f>
        <v/>
      </c>
      <c r="AJ14" s="9">
        <f>(Paid!AJ40+React!AJ70+Legacy!AJ42*Legacy!AJ$3)*Prices!$H$11+(Subs!AJ78-(Paid!AJ40+React!AJ70+Legacy!AJ42*Legacy!AJ$3))*Prices!$I$11</f>
        <v/>
      </c>
      <c r="AK14" s="9">
        <f>(Paid!AK40+React!AK70+Legacy!AK42*Legacy!AK$3)*Prices!$H$11+(Subs!AK78-(Paid!AK40+React!AK70+Legacy!AK42*Legacy!AK$3))*Prices!$I$11</f>
        <v/>
      </c>
      <c r="AL14" s="9">
        <f>(Paid!AL40+React!AL70+Legacy!AL42*Legacy!AL$3)*Prices!$H$11+(Subs!AL78-(Paid!AL40+React!AL70+Legacy!AL42*Legacy!AL$3))*Prices!$I$11</f>
        <v/>
      </c>
      <c r="AM14" s="9">
        <f>(Paid!AM40+React!AM70+Legacy!AM42*Legacy!AM$3)*Prices!$H$11+(Subs!AM78-(Paid!AM40+React!AM70+Legacy!AM42*Legacy!AM$3))*Prices!$I$11</f>
        <v/>
      </c>
      <c r="AN14" s="9">
        <f>(Paid!AN40+React!AN70+Legacy!AN42*Legacy!AN$3)*Prices!$H$11+(Subs!AN78-(Paid!AN40+React!AN70+Legacy!AN42*Legacy!AN$3))*Prices!$I$11</f>
        <v/>
      </c>
      <c r="AO14" s="9">
        <f>(Paid!AO40+React!AO70+Legacy!AO42*Legacy!AO$3)*Prices!$H$11+(Subs!AO78-(Paid!AO40+React!AO70+Legacy!AO42*Legacy!AO$3))*Prices!$I$11</f>
        <v/>
      </c>
      <c r="AP14" s="9">
        <f>(Paid!AP40+React!AP70+Legacy!AP42*Legacy!AP$3)*Prices!$H$11+(Subs!AP78-(Paid!AP40+React!AP70+Legacy!AP42*Legacy!AP$3))*Prices!$I$11</f>
        <v/>
      </c>
      <c r="AQ14" s="9">
        <f>(Paid!AQ40+React!AQ70+Legacy!AQ42*Legacy!AQ$3)*Prices!$H$11+(Subs!AQ78-(Paid!AQ40+React!AQ70+Legacy!AQ42*Legacy!AQ$3))*Prices!$I$11</f>
        <v/>
      </c>
      <c r="AR14" s="9">
        <f>(Paid!AR40+React!AR70+Legacy!AR42*Legacy!AR$3)*Prices!$H$11+(Subs!AR78-(Paid!AR40+React!AR70+Legacy!AR42*Legacy!AR$3))*Prices!$I$11</f>
        <v/>
      </c>
      <c r="AS14" s="9">
        <f>(Paid!AS40+React!AS70+Legacy!AS42*Legacy!AS$3)*Prices!$H$11+(Subs!AS78-(Paid!AS40+React!AS70+Legacy!AS42*Legacy!AS$3))*Prices!$I$11</f>
        <v/>
      </c>
      <c r="AT14" s="9">
        <f>(Paid!AT40+React!AT70+Legacy!AT42*Legacy!AT$3)*Prices!$H$11+(Subs!AT78-(Paid!AT40+React!AT70+Legacy!AT42*Legacy!AT$3))*Prices!$I$11</f>
        <v/>
      </c>
      <c r="AU14" s="9">
        <f>(Paid!AU40+React!AU70+Legacy!AU42*Legacy!AU$3)*Prices!$H$11+(Subs!AU78-(Paid!AU40+React!AU70+Legacy!AU42*Legacy!AU$3))*Prices!$I$11</f>
        <v/>
      </c>
      <c r="AV14" s="9">
        <f>(Paid!AV40+React!AV70+Legacy!AV42*Legacy!AV$3)*Prices!$H$11+(Subs!AV78-(Paid!AV40+React!AV70+Legacy!AV42*Legacy!AV$3))*Prices!$I$11</f>
        <v/>
      </c>
      <c r="AW14" s="9">
        <f>(Paid!AW40+React!AW70+Legacy!AW42*Legacy!AW$3)*Prices!$H$11+(Subs!AW78-(Paid!AW40+React!AW70+Legacy!AW42*Legacy!AW$3))*Prices!$I$11</f>
        <v/>
      </c>
      <c r="AX14" s="9">
        <f>(Paid!AX40+React!AX70+Legacy!AX42*Legacy!AX$3)*Prices!$H$11+(Subs!AX78-(Paid!AX40+React!AX70+Legacy!AX42*Legacy!AX$3))*Prices!$I$11</f>
        <v/>
      </c>
      <c r="AY14" s="9">
        <f>(Paid!AY40+React!AY70+Legacy!AY42*Legacy!AY$3)*Prices!$H$11+(Subs!AY78-(Paid!AY40+React!AY70+Legacy!AY42*Legacy!AY$3))*Prices!$I$11</f>
        <v/>
      </c>
      <c r="AZ14" s="9">
        <f>(Paid!AZ40+React!AZ70+Legacy!AZ42*Legacy!AZ$3)*Prices!$H$11+(Subs!AZ78-(Paid!AZ40+React!AZ70+Legacy!AZ42*Legacy!AZ$3))*Prices!$I$11</f>
        <v/>
      </c>
      <c r="BA14" s="9">
        <f>(Paid!BA40+React!BA70+Legacy!BA42*Legacy!BA$3)*Prices!$H$11+(Subs!BA78-(Paid!BA40+React!BA70+Legacy!BA42*Legacy!BA$3))*Prices!$I$11</f>
        <v/>
      </c>
      <c r="BB14" s="9">
        <f>(Paid!BB40+React!BB70+Legacy!BB42*Legacy!BB$3)*Prices!$H$11+(Subs!BB78-(Paid!BB40+React!BB70+Legacy!BB42*Legacy!BB$3))*Prices!$I$11</f>
        <v/>
      </c>
      <c r="BC14" s="9">
        <f>(Paid!BC40+React!BC70+Legacy!BC42*Legacy!BC$3)*Prices!$H$11+(Subs!BC78-(Paid!BC40+React!BC70+Legacy!BC42*Legacy!BC$3))*Prices!$I$11</f>
        <v/>
      </c>
      <c r="BD14" s="9">
        <f>(Paid!BD40+React!BD70+Legacy!BD42*Legacy!BD$3)*Prices!$H$11+(Subs!BD78-(Paid!BD40+React!BD70+Legacy!BD42*Legacy!BD$3))*Prices!$I$11</f>
        <v/>
      </c>
      <c r="BE14" s="9">
        <f>(Paid!BE40+React!BE70+Legacy!BE42*Legacy!BE$3)*Prices!$H$11+(Subs!BE78-(Paid!BE40+React!BE70+Legacy!BE42*Legacy!BE$3))*Prices!$I$11</f>
        <v/>
      </c>
      <c r="BF14" s="9">
        <f>(Paid!BF40+React!BF70+Legacy!BF42*Legacy!BF$3)*Prices!$H$11+(Subs!BF78-(Paid!BF40+React!BF70+Legacy!BF42*Legacy!BF$3))*Prices!$I$11</f>
        <v/>
      </c>
      <c r="BG14" s="9">
        <f>(Paid!BG40+React!BG70+Legacy!BG42*Legacy!BG$3)*Prices!$H$11+(Subs!BG78-(Paid!BG40+React!BG70+Legacy!BG42*Legacy!BG$3))*Prices!$I$11</f>
        <v/>
      </c>
      <c r="BH14" s="9">
        <f>(Paid!BH40+React!BH70+Legacy!BH42*Legacy!BH$3)*Prices!$H$11+(Subs!BH78-(Paid!BH40+React!BH70+Legacy!BH42*Legacy!BH$3))*Prices!$I$11</f>
        <v/>
      </c>
      <c r="BI14" s="9">
        <f>(Paid!BI40+React!BI70+Legacy!BI42*Legacy!BI$3)*Prices!$H$11+(Subs!BI78-(Paid!BI40+React!BI70+Legacy!BI42*Legacy!BI$3))*Prices!$I$11</f>
        <v/>
      </c>
      <c r="BJ14" s="9">
        <f>(Paid!BJ40+React!BJ70+Legacy!BJ42*Legacy!BJ$3)*Prices!$H$11+(Subs!BJ78-(Paid!BJ40+React!BJ70+Legacy!BJ42*Legacy!BJ$3))*Prices!$I$11</f>
        <v/>
      </c>
      <c r="BK14" s="9">
        <f>(Paid!BK40+React!BK70+Legacy!BK42*Legacy!BK$3)*Prices!$H$11+(Subs!BK78-(Paid!BK40+React!BK70+Legacy!BK42*Legacy!BK$3))*Prices!$I$11</f>
        <v/>
      </c>
      <c r="BL14" s="9">
        <f>(Paid!BL40+React!BL70+Legacy!BL42*Legacy!BL$3)*Prices!$H$11+(Subs!BL78-(Paid!BL40+React!BL70+Legacy!BL42*Legacy!BL$3))*Prices!$I$11</f>
        <v/>
      </c>
      <c r="BM14" s="9">
        <f>(Paid!BM40+React!BM70+Legacy!BM42*Legacy!BM$3)*Prices!$H$11+(Subs!BM78-(Paid!BM40+React!BM70+Legacy!BM42*Legacy!BM$3))*Prices!$I$11</f>
        <v/>
      </c>
      <c r="BN14" s="9">
        <f>(Paid!BN40+React!BN70+Legacy!BN42*Legacy!BN$3)*Prices!$H$11+(Subs!BN78-(Paid!BN40+React!BN70+Legacy!BN42*Legacy!BN$3))*Prices!$I$11</f>
        <v/>
      </c>
      <c r="BO14" s="9">
        <f>(Paid!BO40+React!BO70+Legacy!BO42*Legacy!BO$3)*Prices!$H$11+(Subs!BO78-(Paid!BO40+React!BO70+Legacy!BO42*Legacy!BO$3))*Prices!$I$11</f>
        <v/>
      </c>
      <c r="BP14" s="9">
        <f>(Paid!BP40+React!BP70+Legacy!BP42*Legacy!BP$3)*Prices!$H$11+(Subs!BP78-(Paid!BP40+React!BP70+Legacy!BP42*Legacy!BP$3))*Prices!$I$11</f>
        <v/>
      </c>
      <c r="BQ14" s="9">
        <f>(Paid!BQ40+React!BQ70+Legacy!BQ42*Legacy!BQ$3)*Prices!$H$11+(Subs!BQ78-(Paid!BQ40+React!BQ70+Legacy!BQ42*Legacy!BQ$3))*Prices!$I$11</f>
        <v/>
      </c>
      <c r="BR14" s="9">
        <f>(Paid!BR40+React!BR70+Legacy!BR42*Legacy!BR$3)*Prices!$H$11+(Subs!BR78-(Paid!BR40+React!BR70+Legacy!BR42*Legacy!BR$3))*Prices!$I$11</f>
        <v/>
      </c>
      <c r="BS14" s="9">
        <f>(Paid!BS40+React!BS70+Legacy!BS42*Legacy!BS$3)*Prices!$H$11+(Subs!BS78-(Paid!BS40+React!BS70+Legacy!BS42*Legacy!BS$3))*Prices!$I$11</f>
        <v/>
      </c>
      <c r="BT14" s="9">
        <f>(Paid!BT40+React!BT70+Legacy!BT42*Legacy!BT$3)*Prices!$H$11+(Subs!BT78-(Paid!BT40+React!BT70+Legacy!BT42*Legacy!BT$3))*Prices!$I$11</f>
        <v/>
      </c>
      <c r="BU14" s="9">
        <f>(Paid!BU40+React!BU70+Legacy!BU42*Legacy!BU$3)*Prices!$H$11+(Subs!BU78-(Paid!BU40+React!BU70+Legacy!BU42*Legacy!BU$3))*Prices!$I$11</f>
        <v/>
      </c>
      <c r="BV14" s="9">
        <f>(Paid!BV40+React!BV70+Legacy!BV42*Legacy!BV$3)*Prices!$H$11+(Subs!BV78-(Paid!BV40+React!BV70+Legacy!BV42*Legacy!BV$3))*Prices!$I$11</f>
        <v/>
      </c>
    </row>
    <row r="15">
      <c r="A15" t="inlineStr">
        <is>
          <t>net revenue $</t>
        </is>
      </c>
      <c r="B15" t="inlineStr">
        <is>
          <t>LATAM|BASIC_M</t>
        </is>
      </c>
      <c r="C15" s="9">
        <f>(Paid!C44+React!C77+Legacy!C46*Legacy!C$3)*Prices!$H$12+(Subs!C85-(Paid!C44+React!C77+Legacy!C46*Legacy!C$3))*Prices!$I$12</f>
        <v/>
      </c>
      <c r="D15" s="9">
        <f>(Paid!D44+React!D77+Legacy!D46*Legacy!D$3)*Prices!$H$12+(Subs!D85-(Paid!D44+React!D77+Legacy!D46*Legacy!D$3))*Prices!$I$12</f>
        <v/>
      </c>
      <c r="E15" s="9">
        <f>(Paid!E44+React!E77+Legacy!E46*Legacy!E$3)*Prices!$H$12+(Subs!E85-(Paid!E44+React!E77+Legacy!E46*Legacy!E$3))*Prices!$I$12</f>
        <v/>
      </c>
      <c r="F15" s="9">
        <f>(Paid!F44+React!F77+Legacy!F46*Legacy!F$3)*Prices!$H$12+(Subs!F85-(Paid!F44+React!F77+Legacy!F46*Legacy!F$3))*Prices!$I$12</f>
        <v/>
      </c>
      <c r="G15" s="9">
        <f>(Paid!G44+React!G77+Legacy!G46*Legacy!G$3)*Prices!$H$12+(Subs!G85-(Paid!G44+React!G77+Legacy!G46*Legacy!G$3))*Prices!$I$12</f>
        <v/>
      </c>
      <c r="H15" s="9">
        <f>(Paid!H44+React!H77+Legacy!H46*Legacy!H$3)*Prices!$H$12+(Subs!H85-(Paid!H44+React!H77+Legacy!H46*Legacy!H$3))*Prices!$I$12</f>
        <v/>
      </c>
      <c r="I15" s="9">
        <f>(Paid!I44+React!I77+Legacy!I46*Legacy!I$3)*Prices!$H$12+(Subs!I85-(Paid!I44+React!I77+Legacy!I46*Legacy!I$3))*Prices!$I$12</f>
        <v/>
      </c>
      <c r="J15" s="9">
        <f>(Paid!J44+React!J77+Legacy!J46*Legacy!J$3)*Prices!$H$12+(Subs!J85-(Paid!J44+React!J77+Legacy!J46*Legacy!J$3))*Prices!$I$12</f>
        <v/>
      </c>
      <c r="K15" s="9">
        <f>(Paid!K44+React!K77+Legacy!K46*Legacy!K$3)*Prices!$H$12+(Subs!K85-(Paid!K44+React!K77+Legacy!K46*Legacy!K$3))*Prices!$I$12</f>
        <v/>
      </c>
      <c r="L15" s="9">
        <f>(Paid!L44+React!L77+Legacy!L46*Legacy!L$3)*Prices!$H$12+(Subs!L85-(Paid!L44+React!L77+Legacy!L46*Legacy!L$3))*Prices!$I$12</f>
        <v/>
      </c>
      <c r="M15" s="9">
        <f>(Paid!M44+React!M77+Legacy!M46*Legacy!M$3)*Prices!$H$12+(Subs!M85-(Paid!M44+React!M77+Legacy!M46*Legacy!M$3))*Prices!$I$12</f>
        <v/>
      </c>
      <c r="N15" s="9">
        <f>(Paid!N44+React!N77+Legacy!N46*Legacy!N$3)*Prices!$H$12+(Subs!N85-(Paid!N44+React!N77+Legacy!N46*Legacy!N$3))*Prices!$I$12</f>
        <v/>
      </c>
      <c r="O15" s="9">
        <f>(Paid!O44+React!O77+Legacy!O46*Legacy!O$3)*Prices!$H$12+(Subs!O85-(Paid!O44+React!O77+Legacy!O46*Legacy!O$3))*Prices!$I$12</f>
        <v/>
      </c>
      <c r="P15" s="9">
        <f>(Paid!P44+React!P77+Legacy!P46*Legacy!P$3)*Prices!$H$12+(Subs!P85-(Paid!P44+React!P77+Legacy!P46*Legacy!P$3))*Prices!$I$12</f>
        <v/>
      </c>
      <c r="Q15" s="9">
        <f>(Paid!Q44+React!Q77+Legacy!Q46*Legacy!Q$3)*Prices!$H$12+(Subs!Q85-(Paid!Q44+React!Q77+Legacy!Q46*Legacy!Q$3))*Prices!$I$12</f>
        <v/>
      </c>
      <c r="R15" s="9">
        <f>(Paid!R44+React!R77+Legacy!R46*Legacy!R$3)*Prices!$H$12+(Subs!R85-(Paid!R44+React!R77+Legacy!R46*Legacy!R$3))*Prices!$I$12</f>
        <v/>
      </c>
      <c r="S15" s="9">
        <f>(Paid!S44+React!S77+Legacy!S46*Legacy!S$3)*Prices!$H$12+(Subs!S85-(Paid!S44+React!S77+Legacy!S46*Legacy!S$3))*Prices!$I$12</f>
        <v/>
      </c>
      <c r="T15" s="9">
        <f>(Paid!T44+React!T77+Legacy!T46*Legacy!T$3)*Prices!$H$12+(Subs!T85-(Paid!T44+React!T77+Legacy!T46*Legacy!T$3))*Prices!$I$12</f>
        <v/>
      </c>
      <c r="U15" s="9">
        <f>(Paid!U44+React!U77+Legacy!U46*Legacy!U$3)*Prices!$H$12+(Subs!U85-(Paid!U44+React!U77+Legacy!U46*Legacy!U$3))*Prices!$I$12</f>
        <v/>
      </c>
      <c r="V15" s="9">
        <f>(Paid!V44+React!V77+Legacy!V46*Legacy!V$3)*Prices!$H$12+(Subs!V85-(Paid!V44+React!V77+Legacy!V46*Legacy!V$3))*Prices!$I$12</f>
        <v/>
      </c>
      <c r="W15" s="9">
        <f>(Paid!W44+React!W77+Legacy!W46*Legacy!W$3)*Prices!$H$12+(Subs!W85-(Paid!W44+React!W77+Legacy!W46*Legacy!W$3))*Prices!$I$12</f>
        <v/>
      </c>
      <c r="X15" s="9">
        <f>(Paid!X44+React!X77+Legacy!X46*Legacy!X$3)*Prices!$H$12+(Subs!X85-(Paid!X44+React!X77+Legacy!X46*Legacy!X$3))*Prices!$I$12</f>
        <v/>
      </c>
      <c r="Y15" s="9">
        <f>(Paid!Y44+React!Y77+Legacy!Y46*Legacy!Y$3)*Prices!$H$12+(Subs!Y85-(Paid!Y44+React!Y77+Legacy!Y46*Legacy!Y$3))*Prices!$I$12</f>
        <v/>
      </c>
      <c r="Z15" s="9">
        <f>(Paid!Z44+React!Z77+Legacy!Z46*Legacy!Z$3)*Prices!$H$12+(Subs!Z85-(Paid!Z44+React!Z77+Legacy!Z46*Legacy!Z$3))*Prices!$I$12</f>
        <v/>
      </c>
      <c r="AA15" s="9">
        <f>(Paid!AA44+React!AA77+Legacy!AA46*Legacy!AA$3)*Prices!$H$12+(Subs!AA85-(Paid!AA44+React!AA77+Legacy!AA46*Legacy!AA$3))*Prices!$I$12</f>
        <v/>
      </c>
      <c r="AB15" s="9">
        <f>(Paid!AB44+React!AB77+Legacy!AB46*Legacy!AB$3)*Prices!$H$12+(Subs!AB85-(Paid!AB44+React!AB77+Legacy!AB46*Legacy!AB$3))*Prices!$I$12</f>
        <v/>
      </c>
      <c r="AC15" s="9">
        <f>(Paid!AC44+React!AC77+Legacy!AC46*Legacy!AC$3)*Prices!$H$12+(Subs!AC85-(Paid!AC44+React!AC77+Legacy!AC46*Legacy!AC$3))*Prices!$I$12</f>
        <v/>
      </c>
      <c r="AD15" s="9">
        <f>(Paid!AD44+React!AD77+Legacy!AD46*Legacy!AD$3)*Prices!$H$12+(Subs!AD85-(Paid!AD44+React!AD77+Legacy!AD46*Legacy!AD$3))*Prices!$I$12</f>
        <v/>
      </c>
      <c r="AE15" s="9">
        <f>(Paid!AE44+React!AE77+Legacy!AE46*Legacy!AE$3)*Prices!$H$12+(Subs!AE85-(Paid!AE44+React!AE77+Legacy!AE46*Legacy!AE$3))*Prices!$I$12</f>
        <v/>
      </c>
      <c r="AF15" s="9">
        <f>(Paid!AF44+React!AF77+Legacy!AF46*Legacy!AF$3)*Prices!$H$12+(Subs!AF85-(Paid!AF44+React!AF77+Legacy!AF46*Legacy!AF$3))*Prices!$I$12</f>
        <v/>
      </c>
      <c r="AG15" s="9">
        <f>(Paid!AG44+React!AG77+Legacy!AG46*Legacy!AG$3)*Prices!$H$12+(Subs!AG85-(Paid!AG44+React!AG77+Legacy!AG46*Legacy!AG$3))*Prices!$I$12</f>
        <v/>
      </c>
      <c r="AH15" s="9">
        <f>(Paid!AH44+React!AH77+Legacy!AH46*Legacy!AH$3)*Prices!$H$12+(Subs!AH85-(Paid!AH44+React!AH77+Legacy!AH46*Legacy!AH$3))*Prices!$I$12</f>
        <v/>
      </c>
      <c r="AI15" s="9">
        <f>(Paid!AI44+React!AI77+Legacy!AI46*Legacy!AI$3)*Prices!$H$12+(Subs!AI85-(Paid!AI44+React!AI77+Legacy!AI46*Legacy!AI$3))*Prices!$I$12</f>
        <v/>
      </c>
      <c r="AJ15" s="9">
        <f>(Paid!AJ44+React!AJ77+Legacy!AJ46*Legacy!AJ$3)*Prices!$H$12+(Subs!AJ85-(Paid!AJ44+React!AJ77+Legacy!AJ46*Legacy!AJ$3))*Prices!$I$12</f>
        <v/>
      </c>
      <c r="AK15" s="9">
        <f>(Paid!AK44+React!AK77+Legacy!AK46*Legacy!AK$3)*Prices!$H$12+(Subs!AK85-(Paid!AK44+React!AK77+Legacy!AK46*Legacy!AK$3))*Prices!$I$12</f>
        <v/>
      </c>
      <c r="AL15" s="9">
        <f>(Paid!AL44+React!AL77+Legacy!AL46*Legacy!AL$3)*Prices!$H$12+(Subs!AL85-(Paid!AL44+React!AL77+Legacy!AL46*Legacy!AL$3))*Prices!$I$12</f>
        <v/>
      </c>
      <c r="AM15" s="9">
        <f>(Paid!AM44+React!AM77+Legacy!AM46*Legacy!AM$3)*Prices!$H$12+(Subs!AM85-(Paid!AM44+React!AM77+Legacy!AM46*Legacy!AM$3))*Prices!$I$12</f>
        <v/>
      </c>
      <c r="AN15" s="9">
        <f>(Paid!AN44+React!AN77+Legacy!AN46*Legacy!AN$3)*Prices!$H$12+(Subs!AN85-(Paid!AN44+React!AN77+Legacy!AN46*Legacy!AN$3))*Prices!$I$12</f>
        <v/>
      </c>
      <c r="AO15" s="9">
        <f>(Paid!AO44+React!AO77+Legacy!AO46*Legacy!AO$3)*Prices!$H$12+(Subs!AO85-(Paid!AO44+React!AO77+Legacy!AO46*Legacy!AO$3))*Prices!$I$12</f>
        <v/>
      </c>
      <c r="AP15" s="9">
        <f>(Paid!AP44+React!AP77+Legacy!AP46*Legacy!AP$3)*Prices!$H$12+(Subs!AP85-(Paid!AP44+React!AP77+Legacy!AP46*Legacy!AP$3))*Prices!$I$12</f>
        <v/>
      </c>
      <c r="AQ15" s="9">
        <f>(Paid!AQ44+React!AQ77+Legacy!AQ46*Legacy!AQ$3)*Prices!$H$12+(Subs!AQ85-(Paid!AQ44+React!AQ77+Legacy!AQ46*Legacy!AQ$3))*Prices!$I$12</f>
        <v/>
      </c>
      <c r="AR15" s="9">
        <f>(Paid!AR44+React!AR77+Legacy!AR46*Legacy!AR$3)*Prices!$H$12+(Subs!AR85-(Paid!AR44+React!AR77+Legacy!AR46*Legacy!AR$3))*Prices!$I$12</f>
        <v/>
      </c>
      <c r="AS15" s="9">
        <f>(Paid!AS44+React!AS77+Legacy!AS46*Legacy!AS$3)*Prices!$H$12+(Subs!AS85-(Paid!AS44+React!AS77+Legacy!AS46*Legacy!AS$3))*Prices!$I$12</f>
        <v/>
      </c>
      <c r="AT15" s="9">
        <f>(Paid!AT44+React!AT77+Legacy!AT46*Legacy!AT$3)*Prices!$H$12+(Subs!AT85-(Paid!AT44+React!AT77+Legacy!AT46*Legacy!AT$3))*Prices!$I$12</f>
        <v/>
      </c>
      <c r="AU15" s="9">
        <f>(Paid!AU44+React!AU77+Legacy!AU46*Legacy!AU$3)*Prices!$H$12+(Subs!AU85-(Paid!AU44+React!AU77+Legacy!AU46*Legacy!AU$3))*Prices!$I$12</f>
        <v/>
      </c>
      <c r="AV15" s="9">
        <f>(Paid!AV44+React!AV77+Legacy!AV46*Legacy!AV$3)*Prices!$H$12+(Subs!AV85-(Paid!AV44+React!AV77+Legacy!AV46*Legacy!AV$3))*Prices!$I$12</f>
        <v/>
      </c>
      <c r="AW15" s="9">
        <f>(Paid!AW44+React!AW77+Legacy!AW46*Legacy!AW$3)*Prices!$H$12+(Subs!AW85-(Paid!AW44+React!AW77+Legacy!AW46*Legacy!AW$3))*Prices!$I$12</f>
        <v/>
      </c>
      <c r="AX15" s="9">
        <f>(Paid!AX44+React!AX77+Legacy!AX46*Legacy!AX$3)*Prices!$H$12+(Subs!AX85-(Paid!AX44+React!AX77+Legacy!AX46*Legacy!AX$3))*Prices!$I$12</f>
        <v/>
      </c>
      <c r="AY15" s="9">
        <f>(Paid!AY44+React!AY77+Legacy!AY46*Legacy!AY$3)*Prices!$H$12+(Subs!AY85-(Paid!AY44+React!AY77+Legacy!AY46*Legacy!AY$3))*Prices!$I$12</f>
        <v/>
      </c>
      <c r="AZ15" s="9">
        <f>(Paid!AZ44+React!AZ77+Legacy!AZ46*Legacy!AZ$3)*Prices!$H$12+(Subs!AZ85-(Paid!AZ44+React!AZ77+Legacy!AZ46*Legacy!AZ$3))*Prices!$I$12</f>
        <v/>
      </c>
      <c r="BA15" s="9">
        <f>(Paid!BA44+React!BA77+Legacy!BA46*Legacy!BA$3)*Prices!$H$12+(Subs!BA85-(Paid!BA44+React!BA77+Legacy!BA46*Legacy!BA$3))*Prices!$I$12</f>
        <v/>
      </c>
      <c r="BB15" s="9">
        <f>(Paid!BB44+React!BB77+Legacy!BB46*Legacy!BB$3)*Prices!$H$12+(Subs!BB85-(Paid!BB44+React!BB77+Legacy!BB46*Legacy!BB$3))*Prices!$I$12</f>
        <v/>
      </c>
      <c r="BC15" s="9">
        <f>(Paid!BC44+React!BC77+Legacy!BC46*Legacy!BC$3)*Prices!$H$12+(Subs!BC85-(Paid!BC44+React!BC77+Legacy!BC46*Legacy!BC$3))*Prices!$I$12</f>
        <v/>
      </c>
      <c r="BD15" s="9">
        <f>(Paid!BD44+React!BD77+Legacy!BD46*Legacy!BD$3)*Prices!$H$12+(Subs!BD85-(Paid!BD44+React!BD77+Legacy!BD46*Legacy!BD$3))*Prices!$I$12</f>
        <v/>
      </c>
      <c r="BE15" s="9">
        <f>(Paid!BE44+React!BE77+Legacy!BE46*Legacy!BE$3)*Prices!$H$12+(Subs!BE85-(Paid!BE44+React!BE77+Legacy!BE46*Legacy!BE$3))*Prices!$I$12</f>
        <v/>
      </c>
      <c r="BF15" s="9">
        <f>(Paid!BF44+React!BF77+Legacy!BF46*Legacy!BF$3)*Prices!$H$12+(Subs!BF85-(Paid!BF44+React!BF77+Legacy!BF46*Legacy!BF$3))*Prices!$I$12</f>
        <v/>
      </c>
      <c r="BG15" s="9">
        <f>(Paid!BG44+React!BG77+Legacy!BG46*Legacy!BG$3)*Prices!$H$12+(Subs!BG85-(Paid!BG44+React!BG77+Legacy!BG46*Legacy!BG$3))*Prices!$I$12</f>
        <v/>
      </c>
      <c r="BH15" s="9">
        <f>(Paid!BH44+React!BH77+Legacy!BH46*Legacy!BH$3)*Prices!$H$12+(Subs!BH85-(Paid!BH44+React!BH77+Legacy!BH46*Legacy!BH$3))*Prices!$I$12</f>
        <v/>
      </c>
      <c r="BI15" s="9">
        <f>(Paid!BI44+React!BI77+Legacy!BI46*Legacy!BI$3)*Prices!$H$12+(Subs!BI85-(Paid!BI44+React!BI77+Legacy!BI46*Legacy!BI$3))*Prices!$I$12</f>
        <v/>
      </c>
      <c r="BJ15" s="9">
        <f>(Paid!BJ44+React!BJ77+Legacy!BJ46*Legacy!BJ$3)*Prices!$H$12+(Subs!BJ85-(Paid!BJ44+React!BJ77+Legacy!BJ46*Legacy!BJ$3))*Prices!$I$12</f>
        <v/>
      </c>
      <c r="BK15" s="9">
        <f>(Paid!BK44+React!BK77+Legacy!BK46*Legacy!BK$3)*Prices!$H$12+(Subs!BK85-(Paid!BK44+React!BK77+Legacy!BK46*Legacy!BK$3))*Prices!$I$12</f>
        <v/>
      </c>
      <c r="BL15" s="9">
        <f>(Paid!BL44+React!BL77+Legacy!BL46*Legacy!BL$3)*Prices!$H$12+(Subs!BL85-(Paid!BL44+React!BL77+Legacy!BL46*Legacy!BL$3))*Prices!$I$12</f>
        <v/>
      </c>
      <c r="BM15" s="9">
        <f>(Paid!BM44+React!BM77+Legacy!BM46*Legacy!BM$3)*Prices!$H$12+(Subs!BM85-(Paid!BM44+React!BM77+Legacy!BM46*Legacy!BM$3))*Prices!$I$12</f>
        <v/>
      </c>
      <c r="BN15" s="9">
        <f>(Paid!BN44+React!BN77+Legacy!BN46*Legacy!BN$3)*Prices!$H$12+(Subs!BN85-(Paid!BN44+React!BN77+Legacy!BN46*Legacy!BN$3))*Prices!$I$12</f>
        <v/>
      </c>
      <c r="BO15" s="9">
        <f>(Paid!BO44+React!BO77+Legacy!BO46*Legacy!BO$3)*Prices!$H$12+(Subs!BO85-(Paid!BO44+React!BO77+Legacy!BO46*Legacy!BO$3))*Prices!$I$12</f>
        <v/>
      </c>
      <c r="BP15" s="9">
        <f>(Paid!BP44+React!BP77+Legacy!BP46*Legacy!BP$3)*Prices!$H$12+(Subs!BP85-(Paid!BP44+React!BP77+Legacy!BP46*Legacy!BP$3))*Prices!$I$12</f>
        <v/>
      </c>
      <c r="BQ15" s="9">
        <f>(Paid!BQ44+React!BQ77+Legacy!BQ46*Legacy!BQ$3)*Prices!$H$12+(Subs!BQ85-(Paid!BQ44+React!BQ77+Legacy!BQ46*Legacy!BQ$3))*Prices!$I$12</f>
        <v/>
      </c>
      <c r="BR15" s="9">
        <f>(Paid!BR44+React!BR77+Legacy!BR46*Legacy!BR$3)*Prices!$H$12+(Subs!BR85-(Paid!BR44+React!BR77+Legacy!BR46*Legacy!BR$3))*Prices!$I$12</f>
        <v/>
      </c>
      <c r="BS15" s="9">
        <f>(Paid!BS44+React!BS77+Legacy!BS46*Legacy!BS$3)*Prices!$H$12+(Subs!BS85-(Paid!BS44+React!BS77+Legacy!BS46*Legacy!BS$3))*Prices!$I$12</f>
        <v/>
      </c>
      <c r="BT15" s="9">
        <f>(Paid!BT44+React!BT77+Legacy!BT46*Legacy!BT$3)*Prices!$H$12+(Subs!BT85-(Paid!BT44+React!BT77+Legacy!BT46*Legacy!BT$3))*Prices!$I$12</f>
        <v/>
      </c>
      <c r="BU15" s="9">
        <f>(Paid!BU44+React!BU77+Legacy!BU46*Legacy!BU$3)*Prices!$H$12+(Subs!BU85-(Paid!BU44+React!BU77+Legacy!BU46*Legacy!BU$3))*Prices!$I$12</f>
        <v/>
      </c>
      <c r="BV15" s="9">
        <f>(Paid!BV44+React!BV77+Legacy!BV46*Legacy!BV$3)*Prices!$H$12+(Subs!BV85-(Paid!BV44+React!BV77+Legacy!BV46*Legacy!BV$3))*Prices!$I$12</f>
        <v/>
      </c>
    </row>
    <row r="16">
      <c r="A16" t="inlineStr">
        <is>
          <t>net revenue $</t>
        </is>
      </c>
      <c r="B16" t="inlineStr">
        <is>
          <t>LATAM|BASIC_A</t>
        </is>
      </c>
      <c r="C16" s="9">
        <f>(Paid!C48+React!C84+Legacy!C50*Legacy!C$3)*Prices!$H$13+(Subs!C92-(Paid!C48+React!C84+Legacy!C50*Legacy!C$3))*Prices!$I$13</f>
        <v/>
      </c>
      <c r="D16" s="9">
        <f>(Paid!D48+React!D84+Legacy!D50*Legacy!D$3)*Prices!$H$13+(Subs!D92-(Paid!D48+React!D84+Legacy!D50*Legacy!D$3))*Prices!$I$13</f>
        <v/>
      </c>
      <c r="E16" s="9">
        <f>(Paid!E48+React!E84+Legacy!E50*Legacy!E$3)*Prices!$H$13+(Subs!E92-(Paid!E48+React!E84+Legacy!E50*Legacy!E$3))*Prices!$I$13</f>
        <v/>
      </c>
      <c r="F16" s="9">
        <f>(Paid!F48+React!F84+Legacy!F50*Legacy!F$3)*Prices!$H$13+(Subs!F92-(Paid!F48+React!F84+Legacy!F50*Legacy!F$3))*Prices!$I$13</f>
        <v/>
      </c>
      <c r="G16" s="9">
        <f>(Paid!G48+React!G84+Legacy!G50*Legacy!G$3)*Prices!$H$13+(Subs!G92-(Paid!G48+React!G84+Legacy!G50*Legacy!G$3))*Prices!$I$13</f>
        <v/>
      </c>
      <c r="H16" s="9">
        <f>(Paid!H48+React!H84+Legacy!H50*Legacy!H$3)*Prices!$H$13+(Subs!H92-(Paid!H48+React!H84+Legacy!H50*Legacy!H$3))*Prices!$I$13</f>
        <v/>
      </c>
      <c r="I16" s="9">
        <f>(Paid!I48+React!I84+Legacy!I50*Legacy!I$3)*Prices!$H$13+(Subs!I92-(Paid!I48+React!I84+Legacy!I50*Legacy!I$3))*Prices!$I$13</f>
        <v/>
      </c>
      <c r="J16" s="9">
        <f>(Paid!J48+React!J84+Legacy!J50*Legacy!J$3)*Prices!$H$13+(Subs!J92-(Paid!J48+React!J84+Legacy!J50*Legacy!J$3))*Prices!$I$13</f>
        <v/>
      </c>
      <c r="K16" s="9">
        <f>(Paid!K48+React!K84+Legacy!K50*Legacy!K$3)*Prices!$H$13+(Subs!K92-(Paid!K48+React!K84+Legacy!K50*Legacy!K$3))*Prices!$I$13</f>
        <v/>
      </c>
      <c r="L16" s="9">
        <f>(Paid!L48+React!L84+Legacy!L50*Legacy!L$3)*Prices!$H$13+(Subs!L92-(Paid!L48+React!L84+Legacy!L50*Legacy!L$3))*Prices!$I$13</f>
        <v/>
      </c>
      <c r="M16" s="9">
        <f>(Paid!M48+React!M84+Legacy!M50*Legacy!M$3)*Prices!$H$13+(Subs!M92-(Paid!M48+React!M84+Legacy!M50*Legacy!M$3))*Prices!$I$13</f>
        <v/>
      </c>
      <c r="N16" s="9">
        <f>(Paid!N48+React!N84+Legacy!N50*Legacy!N$3)*Prices!$H$13+(Subs!N92-(Paid!N48+React!N84+Legacy!N50*Legacy!N$3))*Prices!$I$13</f>
        <v/>
      </c>
      <c r="O16" s="9">
        <f>(Paid!O48+React!O84+Legacy!O50*Legacy!O$3)*Prices!$H$13+(Subs!O92-(Paid!O48+React!O84+Legacy!O50*Legacy!O$3))*Prices!$I$13</f>
        <v/>
      </c>
      <c r="P16" s="9">
        <f>(Paid!P48+React!P84+Legacy!P50*Legacy!P$3)*Prices!$H$13+(Subs!P92-(Paid!P48+React!P84+Legacy!P50*Legacy!P$3))*Prices!$I$13</f>
        <v/>
      </c>
      <c r="Q16" s="9">
        <f>(Paid!Q48+React!Q84+Legacy!Q50*Legacy!Q$3)*Prices!$H$13+(Subs!Q92-(Paid!Q48+React!Q84+Legacy!Q50*Legacy!Q$3))*Prices!$I$13</f>
        <v/>
      </c>
      <c r="R16" s="9">
        <f>(Paid!R48+React!R84+Legacy!R50*Legacy!R$3)*Prices!$H$13+(Subs!R92-(Paid!R48+React!R84+Legacy!R50*Legacy!R$3))*Prices!$I$13</f>
        <v/>
      </c>
      <c r="S16" s="9">
        <f>(Paid!S48+React!S84+Legacy!S50*Legacy!S$3)*Prices!$H$13+(Subs!S92-(Paid!S48+React!S84+Legacy!S50*Legacy!S$3))*Prices!$I$13</f>
        <v/>
      </c>
      <c r="T16" s="9">
        <f>(Paid!T48+React!T84+Legacy!T50*Legacy!T$3)*Prices!$H$13+(Subs!T92-(Paid!T48+React!T84+Legacy!T50*Legacy!T$3))*Prices!$I$13</f>
        <v/>
      </c>
      <c r="U16" s="9">
        <f>(Paid!U48+React!U84+Legacy!U50*Legacy!U$3)*Prices!$H$13+(Subs!U92-(Paid!U48+React!U84+Legacy!U50*Legacy!U$3))*Prices!$I$13</f>
        <v/>
      </c>
      <c r="V16" s="9">
        <f>(Paid!V48+React!V84+Legacy!V50*Legacy!V$3)*Prices!$H$13+(Subs!V92-(Paid!V48+React!V84+Legacy!V50*Legacy!V$3))*Prices!$I$13</f>
        <v/>
      </c>
      <c r="W16" s="9">
        <f>(Paid!W48+React!W84+Legacy!W50*Legacy!W$3)*Prices!$H$13+(Subs!W92-(Paid!W48+React!W84+Legacy!W50*Legacy!W$3))*Prices!$I$13</f>
        <v/>
      </c>
      <c r="X16" s="9">
        <f>(Paid!X48+React!X84+Legacy!X50*Legacy!X$3)*Prices!$H$13+(Subs!X92-(Paid!X48+React!X84+Legacy!X50*Legacy!X$3))*Prices!$I$13</f>
        <v/>
      </c>
      <c r="Y16" s="9">
        <f>(Paid!Y48+React!Y84+Legacy!Y50*Legacy!Y$3)*Prices!$H$13+(Subs!Y92-(Paid!Y48+React!Y84+Legacy!Y50*Legacy!Y$3))*Prices!$I$13</f>
        <v/>
      </c>
      <c r="Z16" s="9">
        <f>(Paid!Z48+React!Z84+Legacy!Z50*Legacy!Z$3)*Prices!$H$13+(Subs!Z92-(Paid!Z48+React!Z84+Legacy!Z50*Legacy!Z$3))*Prices!$I$13</f>
        <v/>
      </c>
      <c r="AA16" s="9">
        <f>(Paid!AA48+React!AA84+Legacy!AA50*Legacy!AA$3)*Prices!$H$13+(Subs!AA92-(Paid!AA48+React!AA84+Legacy!AA50*Legacy!AA$3))*Prices!$I$13</f>
        <v/>
      </c>
      <c r="AB16" s="9">
        <f>(Paid!AB48+React!AB84+Legacy!AB50*Legacy!AB$3)*Prices!$H$13+(Subs!AB92-(Paid!AB48+React!AB84+Legacy!AB50*Legacy!AB$3))*Prices!$I$13</f>
        <v/>
      </c>
      <c r="AC16" s="9">
        <f>(Paid!AC48+React!AC84+Legacy!AC50*Legacy!AC$3)*Prices!$H$13+(Subs!AC92-(Paid!AC48+React!AC84+Legacy!AC50*Legacy!AC$3))*Prices!$I$13</f>
        <v/>
      </c>
      <c r="AD16" s="9">
        <f>(Paid!AD48+React!AD84+Legacy!AD50*Legacy!AD$3)*Prices!$H$13+(Subs!AD92-(Paid!AD48+React!AD84+Legacy!AD50*Legacy!AD$3))*Prices!$I$13</f>
        <v/>
      </c>
      <c r="AE16" s="9">
        <f>(Paid!AE48+React!AE84+Legacy!AE50*Legacy!AE$3)*Prices!$H$13+(Subs!AE92-(Paid!AE48+React!AE84+Legacy!AE50*Legacy!AE$3))*Prices!$I$13</f>
        <v/>
      </c>
      <c r="AF16" s="9">
        <f>(Paid!AF48+React!AF84+Legacy!AF50*Legacy!AF$3)*Prices!$H$13+(Subs!AF92-(Paid!AF48+React!AF84+Legacy!AF50*Legacy!AF$3))*Prices!$I$13</f>
        <v/>
      </c>
      <c r="AG16" s="9">
        <f>(Paid!AG48+React!AG84+Legacy!AG50*Legacy!AG$3)*Prices!$H$13+(Subs!AG92-(Paid!AG48+React!AG84+Legacy!AG50*Legacy!AG$3))*Prices!$I$13</f>
        <v/>
      </c>
      <c r="AH16" s="9">
        <f>(Paid!AH48+React!AH84+Legacy!AH50*Legacy!AH$3)*Prices!$H$13+(Subs!AH92-(Paid!AH48+React!AH84+Legacy!AH50*Legacy!AH$3))*Prices!$I$13</f>
        <v/>
      </c>
      <c r="AI16" s="9">
        <f>(Paid!AI48+React!AI84+Legacy!AI50*Legacy!AI$3)*Prices!$H$13+(Subs!AI92-(Paid!AI48+React!AI84+Legacy!AI50*Legacy!AI$3))*Prices!$I$13</f>
        <v/>
      </c>
      <c r="AJ16" s="9">
        <f>(Paid!AJ48+React!AJ84+Legacy!AJ50*Legacy!AJ$3)*Prices!$H$13+(Subs!AJ92-(Paid!AJ48+React!AJ84+Legacy!AJ50*Legacy!AJ$3))*Prices!$I$13</f>
        <v/>
      </c>
      <c r="AK16" s="9">
        <f>(Paid!AK48+React!AK84+Legacy!AK50*Legacy!AK$3)*Prices!$H$13+(Subs!AK92-(Paid!AK48+React!AK84+Legacy!AK50*Legacy!AK$3))*Prices!$I$13</f>
        <v/>
      </c>
      <c r="AL16" s="9">
        <f>(Paid!AL48+React!AL84+Legacy!AL50*Legacy!AL$3)*Prices!$H$13+(Subs!AL92-(Paid!AL48+React!AL84+Legacy!AL50*Legacy!AL$3))*Prices!$I$13</f>
        <v/>
      </c>
      <c r="AM16" s="9">
        <f>(Paid!AM48+React!AM84+Legacy!AM50*Legacy!AM$3)*Prices!$H$13+(Subs!AM92-(Paid!AM48+React!AM84+Legacy!AM50*Legacy!AM$3))*Prices!$I$13</f>
        <v/>
      </c>
      <c r="AN16" s="9">
        <f>(Paid!AN48+React!AN84+Legacy!AN50*Legacy!AN$3)*Prices!$H$13+(Subs!AN92-(Paid!AN48+React!AN84+Legacy!AN50*Legacy!AN$3))*Prices!$I$13</f>
        <v/>
      </c>
      <c r="AO16" s="9">
        <f>(Paid!AO48+React!AO84+Legacy!AO50*Legacy!AO$3)*Prices!$H$13+(Subs!AO92-(Paid!AO48+React!AO84+Legacy!AO50*Legacy!AO$3))*Prices!$I$13</f>
        <v/>
      </c>
      <c r="AP16" s="9">
        <f>(Paid!AP48+React!AP84+Legacy!AP50*Legacy!AP$3)*Prices!$H$13+(Subs!AP92-(Paid!AP48+React!AP84+Legacy!AP50*Legacy!AP$3))*Prices!$I$13</f>
        <v/>
      </c>
      <c r="AQ16" s="9">
        <f>(Paid!AQ48+React!AQ84+Legacy!AQ50*Legacy!AQ$3)*Prices!$H$13+(Subs!AQ92-(Paid!AQ48+React!AQ84+Legacy!AQ50*Legacy!AQ$3))*Prices!$I$13</f>
        <v/>
      </c>
      <c r="AR16" s="9">
        <f>(Paid!AR48+React!AR84+Legacy!AR50*Legacy!AR$3)*Prices!$H$13+(Subs!AR92-(Paid!AR48+React!AR84+Legacy!AR50*Legacy!AR$3))*Prices!$I$13</f>
        <v/>
      </c>
      <c r="AS16" s="9">
        <f>(Paid!AS48+React!AS84+Legacy!AS50*Legacy!AS$3)*Prices!$H$13+(Subs!AS92-(Paid!AS48+React!AS84+Legacy!AS50*Legacy!AS$3))*Prices!$I$13</f>
        <v/>
      </c>
      <c r="AT16" s="9">
        <f>(Paid!AT48+React!AT84+Legacy!AT50*Legacy!AT$3)*Prices!$H$13+(Subs!AT92-(Paid!AT48+React!AT84+Legacy!AT50*Legacy!AT$3))*Prices!$I$13</f>
        <v/>
      </c>
      <c r="AU16" s="9">
        <f>(Paid!AU48+React!AU84+Legacy!AU50*Legacy!AU$3)*Prices!$H$13+(Subs!AU92-(Paid!AU48+React!AU84+Legacy!AU50*Legacy!AU$3))*Prices!$I$13</f>
        <v/>
      </c>
      <c r="AV16" s="9">
        <f>(Paid!AV48+React!AV84+Legacy!AV50*Legacy!AV$3)*Prices!$H$13+(Subs!AV92-(Paid!AV48+React!AV84+Legacy!AV50*Legacy!AV$3))*Prices!$I$13</f>
        <v/>
      </c>
      <c r="AW16" s="9">
        <f>(Paid!AW48+React!AW84+Legacy!AW50*Legacy!AW$3)*Prices!$H$13+(Subs!AW92-(Paid!AW48+React!AW84+Legacy!AW50*Legacy!AW$3))*Prices!$I$13</f>
        <v/>
      </c>
      <c r="AX16" s="9">
        <f>(Paid!AX48+React!AX84+Legacy!AX50*Legacy!AX$3)*Prices!$H$13+(Subs!AX92-(Paid!AX48+React!AX84+Legacy!AX50*Legacy!AX$3))*Prices!$I$13</f>
        <v/>
      </c>
      <c r="AY16" s="9">
        <f>(Paid!AY48+React!AY84+Legacy!AY50*Legacy!AY$3)*Prices!$H$13+(Subs!AY92-(Paid!AY48+React!AY84+Legacy!AY50*Legacy!AY$3))*Prices!$I$13</f>
        <v/>
      </c>
      <c r="AZ16" s="9">
        <f>(Paid!AZ48+React!AZ84+Legacy!AZ50*Legacy!AZ$3)*Prices!$H$13+(Subs!AZ92-(Paid!AZ48+React!AZ84+Legacy!AZ50*Legacy!AZ$3))*Prices!$I$13</f>
        <v/>
      </c>
      <c r="BA16" s="9">
        <f>(Paid!BA48+React!BA84+Legacy!BA50*Legacy!BA$3)*Prices!$H$13+(Subs!BA92-(Paid!BA48+React!BA84+Legacy!BA50*Legacy!BA$3))*Prices!$I$13</f>
        <v/>
      </c>
      <c r="BB16" s="9">
        <f>(Paid!BB48+React!BB84+Legacy!BB50*Legacy!BB$3)*Prices!$H$13+(Subs!BB92-(Paid!BB48+React!BB84+Legacy!BB50*Legacy!BB$3))*Prices!$I$13</f>
        <v/>
      </c>
      <c r="BC16" s="9">
        <f>(Paid!BC48+React!BC84+Legacy!BC50*Legacy!BC$3)*Prices!$H$13+(Subs!BC92-(Paid!BC48+React!BC84+Legacy!BC50*Legacy!BC$3))*Prices!$I$13</f>
        <v/>
      </c>
      <c r="BD16" s="9">
        <f>(Paid!BD48+React!BD84+Legacy!BD50*Legacy!BD$3)*Prices!$H$13+(Subs!BD92-(Paid!BD48+React!BD84+Legacy!BD50*Legacy!BD$3))*Prices!$I$13</f>
        <v/>
      </c>
      <c r="BE16" s="9">
        <f>(Paid!BE48+React!BE84+Legacy!BE50*Legacy!BE$3)*Prices!$H$13+(Subs!BE92-(Paid!BE48+React!BE84+Legacy!BE50*Legacy!BE$3))*Prices!$I$13</f>
        <v/>
      </c>
      <c r="BF16" s="9">
        <f>(Paid!BF48+React!BF84+Legacy!BF50*Legacy!BF$3)*Prices!$H$13+(Subs!BF92-(Paid!BF48+React!BF84+Legacy!BF50*Legacy!BF$3))*Prices!$I$13</f>
        <v/>
      </c>
      <c r="BG16" s="9">
        <f>(Paid!BG48+React!BG84+Legacy!BG50*Legacy!BG$3)*Prices!$H$13+(Subs!BG92-(Paid!BG48+React!BG84+Legacy!BG50*Legacy!BG$3))*Prices!$I$13</f>
        <v/>
      </c>
      <c r="BH16" s="9">
        <f>(Paid!BH48+React!BH84+Legacy!BH50*Legacy!BH$3)*Prices!$H$13+(Subs!BH92-(Paid!BH48+React!BH84+Legacy!BH50*Legacy!BH$3))*Prices!$I$13</f>
        <v/>
      </c>
      <c r="BI16" s="9">
        <f>(Paid!BI48+React!BI84+Legacy!BI50*Legacy!BI$3)*Prices!$H$13+(Subs!BI92-(Paid!BI48+React!BI84+Legacy!BI50*Legacy!BI$3))*Prices!$I$13</f>
        <v/>
      </c>
      <c r="BJ16" s="9">
        <f>(Paid!BJ48+React!BJ84+Legacy!BJ50*Legacy!BJ$3)*Prices!$H$13+(Subs!BJ92-(Paid!BJ48+React!BJ84+Legacy!BJ50*Legacy!BJ$3))*Prices!$I$13</f>
        <v/>
      </c>
      <c r="BK16" s="9">
        <f>(Paid!BK48+React!BK84+Legacy!BK50*Legacy!BK$3)*Prices!$H$13+(Subs!BK92-(Paid!BK48+React!BK84+Legacy!BK50*Legacy!BK$3))*Prices!$I$13</f>
        <v/>
      </c>
      <c r="BL16" s="9">
        <f>(Paid!BL48+React!BL84+Legacy!BL50*Legacy!BL$3)*Prices!$H$13+(Subs!BL92-(Paid!BL48+React!BL84+Legacy!BL50*Legacy!BL$3))*Prices!$I$13</f>
        <v/>
      </c>
      <c r="BM16" s="9">
        <f>(Paid!BM48+React!BM84+Legacy!BM50*Legacy!BM$3)*Prices!$H$13+(Subs!BM92-(Paid!BM48+React!BM84+Legacy!BM50*Legacy!BM$3))*Prices!$I$13</f>
        <v/>
      </c>
      <c r="BN16" s="9">
        <f>(Paid!BN48+React!BN84+Legacy!BN50*Legacy!BN$3)*Prices!$H$13+(Subs!BN92-(Paid!BN48+React!BN84+Legacy!BN50*Legacy!BN$3))*Prices!$I$13</f>
        <v/>
      </c>
      <c r="BO16" s="9">
        <f>(Paid!BO48+React!BO84+Legacy!BO50*Legacy!BO$3)*Prices!$H$13+(Subs!BO92-(Paid!BO48+React!BO84+Legacy!BO50*Legacy!BO$3))*Prices!$I$13</f>
        <v/>
      </c>
      <c r="BP16" s="9">
        <f>(Paid!BP48+React!BP84+Legacy!BP50*Legacy!BP$3)*Prices!$H$13+(Subs!BP92-(Paid!BP48+React!BP84+Legacy!BP50*Legacy!BP$3))*Prices!$I$13</f>
        <v/>
      </c>
      <c r="BQ16" s="9">
        <f>(Paid!BQ48+React!BQ84+Legacy!BQ50*Legacy!BQ$3)*Prices!$H$13+(Subs!BQ92-(Paid!BQ48+React!BQ84+Legacy!BQ50*Legacy!BQ$3))*Prices!$I$13</f>
        <v/>
      </c>
      <c r="BR16" s="9">
        <f>(Paid!BR48+React!BR84+Legacy!BR50*Legacy!BR$3)*Prices!$H$13+(Subs!BR92-(Paid!BR48+React!BR84+Legacy!BR50*Legacy!BR$3))*Prices!$I$13</f>
        <v/>
      </c>
      <c r="BS16" s="9">
        <f>(Paid!BS48+React!BS84+Legacy!BS50*Legacy!BS$3)*Prices!$H$13+(Subs!BS92-(Paid!BS48+React!BS84+Legacy!BS50*Legacy!BS$3))*Prices!$I$13</f>
        <v/>
      </c>
      <c r="BT16" s="9">
        <f>(Paid!BT48+React!BT84+Legacy!BT50*Legacy!BT$3)*Prices!$H$13+(Subs!BT92-(Paid!BT48+React!BT84+Legacy!BT50*Legacy!BT$3))*Prices!$I$13</f>
        <v/>
      </c>
      <c r="BU16" s="9">
        <f>(Paid!BU48+React!BU84+Legacy!BU50*Legacy!BU$3)*Prices!$H$13+(Subs!BU92-(Paid!BU48+React!BU84+Legacy!BU50*Legacy!BU$3))*Prices!$I$13</f>
        <v/>
      </c>
      <c r="BV16" s="9">
        <f>(Paid!BV48+React!BV84+Legacy!BV50*Legacy!BV$3)*Prices!$H$13+(Subs!BV92-(Paid!BV48+React!BV84+Legacy!BV50*Legacy!BV$3))*Prices!$I$13</f>
        <v/>
      </c>
    </row>
    <row r="17">
      <c r="A17" t="inlineStr">
        <is>
          <t>net revenue $</t>
        </is>
      </c>
      <c r="B17" t="inlineStr">
        <is>
          <t>APAC|NITRO_M</t>
        </is>
      </c>
      <c r="C17" s="9">
        <f>(Paid!C52+React!C91+Legacy!C54*Legacy!C$3)*Prices!$H$14+(Subs!C99-(Paid!C52+React!C91+Legacy!C54*Legacy!C$3))*Prices!$I$14</f>
        <v/>
      </c>
      <c r="D17" s="9">
        <f>(Paid!D52+React!D91+Legacy!D54*Legacy!D$3)*Prices!$H$14+(Subs!D99-(Paid!D52+React!D91+Legacy!D54*Legacy!D$3))*Prices!$I$14</f>
        <v/>
      </c>
      <c r="E17" s="9">
        <f>(Paid!E52+React!E91+Legacy!E54*Legacy!E$3)*Prices!$H$14+(Subs!E99-(Paid!E52+React!E91+Legacy!E54*Legacy!E$3))*Prices!$I$14</f>
        <v/>
      </c>
      <c r="F17" s="9">
        <f>(Paid!F52+React!F91+Legacy!F54*Legacy!F$3)*Prices!$H$14+(Subs!F99-(Paid!F52+React!F91+Legacy!F54*Legacy!F$3))*Prices!$I$14</f>
        <v/>
      </c>
      <c r="G17" s="9">
        <f>(Paid!G52+React!G91+Legacy!G54*Legacy!G$3)*Prices!$H$14+(Subs!G99-(Paid!G52+React!G91+Legacy!G54*Legacy!G$3))*Prices!$I$14</f>
        <v/>
      </c>
      <c r="H17" s="9">
        <f>(Paid!H52+React!H91+Legacy!H54*Legacy!H$3)*Prices!$H$14+(Subs!H99-(Paid!H52+React!H91+Legacy!H54*Legacy!H$3))*Prices!$I$14</f>
        <v/>
      </c>
      <c r="I17" s="9">
        <f>(Paid!I52+React!I91+Legacy!I54*Legacy!I$3)*Prices!$H$14+(Subs!I99-(Paid!I52+React!I91+Legacy!I54*Legacy!I$3))*Prices!$I$14</f>
        <v/>
      </c>
      <c r="J17" s="9">
        <f>(Paid!J52+React!J91+Legacy!J54*Legacy!J$3)*Prices!$H$14+(Subs!J99-(Paid!J52+React!J91+Legacy!J54*Legacy!J$3))*Prices!$I$14</f>
        <v/>
      </c>
      <c r="K17" s="9">
        <f>(Paid!K52+React!K91+Legacy!K54*Legacy!K$3)*Prices!$H$14+(Subs!K99-(Paid!K52+React!K91+Legacy!K54*Legacy!K$3))*Prices!$I$14</f>
        <v/>
      </c>
      <c r="L17" s="9">
        <f>(Paid!L52+React!L91+Legacy!L54*Legacy!L$3)*Prices!$H$14+(Subs!L99-(Paid!L52+React!L91+Legacy!L54*Legacy!L$3))*Prices!$I$14</f>
        <v/>
      </c>
      <c r="M17" s="9">
        <f>(Paid!M52+React!M91+Legacy!M54*Legacy!M$3)*Prices!$H$14+(Subs!M99-(Paid!M52+React!M91+Legacy!M54*Legacy!M$3))*Prices!$I$14</f>
        <v/>
      </c>
      <c r="N17" s="9">
        <f>(Paid!N52+React!N91+Legacy!N54*Legacy!N$3)*Prices!$H$14+(Subs!N99-(Paid!N52+React!N91+Legacy!N54*Legacy!N$3))*Prices!$I$14</f>
        <v/>
      </c>
      <c r="O17" s="9">
        <f>(Paid!O52+React!O91+Legacy!O54*Legacy!O$3)*Prices!$H$14+(Subs!O99-(Paid!O52+React!O91+Legacy!O54*Legacy!O$3))*Prices!$I$14</f>
        <v/>
      </c>
      <c r="P17" s="9">
        <f>(Paid!P52+React!P91+Legacy!P54*Legacy!P$3)*Prices!$H$14+(Subs!P99-(Paid!P52+React!P91+Legacy!P54*Legacy!P$3))*Prices!$I$14</f>
        <v/>
      </c>
      <c r="Q17" s="9">
        <f>(Paid!Q52+React!Q91+Legacy!Q54*Legacy!Q$3)*Prices!$H$14+(Subs!Q99-(Paid!Q52+React!Q91+Legacy!Q54*Legacy!Q$3))*Prices!$I$14</f>
        <v/>
      </c>
      <c r="R17" s="9">
        <f>(Paid!R52+React!R91+Legacy!R54*Legacy!R$3)*Prices!$H$14+(Subs!R99-(Paid!R52+React!R91+Legacy!R54*Legacy!R$3))*Prices!$I$14</f>
        <v/>
      </c>
      <c r="S17" s="9">
        <f>(Paid!S52+React!S91+Legacy!S54*Legacy!S$3)*Prices!$H$14+(Subs!S99-(Paid!S52+React!S91+Legacy!S54*Legacy!S$3))*Prices!$I$14</f>
        <v/>
      </c>
      <c r="T17" s="9">
        <f>(Paid!T52+React!T91+Legacy!T54*Legacy!T$3)*Prices!$H$14+(Subs!T99-(Paid!T52+React!T91+Legacy!T54*Legacy!T$3))*Prices!$I$14</f>
        <v/>
      </c>
      <c r="U17" s="9">
        <f>(Paid!U52+React!U91+Legacy!U54*Legacy!U$3)*Prices!$H$14+(Subs!U99-(Paid!U52+React!U91+Legacy!U54*Legacy!U$3))*Prices!$I$14</f>
        <v/>
      </c>
      <c r="V17" s="9">
        <f>(Paid!V52+React!V91+Legacy!V54*Legacy!V$3)*Prices!$H$14+(Subs!V99-(Paid!V52+React!V91+Legacy!V54*Legacy!V$3))*Prices!$I$14</f>
        <v/>
      </c>
      <c r="W17" s="9">
        <f>(Paid!W52+React!W91+Legacy!W54*Legacy!W$3)*Prices!$H$14+(Subs!W99-(Paid!W52+React!W91+Legacy!W54*Legacy!W$3))*Prices!$I$14</f>
        <v/>
      </c>
      <c r="X17" s="9">
        <f>(Paid!X52+React!X91+Legacy!X54*Legacy!X$3)*Prices!$H$14+(Subs!X99-(Paid!X52+React!X91+Legacy!X54*Legacy!X$3))*Prices!$I$14</f>
        <v/>
      </c>
      <c r="Y17" s="9">
        <f>(Paid!Y52+React!Y91+Legacy!Y54*Legacy!Y$3)*Prices!$H$14+(Subs!Y99-(Paid!Y52+React!Y91+Legacy!Y54*Legacy!Y$3))*Prices!$I$14</f>
        <v/>
      </c>
      <c r="Z17" s="9">
        <f>(Paid!Z52+React!Z91+Legacy!Z54*Legacy!Z$3)*Prices!$H$14+(Subs!Z99-(Paid!Z52+React!Z91+Legacy!Z54*Legacy!Z$3))*Prices!$I$14</f>
        <v/>
      </c>
      <c r="AA17" s="9">
        <f>(Paid!AA52+React!AA91+Legacy!AA54*Legacy!AA$3)*Prices!$H$14+(Subs!AA99-(Paid!AA52+React!AA91+Legacy!AA54*Legacy!AA$3))*Prices!$I$14</f>
        <v/>
      </c>
      <c r="AB17" s="9">
        <f>(Paid!AB52+React!AB91+Legacy!AB54*Legacy!AB$3)*Prices!$H$14+(Subs!AB99-(Paid!AB52+React!AB91+Legacy!AB54*Legacy!AB$3))*Prices!$I$14</f>
        <v/>
      </c>
      <c r="AC17" s="9">
        <f>(Paid!AC52+React!AC91+Legacy!AC54*Legacy!AC$3)*Prices!$H$14+(Subs!AC99-(Paid!AC52+React!AC91+Legacy!AC54*Legacy!AC$3))*Prices!$I$14</f>
        <v/>
      </c>
      <c r="AD17" s="9">
        <f>(Paid!AD52+React!AD91+Legacy!AD54*Legacy!AD$3)*Prices!$H$14+(Subs!AD99-(Paid!AD52+React!AD91+Legacy!AD54*Legacy!AD$3))*Prices!$I$14</f>
        <v/>
      </c>
      <c r="AE17" s="9">
        <f>(Paid!AE52+React!AE91+Legacy!AE54*Legacy!AE$3)*Prices!$H$14+(Subs!AE99-(Paid!AE52+React!AE91+Legacy!AE54*Legacy!AE$3))*Prices!$I$14</f>
        <v/>
      </c>
      <c r="AF17" s="9">
        <f>(Paid!AF52+React!AF91+Legacy!AF54*Legacy!AF$3)*Prices!$H$14+(Subs!AF99-(Paid!AF52+React!AF91+Legacy!AF54*Legacy!AF$3))*Prices!$I$14</f>
        <v/>
      </c>
      <c r="AG17" s="9">
        <f>(Paid!AG52+React!AG91+Legacy!AG54*Legacy!AG$3)*Prices!$H$14+(Subs!AG99-(Paid!AG52+React!AG91+Legacy!AG54*Legacy!AG$3))*Prices!$I$14</f>
        <v/>
      </c>
      <c r="AH17" s="9">
        <f>(Paid!AH52+React!AH91+Legacy!AH54*Legacy!AH$3)*Prices!$H$14+(Subs!AH99-(Paid!AH52+React!AH91+Legacy!AH54*Legacy!AH$3))*Prices!$I$14</f>
        <v/>
      </c>
      <c r="AI17" s="9">
        <f>(Paid!AI52+React!AI91+Legacy!AI54*Legacy!AI$3)*Prices!$H$14+(Subs!AI99-(Paid!AI52+React!AI91+Legacy!AI54*Legacy!AI$3))*Prices!$I$14</f>
        <v/>
      </c>
      <c r="AJ17" s="9">
        <f>(Paid!AJ52+React!AJ91+Legacy!AJ54*Legacy!AJ$3)*Prices!$H$14+(Subs!AJ99-(Paid!AJ52+React!AJ91+Legacy!AJ54*Legacy!AJ$3))*Prices!$I$14</f>
        <v/>
      </c>
      <c r="AK17" s="9">
        <f>(Paid!AK52+React!AK91+Legacy!AK54*Legacy!AK$3)*Prices!$H$14+(Subs!AK99-(Paid!AK52+React!AK91+Legacy!AK54*Legacy!AK$3))*Prices!$I$14</f>
        <v/>
      </c>
      <c r="AL17" s="9">
        <f>(Paid!AL52+React!AL91+Legacy!AL54*Legacy!AL$3)*Prices!$H$14+(Subs!AL99-(Paid!AL52+React!AL91+Legacy!AL54*Legacy!AL$3))*Prices!$I$14</f>
        <v/>
      </c>
      <c r="AM17" s="9">
        <f>(Paid!AM52+React!AM91+Legacy!AM54*Legacy!AM$3)*Prices!$H$14+(Subs!AM99-(Paid!AM52+React!AM91+Legacy!AM54*Legacy!AM$3))*Prices!$I$14</f>
        <v/>
      </c>
      <c r="AN17" s="9">
        <f>(Paid!AN52+React!AN91+Legacy!AN54*Legacy!AN$3)*Prices!$H$14+(Subs!AN99-(Paid!AN52+React!AN91+Legacy!AN54*Legacy!AN$3))*Prices!$I$14</f>
        <v/>
      </c>
      <c r="AO17" s="9">
        <f>(Paid!AO52+React!AO91+Legacy!AO54*Legacy!AO$3)*Prices!$H$14+(Subs!AO99-(Paid!AO52+React!AO91+Legacy!AO54*Legacy!AO$3))*Prices!$I$14</f>
        <v/>
      </c>
      <c r="AP17" s="9">
        <f>(Paid!AP52+React!AP91+Legacy!AP54*Legacy!AP$3)*Prices!$H$14+(Subs!AP99-(Paid!AP52+React!AP91+Legacy!AP54*Legacy!AP$3))*Prices!$I$14</f>
        <v/>
      </c>
      <c r="AQ17" s="9">
        <f>(Paid!AQ52+React!AQ91+Legacy!AQ54*Legacy!AQ$3)*Prices!$H$14+(Subs!AQ99-(Paid!AQ52+React!AQ91+Legacy!AQ54*Legacy!AQ$3))*Prices!$I$14</f>
        <v/>
      </c>
      <c r="AR17" s="9">
        <f>(Paid!AR52+React!AR91+Legacy!AR54*Legacy!AR$3)*Prices!$H$14+(Subs!AR99-(Paid!AR52+React!AR91+Legacy!AR54*Legacy!AR$3))*Prices!$I$14</f>
        <v/>
      </c>
      <c r="AS17" s="9">
        <f>(Paid!AS52+React!AS91+Legacy!AS54*Legacy!AS$3)*Prices!$H$14+(Subs!AS99-(Paid!AS52+React!AS91+Legacy!AS54*Legacy!AS$3))*Prices!$I$14</f>
        <v/>
      </c>
      <c r="AT17" s="9">
        <f>(Paid!AT52+React!AT91+Legacy!AT54*Legacy!AT$3)*Prices!$H$14+(Subs!AT99-(Paid!AT52+React!AT91+Legacy!AT54*Legacy!AT$3))*Prices!$I$14</f>
        <v/>
      </c>
      <c r="AU17" s="9">
        <f>(Paid!AU52+React!AU91+Legacy!AU54*Legacy!AU$3)*Prices!$H$14+(Subs!AU99-(Paid!AU52+React!AU91+Legacy!AU54*Legacy!AU$3))*Prices!$I$14</f>
        <v/>
      </c>
      <c r="AV17" s="9">
        <f>(Paid!AV52+React!AV91+Legacy!AV54*Legacy!AV$3)*Prices!$H$14+(Subs!AV99-(Paid!AV52+React!AV91+Legacy!AV54*Legacy!AV$3))*Prices!$I$14</f>
        <v/>
      </c>
      <c r="AW17" s="9">
        <f>(Paid!AW52+React!AW91+Legacy!AW54*Legacy!AW$3)*Prices!$H$14+(Subs!AW99-(Paid!AW52+React!AW91+Legacy!AW54*Legacy!AW$3))*Prices!$I$14</f>
        <v/>
      </c>
      <c r="AX17" s="9">
        <f>(Paid!AX52+React!AX91+Legacy!AX54*Legacy!AX$3)*Prices!$H$14+(Subs!AX99-(Paid!AX52+React!AX91+Legacy!AX54*Legacy!AX$3))*Prices!$I$14</f>
        <v/>
      </c>
      <c r="AY17" s="9">
        <f>(Paid!AY52+React!AY91+Legacy!AY54*Legacy!AY$3)*Prices!$H$14+(Subs!AY99-(Paid!AY52+React!AY91+Legacy!AY54*Legacy!AY$3))*Prices!$I$14</f>
        <v/>
      </c>
      <c r="AZ17" s="9">
        <f>(Paid!AZ52+React!AZ91+Legacy!AZ54*Legacy!AZ$3)*Prices!$H$14+(Subs!AZ99-(Paid!AZ52+React!AZ91+Legacy!AZ54*Legacy!AZ$3))*Prices!$I$14</f>
        <v/>
      </c>
      <c r="BA17" s="9">
        <f>(Paid!BA52+React!BA91+Legacy!BA54*Legacy!BA$3)*Prices!$H$14+(Subs!BA99-(Paid!BA52+React!BA91+Legacy!BA54*Legacy!BA$3))*Prices!$I$14</f>
        <v/>
      </c>
      <c r="BB17" s="9">
        <f>(Paid!BB52+React!BB91+Legacy!BB54*Legacy!BB$3)*Prices!$H$14+(Subs!BB99-(Paid!BB52+React!BB91+Legacy!BB54*Legacy!BB$3))*Prices!$I$14</f>
        <v/>
      </c>
      <c r="BC17" s="9">
        <f>(Paid!BC52+React!BC91+Legacy!BC54*Legacy!BC$3)*Prices!$H$14+(Subs!BC99-(Paid!BC52+React!BC91+Legacy!BC54*Legacy!BC$3))*Prices!$I$14</f>
        <v/>
      </c>
      <c r="BD17" s="9">
        <f>(Paid!BD52+React!BD91+Legacy!BD54*Legacy!BD$3)*Prices!$H$14+(Subs!BD99-(Paid!BD52+React!BD91+Legacy!BD54*Legacy!BD$3))*Prices!$I$14</f>
        <v/>
      </c>
      <c r="BE17" s="9">
        <f>(Paid!BE52+React!BE91+Legacy!BE54*Legacy!BE$3)*Prices!$H$14+(Subs!BE99-(Paid!BE52+React!BE91+Legacy!BE54*Legacy!BE$3))*Prices!$I$14</f>
        <v/>
      </c>
      <c r="BF17" s="9">
        <f>(Paid!BF52+React!BF91+Legacy!BF54*Legacy!BF$3)*Prices!$H$14+(Subs!BF99-(Paid!BF52+React!BF91+Legacy!BF54*Legacy!BF$3))*Prices!$I$14</f>
        <v/>
      </c>
      <c r="BG17" s="9">
        <f>(Paid!BG52+React!BG91+Legacy!BG54*Legacy!BG$3)*Prices!$H$14+(Subs!BG99-(Paid!BG52+React!BG91+Legacy!BG54*Legacy!BG$3))*Prices!$I$14</f>
        <v/>
      </c>
      <c r="BH17" s="9">
        <f>(Paid!BH52+React!BH91+Legacy!BH54*Legacy!BH$3)*Prices!$H$14+(Subs!BH99-(Paid!BH52+React!BH91+Legacy!BH54*Legacy!BH$3))*Prices!$I$14</f>
        <v/>
      </c>
      <c r="BI17" s="9">
        <f>(Paid!BI52+React!BI91+Legacy!BI54*Legacy!BI$3)*Prices!$H$14+(Subs!BI99-(Paid!BI52+React!BI91+Legacy!BI54*Legacy!BI$3))*Prices!$I$14</f>
        <v/>
      </c>
      <c r="BJ17" s="9">
        <f>(Paid!BJ52+React!BJ91+Legacy!BJ54*Legacy!BJ$3)*Prices!$H$14+(Subs!BJ99-(Paid!BJ52+React!BJ91+Legacy!BJ54*Legacy!BJ$3))*Prices!$I$14</f>
        <v/>
      </c>
      <c r="BK17" s="9">
        <f>(Paid!BK52+React!BK91+Legacy!BK54*Legacy!BK$3)*Prices!$H$14+(Subs!BK99-(Paid!BK52+React!BK91+Legacy!BK54*Legacy!BK$3))*Prices!$I$14</f>
        <v/>
      </c>
      <c r="BL17" s="9">
        <f>(Paid!BL52+React!BL91+Legacy!BL54*Legacy!BL$3)*Prices!$H$14+(Subs!BL99-(Paid!BL52+React!BL91+Legacy!BL54*Legacy!BL$3))*Prices!$I$14</f>
        <v/>
      </c>
      <c r="BM17" s="9">
        <f>(Paid!BM52+React!BM91+Legacy!BM54*Legacy!BM$3)*Prices!$H$14+(Subs!BM99-(Paid!BM52+React!BM91+Legacy!BM54*Legacy!BM$3))*Prices!$I$14</f>
        <v/>
      </c>
      <c r="BN17" s="9">
        <f>(Paid!BN52+React!BN91+Legacy!BN54*Legacy!BN$3)*Prices!$H$14+(Subs!BN99-(Paid!BN52+React!BN91+Legacy!BN54*Legacy!BN$3))*Prices!$I$14</f>
        <v/>
      </c>
      <c r="BO17" s="9">
        <f>(Paid!BO52+React!BO91+Legacy!BO54*Legacy!BO$3)*Prices!$H$14+(Subs!BO99-(Paid!BO52+React!BO91+Legacy!BO54*Legacy!BO$3))*Prices!$I$14</f>
        <v/>
      </c>
      <c r="BP17" s="9">
        <f>(Paid!BP52+React!BP91+Legacy!BP54*Legacy!BP$3)*Prices!$H$14+(Subs!BP99-(Paid!BP52+React!BP91+Legacy!BP54*Legacy!BP$3))*Prices!$I$14</f>
        <v/>
      </c>
      <c r="BQ17" s="9">
        <f>(Paid!BQ52+React!BQ91+Legacy!BQ54*Legacy!BQ$3)*Prices!$H$14+(Subs!BQ99-(Paid!BQ52+React!BQ91+Legacy!BQ54*Legacy!BQ$3))*Prices!$I$14</f>
        <v/>
      </c>
      <c r="BR17" s="9">
        <f>(Paid!BR52+React!BR91+Legacy!BR54*Legacy!BR$3)*Prices!$H$14+(Subs!BR99-(Paid!BR52+React!BR91+Legacy!BR54*Legacy!BR$3))*Prices!$I$14</f>
        <v/>
      </c>
      <c r="BS17" s="9">
        <f>(Paid!BS52+React!BS91+Legacy!BS54*Legacy!BS$3)*Prices!$H$14+(Subs!BS99-(Paid!BS52+React!BS91+Legacy!BS54*Legacy!BS$3))*Prices!$I$14</f>
        <v/>
      </c>
      <c r="BT17" s="9">
        <f>(Paid!BT52+React!BT91+Legacy!BT54*Legacy!BT$3)*Prices!$H$14+(Subs!BT99-(Paid!BT52+React!BT91+Legacy!BT54*Legacy!BT$3))*Prices!$I$14</f>
        <v/>
      </c>
      <c r="BU17" s="9">
        <f>(Paid!BU52+React!BU91+Legacy!BU54*Legacy!BU$3)*Prices!$H$14+(Subs!BU99-(Paid!BU52+React!BU91+Legacy!BU54*Legacy!BU$3))*Prices!$I$14</f>
        <v/>
      </c>
      <c r="BV17" s="9">
        <f>(Paid!BV52+React!BV91+Legacy!BV54*Legacy!BV$3)*Prices!$H$14+(Subs!BV99-(Paid!BV52+React!BV91+Legacy!BV54*Legacy!BV$3))*Prices!$I$14</f>
        <v/>
      </c>
    </row>
    <row r="18">
      <c r="A18" t="inlineStr">
        <is>
          <t>net revenue $</t>
        </is>
      </c>
      <c r="B18" t="inlineStr">
        <is>
          <t>APAC|NITRO_A</t>
        </is>
      </c>
      <c r="C18" s="9">
        <f>(Paid!C56+React!C98+Legacy!C58*Legacy!C$3)*Prices!$H$15+(Subs!C106-(Paid!C56+React!C98+Legacy!C58*Legacy!C$3))*Prices!$I$15</f>
        <v/>
      </c>
      <c r="D18" s="9">
        <f>(Paid!D56+React!D98+Legacy!D58*Legacy!D$3)*Prices!$H$15+(Subs!D106-(Paid!D56+React!D98+Legacy!D58*Legacy!D$3))*Prices!$I$15</f>
        <v/>
      </c>
      <c r="E18" s="9">
        <f>(Paid!E56+React!E98+Legacy!E58*Legacy!E$3)*Prices!$H$15+(Subs!E106-(Paid!E56+React!E98+Legacy!E58*Legacy!E$3))*Prices!$I$15</f>
        <v/>
      </c>
      <c r="F18" s="9">
        <f>(Paid!F56+React!F98+Legacy!F58*Legacy!F$3)*Prices!$H$15+(Subs!F106-(Paid!F56+React!F98+Legacy!F58*Legacy!F$3))*Prices!$I$15</f>
        <v/>
      </c>
      <c r="G18" s="9">
        <f>(Paid!G56+React!G98+Legacy!G58*Legacy!G$3)*Prices!$H$15+(Subs!G106-(Paid!G56+React!G98+Legacy!G58*Legacy!G$3))*Prices!$I$15</f>
        <v/>
      </c>
      <c r="H18" s="9">
        <f>(Paid!H56+React!H98+Legacy!H58*Legacy!H$3)*Prices!$H$15+(Subs!H106-(Paid!H56+React!H98+Legacy!H58*Legacy!H$3))*Prices!$I$15</f>
        <v/>
      </c>
      <c r="I18" s="9">
        <f>(Paid!I56+React!I98+Legacy!I58*Legacy!I$3)*Prices!$H$15+(Subs!I106-(Paid!I56+React!I98+Legacy!I58*Legacy!I$3))*Prices!$I$15</f>
        <v/>
      </c>
      <c r="J18" s="9">
        <f>(Paid!J56+React!J98+Legacy!J58*Legacy!J$3)*Prices!$H$15+(Subs!J106-(Paid!J56+React!J98+Legacy!J58*Legacy!J$3))*Prices!$I$15</f>
        <v/>
      </c>
      <c r="K18" s="9">
        <f>(Paid!K56+React!K98+Legacy!K58*Legacy!K$3)*Prices!$H$15+(Subs!K106-(Paid!K56+React!K98+Legacy!K58*Legacy!K$3))*Prices!$I$15</f>
        <v/>
      </c>
      <c r="L18" s="9">
        <f>(Paid!L56+React!L98+Legacy!L58*Legacy!L$3)*Prices!$H$15+(Subs!L106-(Paid!L56+React!L98+Legacy!L58*Legacy!L$3))*Prices!$I$15</f>
        <v/>
      </c>
      <c r="M18" s="9">
        <f>(Paid!M56+React!M98+Legacy!M58*Legacy!M$3)*Prices!$H$15+(Subs!M106-(Paid!M56+React!M98+Legacy!M58*Legacy!M$3))*Prices!$I$15</f>
        <v/>
      </c>
      <c r="N18" s="9">
        <f>(Paid!N56+React!N98+Legacy!N58*Legacy!N$3)*Prices!$H$15+(Subs!N106-(Paid!N56+React!N98+Legacy!N58*Legacy!N$3))*Prices!$I$15</f>
        <v/>
      </c>
      <c r="O18" s="9">
        <f>(Paid!O56+React!O98+Legacy!O58*Legacy!O$3)*Prices!$H$15+(Subs!O106-(Paid!O56+React!O98+Legacy!O58*Legacy!O$3))*Prices!$I$15</f>
        <v/>
      </c>
      <c r="P18" s="9">
        <f>(Paid!P56+React!P98+Legacy!P58*Legacy!P$3)*Prices!$H$15+(Subs!P106-(Paid!P56+React!P98+Legacy!P58*Legacy!P$3))*Prices!$I$15</f>
        <v/>
      </c>
      <c r="Q18" s="9">
        <f>(Paid!Q56+React!Q98+Legacy!Q58*Legacy!Q$3)*Prices!$H$15+(Subs!Q106-(Paid!Q56+React!Q98+Legacy!Q58*Legacy!Q$3))*Prices!$I$15</f>
        <v/>
      </c>
      <c r="R18" s="9">
        <f>(Paid!R56+React!R98+Legacy!R58*Legacy!R$3)*Prices!$H$15+(Subs!R106-(Paid!R56+React!R98+Legacy!R58*Legacy!R$3))*Prices!$I$15</f>
        <v/>
      </c>
      <c r="S18" s="9">
        <f>(Paid!S56+React!S98+Legacy!S58*Legacy!S$3)*Prices!$H$15+(Subs!S106-(Paid!S56+React!S98+Legacy!S58*Legacy!S$3))*Prices!$I$15</f>
        <v/>
      </c>
      <c r="T18" s="9">
        <f>(Paid!T56+React!T98+Legacy!T58*Legacy!T$3)*Prices!$H$15+(Subs!T106-(Paid!T56+React!T98+Legacy!T58*Legacy!T$3))*Prices!$I$15</f>
        <v/>
      </c>
      <c r="U18" s="9">
        <f>(Paid!U56+React!U98+Legacy!U58*Legacy!U$3)*Prices!$H$15+(Subs!U106-(Paid!U56+React!U98+Legacy!U58*Legacy!U$3))*Prices!$I$15</f>
        <v/>
      </c>
      <c r="V18" s="9">
        <f>(Paid!V56+React!V98+Legacy!V58*Legacy!V$3)*Prices!$H$15+(Subs!V106-(Paid!V56+React!V98+Legacy!V58*Legacy!V$3))*Prices!$I$15</f>
        <v/>
      </c>
      <c r="W18" s="9">
        <f>(Paid!W56+React!W98+Legacy!W58*Legacy!W$3)*Prices!$H$15+(Subs!W106-(Paid!W56+React!W98+Legacy!W58*Legacy!W$3))*Prices!$I$15</f>
        <v/>
      </c>
      <c r="X18" s="9">
        <f>(Paid!X56+React!X98+Legacy!X58*Legacy!X$3)*Prices!$H$15+(Subs!X106-(Paid!X56+React!X98+Legacy!X58*Legacy!X$3))*Prices!$I$15</f>
        <v/>
      </c>
      <c r="Y18" s="9">
        <f>(Paid!Y56+React!Y98+Legacy!Y58*Legacy!Y$3)*Prices!$H$15+(Subs!Y106-(Paid!Y56+React!Y98+Legacy!Y58*Legacy!Y$3))*Prices!$I$15</f>
        <v/>
      </c>
      <c r="Z18" s="9">
        <f>(Paid!Z56+React!Z98+Legacy!Z58*Legacy!Z$3)*Prices!$H$15+(Subs!Z106-(Paid!Z56+React!Z98+Legacy!Z58*Legacy!Z$3))*Prices!$I$15</f>
        <v/>
      </c>
      <c r="AA18" s="9">
        <f>(Paid!AA56+React!AA98+Legacy!AA58*Legacy!AA$3)*Prices!$H$15+(Subs!AA106-(Paid!AA56+React!AA98+Legacy!AA58*Legacy!AA$3))*Prices!$I$15</f>
        <v/>
      </c>
      <c r="AB18" s="9">
        <f>(Paid!AB56+React!AB98+Legacy!AB58*Legacy!AB$3)*Prices!$H$15+(Subs!AB106-(Paid!AB56+React!AB98+Legacy!AB58*Legacy!AB$3))*Prices!$I$15</f>
        <v/>
      </c>
      <c r="AC18" s="9">
        <f>(Paid!AC56+React!AC98+Legacy!AC58*Legacy!AC$3)*Prices!$H$15+(Subs!AC106-(Paid!AC56+React!AC98+Legacy!AC58*Legacy!AC$3))*Prices!$I$15</f>
        <v/>
      </c>
      <c r="AD18" s="9">
        <f>(Paid!AD56+React!AD98+Legacy!AD58*Legacy!AD$3)*Prices!$H$15+(Subs!AD106-(Paid!AD56+React!AD98+Legacy!AD58*Legacy!AD$3))*Prices!$I$15</f>
        <v/>
      </c>
      <c r="AE18" s="9">
        <f>(Paid!AE56+React!AE98+Legacy!AE58*Legacy!AE$3)*Prices!$H$15+(Subs!AE106-(Paid!AE56+React!AE98+Legacy!AE58*Legacy!AE$3))*Prices!$I$15</f>
        <v/>
      </c>
      <c r="AF18" s="9">
        <f>(Paid!AF56+React!AF98+Legacy!AF58*Legacy!AF$3)*Prices!$H$15+(Subs!AF106-(Paid!AF56+React!AF98+Legacy!AF58*Legacy!AF$3))*Prices!$I$15</f>
        <v/>
      </c>
      <c r="AG18" s="9">
        <f>(Paid!AG56+React!AG98+Legacy!AG58*Legacy!AG$3)*Prices!$H$15+(Subs!AG106-(Paid!AG56+React!AG98+Legacy!AG58*Legacy!AG$3))*Prices!$I$15</f>
        <v/>
      </c>
      <c r="AH18" s="9">
        <f>(Paid!AH56+React!AH98+Legacy!AH58*Legacy!AH$3)*Prices!$H$15+(Subs!AH106-(Paid!AH56+React!AH98+Legacy!AH58*Legacy!AH$3))*Prices!$I$15</f>
        <v/>
      </c>
      <c r="AI18" s="9">
        <f>(Paid!AI56+React!AI98+Legacy!AI58*Legacy!AI$3)*Prices!$H$15+(Subs!AI106-(Paid!AI56+React!AI98+Legacy!AI58*Legacy!AI$3))*Prices!$I$15</f>
        <v/>
      </c>
      <c r="AJ18" s="9">
        <f>(Paid!AJ56+React!AJ98+Legacy!AJ58*Legacy!AJ$3)*Prices!$H$15+(Subs!AJ106-(Paid!AJ56+React!AJ98+Legacy!AJ58*Legacy!AJ$3))*Prices!$I$15</f>
        <v/>
      </c>
      <c r="AK18" s="9">
        <f>(Paid!AK56+React!AK98+Legacy!AK58*Legacy!AK$3)*Prices!$H$15+(Subs!AK106-(Paid!AK56+React!AK98+Legacy!AK58*Legacy!AK$3))*Prices!$I$15</f>
        <v/>
      </c>
      <c r="AL18" s="9">
        <f>(Paid!AL56+React!AL98+Legacy!AL58*Legacy!AL$3)*Prices!$H$15+(Subs!AL106-(Paid!AL56+React!AL98+Legacy!AL58*Legacy!AL$3))*Prices!$I$15</f>
        <v/>
      </c>
      <c r="AM18" s="9">
        <f>(Paid!AM56+React!AM98+Legacy!AM58*Legacy!AM$3)*Prices!$H$15+(Subs!AM106-(Paid!AM56+React!AM98+Legacy!AM58*Legacy!AM$3))*Prices!$I$15</f>
        <v/>
      </c>
      <c r="AN18" s="9">
        <f>(Paid!AN56+React!AN98+Legacy!AN58*Legacy!AN$3)*Prices!$H$15+(Subs!AN106-(Paid!AN56+React!AN98+Legacy!AN58*Legacy!AN$3))*Prices!$I$15</f>
        <v/>
      </c>
      <c r="AO18" s="9">
        <f>(Paid!AO56+React!AO98+Legacy!AO58*Legacy!AO$3)*Prices!$H$15+(Subs!AO106-(Paid!AO56+React!AO98+Legacy!AO58*Legacy!AO$3))*Prices!$I$15</f>
        <v/>
      </c>
      <c r="AP18" s="9">
        <f>(Paid!AP56+React!AP98+Legacy!AP58*Legacy!AP$3)*Prices!$H$15+(Subs!AP106-(Paid!AP56+React!AP98+Legacy!AP58*Legacy!AP$3))*Prices!$I$15</f>
        <v/>
      </c>
      <c r="AQ18" s="9">
        <f>(Paid!AQ56+React!AQ98+Legacy!AQ58*Legacy!AQ$3)*Prices!$H$15+(Subs!AQ106-(Paid!AQ56+React!AQ98+Legacy!AQ58*Legacy!AQ$3))*Prices!$I$15</f>
        <v/>
      </c>
      <c r="AR18" s="9">
        <f>(Paid!AR56+React!AR98+Legacy!AR58*Legacy!AR$3)*Prices!$H$15+(Subs!AR106-(Paid!AR56+React!AR98+Legacy!AR58*Legacy!AR$3))*Prices!$I$15</f>
        <v/>
      </c>
      <c r="AS18" s="9">
        <f>(Paid!AS56+React!AS98+Legacy!AS58*Legacy!AS$3)*Prices!$H$15+(Subs!AS106-(Paid!AS56+React!AS98+Legacy!AS58*Legacy!AS$3))*Prices!$I$15</f>
        <v/>
      </c>
      <c r="AT18" s="9">
        <f>(Paid!AT56+React!AT98+Legacy!AT58*Legacy!AT$3)*Prices!$H$15+(Subs!AT106-(Paid!AT56+React!AT98+Legacy!AT58*Legacy!AT$3))*Prices!$I$15</f>
        <v/>
      </c>
      <c r="AU18" s="9">
        <f>(Paid!AU56+React!AU98+Legacy!AU58*Legacy!AU$3)*Prices!$H$15+(Subs!AU106-(Paid!AU56+React!AU98+Legacy!AU58*Legacy!AU$3))*Prices!$I$15</f>
        <v/>
      </c>
      <c r="AV18" s="9">
        <f>(Paid!AV56+React!AV98+Legacy!AV58*Legacy!AV$3)*Prices!$H$15+(Subs!AV106-(Paid!AV56+React!AV98+Legacy!AV58*Legacy!AV$3))*Prices!$I$15</f>
        <v/>
      </c>
      <c r="AW18" s="9">
        <f>(Paid!AW56+React!AW98+Legacy!AW58*Legacy!AW$3)*Prices!$H$15+(Subs!AW106-(Paid!AW56+React!AW98+Legacy!AW58*Legacy!AW$3))*Prices!$I$15</f>
        <v/>
      </c>
      <c r="AX18" s="9">
        <f>(Paid!AX56+React!AX98+Legacy!AX58*Legacy!AX$3)*Prices!$H$15+(Subs!AX106-(Paid!AX56+React!AX98+Legacy!AX58*Legacy!AX$3))*Prices!$I$15</f>
        <v/>
      </c>
      <c r="AY18" s="9">
        <f>(Paid!AY56+React!AY98+Legacy!AY58*Legacy!AY$3)*Prices!$H$15+(Subs!AY106-(Paid!AY56+React!AY98+Legacy!AY58*Legacy!AY$3))*Prices!$I$15</f>
        <v/>
      </c>
      <c r="AZ18" s="9">
        <f>(Paid!AZ56+React!AZ98+Legacy!AZ58*Legacy!AZ$3)*Prices!$H$15+(Subs!AZ106-(Paid!AZ56+React!AZ98+Legacy!AZ58*Legacy!AZ$3))*Prices!$I$15</f>
        <v/>
      </c>
      <c r="BA18" s="9">
        <f>(Paid!BA56+React!BA98+Legacy!BA58*Legacy!BA$3)*Prices!$H$15+(Subs!BA106-(Paid!BA56+React!BA98+Legacy!BA58*Legacy!BA$3))*Prices!$I$15</f>
        <v/>
      </c>
      <c r="BB18" s="9">
        <f>(Paid!BB56+React!BB98+Legacy!BB58*Legacy!BB$3)*Prices!$H$15+(Subs!BB106-(Paid!BB56+React!BB98+Legacy!BB58*Legacy!BB$3))*Prices!$I$15</f>
        <v/>
      </c>
      <c r="BC18" s="9">
        <f>(Paid!BC56+React!BC98+Legacy!BC58*Legacy!BC$3)*Prices!$H$15+(Subs!BC106-(Paid!BC56+React!BC98+Legacy!BC58*Legacy!BC$3))*Prices!$I$15</f>
        <v/>
      </c>
      <c r="BD18" s="9">
        <f>(Paid!BD56+React!BD98+Legacy!BD58*Legacy!BD$3)*Prices!$H$15+(Subs!BD106-(Paid!BD56+React!BD98+Legacy!BD58*Legacy!BD$3))*Prices!$I$15</f>
        <v/>
      </c>
      <c r="BE18" s="9">
        <f>(Paid!BE56+React!BE98+Legacy!BE58*Legacy!BE$3)*Prices!$H$15+(Subs!BE106-(Paid!BE56+React!BE98+Legacy!BE58*Legacy!BE$3))*Prices!$I$15</f>
        <v/>
      </c>
      <c r="BF18" s="9">
        <f>(Paid!BF56+React!BF98+Legacy!BF58*Legacy!BF$3)*Prices!$H$15+(Subs!BF106-(Paid!BF56+React!BF98+Legacy!BF58*Legacy!BF$3))*Prices!$I$15</f>
        <v/>
      </c>
      <c r="BG18" s="9">
        <f>(Paid!BG56+React!BG98+Legacy!BG58*Legacy!BG$3)*Prices!$H$15+(Subs!BG106-(Paid!BG56+React!BG98+Legacy!BG58*Legacy!BG$3))*Prices!$I$15</f>
        <v/>
      </c>
      <c r="BH18" s="9">
        <f>(Paid!BH56+React!BH98+Legacy!BH58*Legacy!BH$3)*Prices!$H$15+(Subs!BH106-(Paid!BH56+React!BH98+Legacy!BH58*Legacy!BH$3))*Prices!$I$15</f>
        <v/>
      </c>
      <c r="BI18" s="9">
        <f>(Paid!BI56+React!BI98+Legacy!BI58*Legacy!BI$3)*Prices!$H$15+(Subs!BI106-(Paid!BI56+React!BI98+Legacy!BI58*Legacy!BI$3))*Prices!$I$15</f>
        <v/>
      </c>
      <c r="BJ18" s="9">
        <f>(Paid!BJ56+React!BJ98+Legacy!BJ58*Legacy!BJ$3)*Prices!$H$15+(Subs!BJ106-(Paid!BJ56+React!BJ98+Legacy!BJ58*Legacy!BJ$3))*Prices!$I$15</f>
        <v/>
      </c>
      <c r="BK18" s="9">
        <f>(Paid!BK56+React!BK98+Legacy!BK58*Legacy!BK$3)*Prices!$H$15+(Subs!BK106-(Paid!BK56+React!BK98+Legacy!BK58*Legacy!BK$3))*Prices!$I$15</f>
        <v/>
      </c>
      <c r="BL18" s="9">
        <f>(Paid!BL56+React!BL98+Legacy!BL58*Legacy!BL$3)*Prices!$H$15+(Subs!BL106-(Paid!BL56+React!BL98+Legacy!BL58*Legacy!BL$3))*Prices!$I$15</f>
        <v/>
      </c>
      <c r="BM18" s="9">
        <f>(Paid!BM56+React!BM98+Legacy!BM58*Legacy!BM$3)*Prices!$H$15+(Subs!BM106-(Paid!BM56+React!BM98+Legacy!BM58*Legacy!BM$3))*Prices!$I$15</f>
        <v/>
      </c>
      <c r="BN18" s="9">
        <f>(Paid!BN56+React!BN98+Legacy!BN58*Legacy!BN$3)*Prices!$H$15+(Subs!BN106-(Paid!BN56+React!BN98+Legacy!BN58*Legacy!BN$3))*Prices!$I$15</f>
        <v/>
      </c>
      <c r="BO18" s="9">
        <f>(Paid!BO56+React!BO98+Legacy!BO58*Legacy!BO$3)*Prices!$H$15+(Subs!BO106-(Paid!BO56+React!BO98+Legacy!BO58*Legacy!BO$3))*Prices!$I$15</f>
        <v/>
      </c>
      <c r="BP18" s="9">
        <f>(Paid!BP56+React!BP98+Legacy!BP58*Legacy!BP$3)*Prices!$H$15+(Subs!BP106-(Paid!BP56+React!BP98+Legacy!BP58*Legacy!BP$3))*Prices!$I$15</f>
        <v/>
      </c>
      <c r="BQ18" s="9">
        <f>(Paid!BQ56+React!BQ98+Legacy!BQ58*Legacy!BQ$3)*Prices!$H$15+(Subs!BQ106-(Paid!BQ56+React!BQ98+Legacy!BQ58*Legacy!BQ$3))*Prices!$I$15</f>
        <v/>
      </c>
      <c r="BR18" s="9">
        <f>(Paid!BR56+React!BR98+Legacy!BR58*Legacy!BR$3)*Prices!$H$15+(Subs!BR106-(Paid!BR56+React!BR98+Legacy!BR58*Legacy!BR$3))*Prices!$I$15</f>
        <v/>
      </c>
      <c r="BS18" s="9">
        <f>(Paid!BS56+React!BS98+Legacy!BS58*Legacy!BS$3)*Prices!$H$15+(Subs!BS106-(Paid!BS56+React!BS98+Legacy!BS58*Legacy!BS$3))*Prices!$I$15</f>
        <v/>
      </c>
      <c r="BT18" s="9">
        <f>(Paid!BT56+React!BT98+Legacy!BT58*Legacy!BT$3)*Prices!$H$15+(Subs!BT106-(Paid!BT56+React!BT98+Legacy!BT58*Legacy!BT$3))*Prices!$I$15</f>
        <v/>
      </c>
      <c r="BU18" s="9">
        <f>(Paid!BU56+React!BU98+Legacy!BU58*Legacy!BU$3)*Prices!$H$15+(Subs!BU106-(Paid!BU56+React!BU98+Legacy!BU58*Legacy!BU$3))*Prices!$I$15</f>
        <v/>
      </c>
      <c r="BV18" s="9">
        <f>(Paid!BV56+React!BV98+Legacy!BV58*Legacy!BV$3)*Prices!$H$15+(Subs!BV106-(Paid!BV56+React!BV98+Legacy!BV58*Legacy!BV$3))*Prices!$I$15</f>
        <v/>
      </c>
    </row>
    <row r="19">
      <c r="A19" t="inlineStr">
        <is>
          <t>net revenue $</t>
        </is>
      </c>
      <c r="B19" t="inlineStr">
        <is>
          <t>APAC|BASIC_M</t>
        </is>
      </c>
      <c r="C19" s="9">
        <f>(Paid!C60+React!C105+Legacy!C62*Legacy!C$3)*Prices!$H$16+(Subs!C113-(Paid!C60+React!C105+Legacy!C62*Legacy!C$3))*Prices!$I$16</f>
        <v/>
      </c>
      <c r="D19" s="9">
        <f>(Paid!D60+React!D105+Legacy!D62*Legacy!D$3)*Prices!$H$16+(Subs!D113-(Paid!D60+React!D105+Legacy!D62*Legacy!D$3))*Prices!$I$16</f>
        <v/>
      </c>
      <c r="E19" s="9">
        <f>(Paid!E60+React!E105+Legacy!E62*Legacy!E$3)*Prices!$H$16+(Subs!E113-(Paid!E60+React!E105+Legacy!E62*Legacy!E$3))*Prices!$I$16</f>
        <v/>
      </c>
      <c r="F19" s="9">
        <f>(Paid!F60+React!F105+Legacy!F62*Legacy!F$3)*Prices!$H$16+(Subs!F113-(Paid!F60+React!F105+Legacy!F62*Legacy!F$3))*Prices!$I$16</f>
        <v/>
      </c>
      <c r="G19" s="9">
        <f>(Paid!G60+React!G105+Legacy!G62*Legacy!G$3)*Prices!$H$16+(Subs!G113-(Paid!G60+React!G105+Legacy!G62*Legacy!G$3))*Prices!$I$16</f>
        <v/>
      </c>
      <c r="H19" s="9">
        <f>(Paid!H60+React!H105+Legacy!H62*Legacy!H$3)*Prices!$H$16+(Subs!H113-(Paid!H60+React!H105+Legacy!H62*Legacy!H$3))*Prices!$I$16</f>
        <v/>
      </c>
      <c r="I19" s="9">
        <f>(Paid!I60+React!I105+Legacy!I62*Legacy!I$3)*Prices!$H$16+(Subs!I113-(Paid!I60+React!I105+Legacy!I62*Legacy!I$3))*Prices!$I$16</f>
        <v/>
      </c>
      <c r="J19" s="9">
        <f>(Paid!J60+React!J105+Legacy!J62*Legacy!J$3)*Prices!$H$16+(Subs!J113-(Paid!J60+React!J105+Legacy!J62*Legacy!J$3))*Prices!$I$16</f>
        <v/>
      </c>
      <c r="K19" s="9">
        <f>(Paid!K60+React!K105+Legacy!K62*Legacy!K$3)*Prices!$H$16+(Subs!K113-(Paid!K60+React!K105+Legacy!K62*Legacy!K$3))*Prices!$I$16</f>
        <v/>
      </c>
      <c r="L19" s="9">
        <f>(Paid!L60+React!L105+Legacy!L62*Legacy!L$3)*Prices!$H$16+(Subs!L113-(Paid!L60+React!L105+Legacy!L62*Legacy!L$3))*Prices!$I$16</f>
        <v/>
      </c>
      <c r="M19" s="9">
        <f>(Paid!M60+React!M105+Legacy!M62*Legacy!M$3)*Prices!$H$16+(Subs!M113-(Paid!M60+React!M105+Legacy!M62*Legacy!M$3))*Prices!$I$16</f>
        <v/>
      </c>
      <c r="N19" s="9">
        <f>(Paid!N60+React!N105+Legacy!N62*Legacy!N$3)*Prices!$H$16+(Subs!N113-(Paid!N60+React!N105+Legacy!N62*Legacy!N$3))*Prices!$I$16</f>
        <v/>
      </c>
      <c r="O19" s="9">
        <f>(Paid!O60+React!O105+Legacy!O62*Legacy!O$3)*Prices!$H$16+(Subs!O113-(Paid!O60+React!O105+Legacy!O62*Legacy!O$3))*Prices!$I$16</f>
        <v/>
      </c>
      <c r="P19" s="9">
        <f>(Paid!P60+React!P105+Legacy!P62*Legacy!P$3)*Prices!$H$16+(Subs!P113-(Paid!P60+React!P105+Legacy!P62*Legacy!P$3))*Prices!$I$16</f>
        <v/>
      </c>
      <c r="Q19" s="9">
        <f>(Paid!Q60+React!Q105+Legacy!Q62*Legacy!Q$3)*Prices!$H$16+(Subs!Q113-(Paid!Q60+React!Q105+Legacy!Q62*Legacy!Q$3))*Prices!$I$16</f>
        <v/>
      </c>
      <c r="R19" s="9">
        <f>(Paid!R60+React!R105+Legacy!R62*Legacy!R$3)*Prices!$H$16+(Subs!R113-(Paid!R60+React!R105+Legacy!R62*Legacy!R$3))*Prices!$I$16</f>
        <v/>
      </c>
      <c r="S19" s="9">
        <f>(Paid!S60+React!S105+Legacy!S62*Legacy!S$3)*Prices!$H$16+(Subs!S113-(Paid!S60+React!S105+Legacy!S62*Legacy!S$3))*Prices!$I$16</f>
        <v/>
      </c>
      <c r="T19" s="9">
        <f>(Paid!T60+React!T105+Legacy!T62*Legacy!T$3)*Prices!$H$16+(Subs!T113-(Paid!T60+React!T105+Legacy!T62*Legacy!T$3))*Prices!$I$16</f>
        <v/>
      </c>
      <c r="U19" s="9">
        <f>(Paid!U60+React!U105+Legacy!U62*Legacy!U$3)*Prices!$H$16+(Subs!U113-(Paid!U60+React!U105+Legacy!U62*Legacy!U$3))*Prices!$I$16</f>
        <v/>
      </c>
      <c r="V19" s="9">
        <f>(Paid!V60+React!V105+Legacy!V62*Legacy!V$3)*Prices!$H$16+(Subs!V113-(Paid!V60+React!V105+Legacy!V62*Legacy!V$3))*Prices!$I$16</f>
        <v/>
      </c>
      <c r="W19" s="9">
        <f>(Paid!W60+React!W105+Legacy!W62*Legacy!W$3)*Prices!$H$16+(Subs!W113-(Paid!W60+React!W105+Legacy!W62*Legacy!W$3))*Prices!$I$16</f>
        <v/>
      </c>
      <c r="X19" s="9">
        <f>(Paid!X60+React!X105+Legacy!X62*Legacy!X$3)*Prices!$H$16+(Subs!X113-(Paid!X60+React!X105+Legacy!X62*Legacy!X$3))*Prices!$I$16</f>
        <v/>
      </c>
      <c r="Y19" s="9">
        <f>(Paid!Y60+React!Y105+Legacy!Y62*Legacy!Y$3)*Prices!$H$16+(Subs!Y113-(Paid!Y60+React!Y105+Legacy!Y62*Legacy!Y$3))*Prices!$I$16</f>
        <v/>
      </c>
      <c r="Z19" s="9">
        <f>(Paid!Z60+React!Z105+Legacy!Z62*Legacy!Z$3)*Prices!$H$16+(Subs!Z113-(Paid!Z60+React!Z105+Legacy!Z62*Legacy!Z$3))*Prices!$I$16</f>
        <v/>
      </c>
      <c r="AA19" s="9">
        <f>(Paid!AA60+React!AA105+Legacy!AA62*Legacy!AA$3)*Prices!$H$16+(Subs!AA113-(Paid!AA60+React!AA105+Legacy!AA62*Legacy!AA$3))*Prices!$I$16</f>
        <v/>
      </c>
      <c r="AB19" s="9">
        <f>(Paid!AB60+React!AB105+Legacy!AB62*Legacy!AB$3)*Prices!$H$16+(Subs!AB113-(Paid!AB60+React!AB105+Legacy!AB62*Legacy!AB$3))*Prices!$I$16</f>
        <v/>
      </c>
      <c r="AC19" s="9">
        <f>(Paid!AC60+React!AC105+Legacy!AC62*Legacy!AC$3)*Prices!$H$16+(Subs!AC113-(Paid!AC60+React!AC105+Legacy!AC62*Legacy!AC$3))*Prices!$I$16</f>
        <v/>
      </c>
      <c r="AD19" s="9">
        <f>(Paid!AD60+React!AD105+Legacy!AD62*Legacy!AD$3)*Prices!$H$16+(Subs!AD113-(Paid!AD60+React!AD105+Legacy!AD62*Legacy!AD$3))*Prices!$I$16</f>
        <v/>
      </c>
      <c r="AE19" s="9">
        <f>(Paid!AE60+React!AE105+Legacy!AE62*Legacy!AE$3)*Prices!$H$16+(Subs!AE113-(Paid!AE60+React!AE105+Legacy!AE62*Legacy!AE$3))*Prices!$I$16</f>
        <v/>
      </c>
      <c r="AF19" s="9">
        <f>(Paid!AF60+React!AF105+Legacy!AF62*Legacy!AF$3)*Prices!$H$16+(Subs!AF113-(Paid!AF60+React!AF105+Legacy!AF62*Legacy!AF$3))*Prices!$I$16</f>
        <v/>
      </c>
      <c r="AG19" s="9">
        <f>(Paid!AG60+React!AG105+Legacy!AG62*Legacy!AG$3)*Prices!$H$16+(Subs!AG113-(Paid!AG60+React!AG105+Legacy!AG62*Legacy!AG$3))*Prices!$I$16</f>
        <v/>
      </c>
      <c r="AH19" s="9">
        <f>(Paid!AH60+React!AH105+Legacy!AH62*Legacy!AH$3)*Prices!$H$16+(Subs!AH113-(Paid!AH60+React!AH105+Legacy!AH62*Legacy!AH$3))*Prices!$I$16</f>
        <v/>
      </c>
      <c r="AI19" s="9">
        <f>(Paid!AI60+React!AI105+Legacy!AI62*Legacy!AI$3)*Prices!$H$16+(Subs!AI113-(Paid!AI60+React!AI105+Legacy!AI62*Legacy!AI$3))*Prices!$I$16</f>
        <v/>
      </c>
      <c r="AJ19" s="9">
        <f>(Paid!AJ60+React!AJ105+Legacy!AJ62*Legacy!AJ$3)*Prices!$H$16+(Subs!AJ113-(Paid!AJ60+React!AJ105+Legacy!AJ62*Legacy!AJ$3))*Prices!$I$16</f>
        <v/>
      </c>
      <c r="AK19" s="9">
        <f>(Paid!AK60+React!AK105+Legacy!AK62*Legacy!AK$3)*Prices!$H$16+(Subs!AK113-(Paid!AK60+React!AK105+Legacy!AK62*Legacy!AK$3))*Prices!$I$16</f>
        <v/>
      </c>
      <c r="AL19" s="9">
        <f>(Paid!AL60+React!AL105+Legacy!AL62*Legacy!AL$3)*Prices!$H$16+(Subs!AL113-(Paid!AL60+React!AL105+Legacy!AL62*Legacy!AL$3))*Prices!$I$16</f>
        <v/>
      </c>
      <c r="AM19" s="9">
        <f>(Paid!AM60+React!AM105+Legacy!AM62*Legacy!AM$3)*Prices!$H$16+(Subs!AM113-(Paid!AM60+React!AM105+Legacy!AM62*Legacy!AM$3))*Prices!$I$16</f>
        <v/>
      </c>
      <c r="AN19" s="9">
        <f>(Paid!AN60+React!AN105+Legacy!AN62*Legacy!AN$3)*Prices!$H$16+(Subs!AN113-(Paid!AN60+React!AN105+Legacy!AN62*Legacy!AN$3))*Prices!$I$16</f>
        <v/>
      </c>
      <c r="AO19" s="9">
        <f>(Paid!AO60+React!AO105+Legacy!AO62*Legacy!AO$3)*Prices!$H$16+(Subs!AO113-(Paid!AO60+React!AO105+Legacy!AO62*Legacy!AO$3))*Prices!$I$16</f>
        <v/>
      </c>
      <c r="AP19" s="9">
        <f>(Paid!AP60+React!AP105+Legacy!AP62*Legacy!AP$3)*Prices!$H$16+(Subs!AP113-(Paid!AP60+React!AP105+Legacy!AP62*Legacy!AP$3))*Prices!$I$16</f>
        <v/>
      </c>
      <c r="AQ19" s="9">
        <f>(Paid!AQ60+React!AQ105+Legacy!AQ62*Legacy!AQ$3)*Prices!$H$16+(Subs!AQ113-(Paid!AQ60+React!AQ105+Legacy!AQ62*Legacy!AQ$3))*Prices!$I$16</f>
        <v/>
      </c>
      <c r="AR19" s="9">
        <f>(Paid!AR60+React!AR105+Legacy!AR62*Legacy!AR$3)*Prices!$H$16+(Subs!AR113-(Paid!AR60+React!AR105+Legacy!AR62*Legacy!AR$3))*Prices!$I$16</f>
        <v/>
      </c>
      <c r="AS19" s="9">
        <f>(Paid!AS60+React!AS105+Legacy!AS62*Legacy!AS$3)*Prices!$H$16+(Subs!AS113-(Paid!AS60+React!AS105+Legacy!AS62*Legacy!AS$3))*Prices!$I$16</f>
        <v/>
      </c>
      <c r="AT19" s="9">
        <f>(Paid!AT60+React!AT105+Legacy!AT62*Legacy!AT$3)*Prices!$H$16+(Subs!AT113-(Paid!AT60+React!AT105+Legacy!AT62*Legacy!AT$3))*Prices!$I$16</f>
        <v/>
      </c>
      <c r="AU19" s="9">
        <f>(Paid!AU60+React!AU105+Legacy!AU62*Legacy!AU$3)*Prices!$H$16+(Subs!AU113-(Paid!AU60+React!AU105+Legacy!AU62*Legacy!AU$3))*Prices!$I$16</f>
        <v/>
      </c>
      <c r="AV19" s="9">
        <f>(Paid!AV60+React!AV105+Legacy!AV62*Legacy!AV$3)*Prices!$H$16+(Subs!AV113-(Paid!AV60+React!AV105+Legacy!AV62*Legacy!AV$3))*Prices!$I$16</f>
        <v/>
      </c>
      <c r="AW19" s="9">
        <f>(Paid!AW60+React!AW105+Legacy!AW62*Legacy!AW$3)*Prices!$H$16+(Subs!AW113-(Paid!AW60+React!AW105+Legacy!AW62*Legacy!AW$3))*Prices!$I$16</f>
        <v/>
      </c>
      <c r="AX19" s="9">
        <f>(Paid!AX60+React!AX105+Legacy!AX62*Legacy!AX$3)*Prices!$H$16+(Subs!AX113-(Paid!AX60+React!AX105+Legacy!AX62*Legacy!AX$3))*Prices!$I$16</f>
        <v/>
      </c>
      <c r="AY19" s="9">
        <f>(Paid!AY60+React!AY105+Legacy!AY62*Legacy!AY$3)*Prices!$H$16+(Subs!AY113-(Paid!AY60+React!AY105+Legacy!AY62*Legacy!AY$3))*Prices!$I$16</f>
        <v/>
      </c>
      <c r="AZ19" s="9">
        <f>(Paid!AZ60+React!AZ105+Legacy!AZ62*Legacy!AZ$3)*Prices!$H$16+(Subs!AZ113-(Paid!AZ60+React!AZ105+Legacy!AZ62*Legacy!AZ$3))*Prices!$I$16</f>
        <v/>
      </c>
      <c r="BA19" s="9">
        <f>(Paid!BA60+React!BA105+Legacy!BA62*Legacy!BA$3)*Prices!$H$16+(Subs!BA113-(Paid!BA60+React!BA105+Legacy!BA62*Legacy!BA$3))*Prices!$I$16</f>
        <v/>
      </c>
      <c r="BB19" s="9">
        <f>(Paid!BB60+React!BB105+Legacy!BB62*Legacy!BB$3)*Prices!$H$16+(Subs!BB113-(Paid!BB60+React!BB105+Legacy!BB62*Legacy!BB$3))*Prices!$I$16</f>
        <v/>
      </c>
      <c r="BC19" s="9">
        <f>(Paid!BC60+React!BC105+Legacy!BC62*Legacy!BC$3)*Prices!$H$16+(Subs!BC113-(Paid!BC60+React!BC105+Legacy!BC62*Legacy!BC$3))*Prices!$I$16</f>
        <v/>
      </c>
      <c r="BD19" s="9">
        <f>(Paid!BD60+React!BD105+Legacy!BD62*Legacy!BD$3)*Prices!$H$16+(Subs!BD113-(Paid!BD60+React!BD105+Legacy!BD62*Legacy!BD$3))*Prices!$I$16</f>
        <v/>
      </c>
      <c r="BE19" s="9">
        <f>(Paid!BE60+React!BE105+Legacy!BE62*Legacy!BE$3)*Prices!$H$16+(Subs!BE113-(Paid!BE60+React!BE105+Legacy!BE62*Legacy!BE$3))*Prices!$I$16</f>
        <v/>
      </c>
      <c r="BF19" s="9">
        <f>(Paid!BF60+React!BF105+Legacy!BF62*Legacy!BF$3)*Prices!$H$16+(Subs!BF113-(Paid!BF60+React!BF105+Legacy!BF62*Legacy!BF$3))*Prices!$I$16</f>
        <v/>
      </c>
      <c r="BG19" s="9">
        <f>(Paid!BG60+React!BG105+Legacy!BG62*Legacy!BG$3)*Prices!$H$16+(Subs!BG113-(Paid!BG60+React!BG105+Legacy!BG62*Legacy!BG$3))*Prices!$I$16</f>
        <v/>
      </c>
      <c r="BH19" s="9">
        <f>(Paid!BH60+React!BH105+Legacy!BH62*Legacy!BH$3)*Prices!$H$16+(Subs!BH113-(Paid!BH60+React!BH105+Legacy!BH62*Legacy!BH$3))*Prices!$I$16</f>
        <v/>
      </c>
      <c r="BI19" s="9">
        <f>(Paid!BI60+React!BI105+Legacy!BI62*Legacy!BI$3)*Prices!$H$16+(Subs!BI113-(Paid!BI60+React!BI105+Legacy!BI62*Legacy!BI$3))*Prices!$I$16</f>
        <v/>
      </c>
      <c r="BJ19" s="9">
        <f>(Paid!BJ60+React!BJ105+Legacy!BJ62*Legacy!BJ$3)*Prices!$H$16+(Subs!BJ113-(Paid!BJ60+React!BJ105+Legacy!BJ62*Legacy!BJ$3))*Prices!$I$16</f>
        <v/>
      </c>
      <c r="BK19" s="9">
        <f>(Paid!BK60+React!BK105+Legacy!BK62*Legacy!BK$3)*Prices!$H$16+(Subs!BK113-(Paid!BK60+React!BK105+Legacy!BK62*Legacy!BK$3))*Prices!$I$16</f>
        <v/>
      </c>
      <c r="BL19" s="9">
        <f>(Paid!BL60+React!BL105+Legacy!BL62*Legacy!BL$3)*Prices!$H$16+(Subs!BL113-(Paid!BL60+React!BL105+Legacy!BL62*Legacy!BL$3))*Prices!$I$16</f>
        <v/>
      </c>
      <c r="BM19" s="9">
        <f>(Paid!BM60+React!BM105+Legacy!BM62*Legacy!BM$3)*Prices!$H$16+(Subs!BM113-(Paid!BM60+React!BM105+Legacy!BM62*Legacy!BM$3))*Prices!$I$16</f>
        <v/>
      </c>
      <c r="BN19" s="9">
        <f>(Paid!BN60+React!BN105+Legacy!BN62*Legacy!BN$3)*Prices!$H$16+(Subs!BN113-(Paid!BN60+React!BN105+Legacy!BN62*Legacy!BN$3))*Prices!$I$16</f>
        <v/>
      </c>
      <c r="BO19" s="9">
        <f>(Paid!BO60+React!BO105+Legacy!BO62*Legacy!BO$3)*Prices!$H$16+(Subs!BO113-(Paid!BO60+React!BO105+Legacy!BO62*Legacy!BO$3))*Prices!$I$16</f>
        <v/>
      </c>
      <c r="BP19" s="9">
        <f>(Paid!BP60+React!BP105+Legacy!BP62*Legacy!BP$3)*Prices!$H$16+(Subs!BP113-(Paid!BP60+React!BP105+Legacy!BP62*Legacy!BP$3))*Prices!$I$16</f>
        <v/>
      </c>
      <c r="BQ19" s="9">
        <f>(Paid!BQ60+React!BQ105+Legacy!BQ62*Legacy!BQ$3)*Prices!$H$16+(Subs!BQ113-(Paid!BQ60+React!BQ105+Legacy!BQ62*Legacy!BQ$3))*Prices!$I$16</f>
        <v/>
      </c>
      <c r="BR19" s="9">
        <f>(Paid!BR60+React!BR105+Legacy!BR62*Legacy!BR$3)*Prices!$H$16+(Subs!BR113-(Paid!BR60+React!BR105+Legacy!BR62*Legacy!BR$3))*Prices!$I$16</f>
        <v/>
      </c>
      <c r="BS19" s="9">
        <f>(Paid!BS60+React!BS105+Legacy!BS62*Legacy!BS$3)*Prices!$H$16+(Subs!BS113-(Paid!BS60+React!BS105+Legacy!BS62*Legacy!BS$3))*Prices!$I$16</f>
        <v/>
      </c>
      <c r="BT19" s="9">
        <f>(Paid!BT60+React!BT105+Legacy!BT62*Legacy!BT$3)*Prices!$H$16+(Subs!BT113-(Paid!BT60+React!BT105+Legacy!BT62*Legacy!BT$3))*Prices!$I$16</f>
        <v/>
      </c>
      <c r="BU19" s="9">
        <f>(Paid!BU60+React!BU105+Legacy!BU62*Legacy!BU$3)*Prices!$H$16+(Subs!BU113-(Paid!BU60+React!BU105+Legacy!BU62*Legacy!BU$3))*Prices!$I$16</f>
        <v/>
      </c>
      <c r="BV19" s="9">
        <f>(Paid!BV60+React!BV105+Legacy!BV62*Legacy!BV$3)*Prices!$H$16+(Subs!BV113-(Paid!BV60+React!BV105+Legacy!BV62*Legacy!BV$3))*Prices!$I$16</f>
        <v/>
      </c>
    </row>
    <row r="20">
      <c r="A20" t="inlineStr">
        <is>
          <t>net revenue $</t>
        </is>
      </c>
      <c r="B20" t="inlineStr">
        <is>
          <t>APAC|BASIC_A</t>
        </is>
      </c>
      <c r="C20" s="9">
        <f>(Paid!C64+React!C112+Legacy!C66*Legacy!C$3)*Prices!$H$17+(Subs!C120-(Paid!C64+React!C112+Legacy!C66*Legacy!C$3))*Prices!$I$17</f>
        <v/>
      </c>
      <c r="D20" s="9">
        <f>(Paid!D64+React!D112+Legacy!D66*Legacy!D$3)*Prices!$H$17+(Subs!D120-(Paid!D64+React!D112+Legacy!D66*Legacy!D$3))*Prices!$I$17</f>
        <v/>
      </c>
      <c r="E20" s="9">
        <f>(Paid!E64+React!E112+Legacy!E66*Legacy!E$3)*Prices!$H$17+(Subs!E120-(Paid!E64+React!E112+Legacy!E66*Legacy!E$3))*Prices!$I$17</f>
        <v/>
      </c>
      <c r="F20" s="9">
        <f>(Paid!F64+React!F112+Legacy!F66*Legacy!F$3)*Prices!$H$17+(Subs!F120-(Paid!F64+React!F112+Legacy!F66*Legacy!F$3))*Prices!$I$17</f>
        <v/>
      </c>
      <c r="G20" s="9">
        <f>(Paid!G64+React!G112+Legacy!G66*Legacy!G$3)*Prices!$H$17+(Subs!G120-(Paid!G64+React!G112+Legacy!G66*Legacy!G$3))*Prices!$I$17</f>
        <v/>
      </c>
      <c r="H20" s="9">
        <f>(Paid!H64+React!H112+Legacy!H66*Legacy!H$3)*Prices!$H$17+(Subs!H120-(Paid!H64+React!H112+Legacy!H66*Legacy!H$3))*Prices!$I$17</f>
        <v/>
      </c>
      <c r="I20" s="9">
        <f>(Paid!I64+React!I112+Legacy!I66*Legacy!I$3)*Prices!$H$17+(Subs!I120-(Paid!I64+React!I112+Legacy!I66*Legacy!I$3))*Prices!$I$17</f>
        <v/>
      </c>
      <c r="J20" s="9">
        <f>(Paid!J64+React!J112+Legacy!J66*Legacy!J$3)*Prices!$H$17+(Subs!J120-(Paid!J64+React!J112+Legacy!J66*Legacy!J$3))*Prices!$I$17</f>
        <v/>
      </c>
      <c r="K20" s="9">
        <f>(Paid!K64+React!K112+Legacy!K66*Legacy!K$3)*Prices!$H$17+(Subs!K120-(Paid!K64+React!K112+Legacy!K66*Legacy!K$3))*Prices!$I$17</f>
        <v/>
      </c>
      <c r="L20" s="9">
        <f>(Paid!L64+React!L112+Legacy!L66*Legacy!L$3)*Prices!$H$17+(Subs!L120-(Paid!L64+React!L112+Legacy!L66*Legacy!L$3))*Prices!$I$17</f>
        <v/>
      </c>
      <c r="M20" s="9">
        <f>(Paid!M64+React!M112+Legacy!M66*Legacy!M$3)*Prices!$H$17+(Subs!M120-(Paid!M64+React!M112+Legacy!M66*Legacy!M$3))*Prices!$I$17</f>
        <v/>
      </c>
      <c r="N20" s="9">
        <f>(Paid!N64+React!N112+Legacy!N66*Legacy!N$3)*Prices!$H$17+(Subs!N120-(Paid!N64+React!N112+Legacy!N66*Legacy!N$3))*Prices!$I$17</f>
        <v/>
      </c>
      <c r="O20" s="9">
        <f>(Paid!O64+React!O112+Legacy!O66*Legacy!O$3)*Prices!$H$17+(Subs!O120-(Paid!O64+React!O112+Legacy!O66*Legacy!O$3))*Prices!$I$17</f>
        <v/>
      </c>
      <c r="P20" s="9">
        <f>(Paid!P64+React!P112+Legacy!P66*Legacy!P$3)*Prices!$H$17+(Subs!P120-(Paid!P64+React!P112+Legacy!P66*Legacy!P$3))*Prices!$I$17</f>
        <v/>
      </c>
      <c r="Q20" s="9">
        <f>(Paid!Q64+React!Q112+Legacy!Q66*Legacy!Q$3)*Prices!$H$17+(Subs!Q120-(Paid!Q64+React!Q112+Legacy!Q66*Legacy!Q$3))*Prices!$I$17</f>
        <v/>
      </c>
      <c r="R20" s="9">
        <f>(Paid!R64+React!R112+Legacy!R66*Legacy!R$3)*Prices!$H$17+(Subs!R120-(Paid!R64+React!R112+Legacy!R66*Legacy!R$3))*Prices!$I$17</f>
        <v/>
      </c>
      <c r="S20" s="9">
        <f>(Paid!S64+React!S112+Legacy!S66*Legacy!S$3)*Prices!$H$17+(Subs!S120-(Paid!S64+React!S112+Legacy!S66*Legacy!S$3))*Prices!$I$17</f>
        <v/>
      </c>
      <c r="T20" s="9">
        <f>(Paid!T64+React!T112+Legacy!T66*Legacy!T$3)*Prices!$H$17+(Subs!T120-(Paid!T64+React!T112+Legacy!T66*Legacy!T$3))*Prices!$I$17</f>
        <v/>
      </c>
      <c r="U20" s="9">
        <f>(Paid!U64+React!U112+Legacy!U66*Legacy!U$3)*Prices!$H$17+(Subs!U120-(Paid!U64+React!U112+Legacy!U66*Legacy!U$3))*Prices!$I$17</f>
        <v/>
      </c>
      <c r="V20" s="9">
        <f>(Paid!V64+React!V112+Legacy!V66*Legacy!V$3)*Prices!$H$17+(Subs!V120-(Paid!V64+React!V112+Legacy!V66*Legacy!V$3))*Prices!$I$17</f>
        <v/>
      </c>
      <c r="W20" s="9">
        <f>(Paid!W64+React!W112+Legacy!W66*Legacy!W$3)*Prices!$H$17+(Subs!W120-(Paid!W64+React!W112+Legacy!W66*Legacy!W$3))*Prices!$I$17</f>
        <v/>
      </c>
      <c r="X20" s="9">
        <f>(Paid!X64+React!X112+Legacy!X66*Legacy!X$3)*Prices!$H$17+(Subs!X120-(Paid!X64+React!X112+Legacy!X66*Legacy!X$3))*Prices!$I$17</f>
        <v/>
      </c>
      <c r="Y20" s="9">
        <f>(Paid!Y64+React!Y112+Legacy!Y66*Legacy!Y$3)*Prices!$H$17+(Subs!Y120-(Paid!Y64+React!Y112+Legacy!Y66*Legacy!Y$3))*Prices!$I$17</f>
        <v/>
      </c>
      <c r="Z20" s="9">
        <f>(Paid!Z64+React!Z112+Legacy!Z66*Legacy!Z$3)*Prices!$H$17+(Subs!Z120-(Paid!Z64+React!Z112+Legacy!Z66*Legacy!Z$3))*Prices!$I$17</f>
        <v/>
      </c>
      <c r="AA20" s="9">
        <f>(Paid!AA64+React!AA112+Legacy!AA66*Legacy!AA$3)*Prices!$H$17+(Subs!AA120-(Paid!AA64+React!AA112+Legacy!AA66*Legacy!AA$3))*Prices!$I$17</f>
        <v/>
      </c>
      <c r="AB20" s="9">
        <f>(Paid!AB64+React!AB112+Legacy!AB66*Legacy!AB$3)*Prices!$H$17+(Subs!AB120-(Paid!AB64+React!AB112+Legacy!AB66*Legacy!AB$3))*Prices!$I$17</f>
        <v/>
      </c>
      <c r="AC20" s="9">
        <f>(Paid!AC64+React!AC112+Legacy!AC66*Legacy!AC$3)*Prices!$H$17+(Subs!AC120-(Paid!AC64+React!AC112+Legacy!AC66*Legacy!AC$3))*Prices!$I$17</f>
        <v/>
      </c>
      <c r="AD20" s="9">
        <f>(Paid!AD64+React!AD112+Legacy!AD66*Legacy!AD$3)*Prices!$H$17+(Subs!AD120-(Paid!AD64+React!AD112+Legacy!AD66*Legacy!AD$3))*Prices!$I$17</f>
        <v/>
      </c>
      <c r="AE20" s="9">
        <f>(Paid!AE64+React!AE112+Legacy!AE66*Legacy!AE$3)*Prices!$H$17+(Subs!AE120-(Paid!AE64+React!AE112+Legacy!AE66*Legacy!AE$3))*Prices!$I$17</f>
        <v/>
      </c>
      <c r="AF20" s="9">
        <f>(Paid!AF64+React!AF112+Legacy!AF66*Legacy!AF$3)*Prices!$H$17+(Subs!AF120-(Paid!AF64+React!AF112+Legacy!AF66*Legacy!AF$3))*Prices!$I$17</f>
        <v/>
      </c>
      <c r="AG20" s="9">
        <f>(Paid!AG64+React!AG112+Legacy!AG66*Legacy!AG$3)*Prices!$H$17+(Subs!AG120-(Paid!AG64+React!AG112+Legacy!AG66*Legacy!AG$3))*Prices!$I$17</f>
        <v/>
      </c>
      <c r="AH20" s="9">
        <f>(Paid!AH64+React!AH112+Legacy!AH66*Legacy!AH$3)*Prices!$H$17+(Subs!AH120-(Paid!AH64+React!AH112+Legacy!AH66*Legacy!AH$3))*Prices!$I$17</f>
        <v/>
      </c>
      <c r="AI20" s="9">
        <f>(Paid!AI64+React!AI112+Legacy!AI66*Legacy!AI$3)*Prices!$H$17+(Subs!AI120-(Paid!AI64+React!AI112+Legacy!AI66*Legacy!AI$3))*Prices!$I$17</f>
        <v/>
      </c>
      <c r="AJ20" s="9">
        <f>(Paid!AJ64+React!AJ112+Legacy!AJ66*Legacy!AJ$3)*Prices!$H$17+(Subs!AJ120-(Paid!AJ64+React!AJ112+Legacy!AJ66*Legacy!AJ$3))*Prices!$I$17</f>
        <v/>
      </c>
      <c r="AK20" s="9">
        <f>(Paid!AK64+React!AK112+Legacy!AK66*Legacy!AK$3)*Prices!$H$17+(Subs!AK120-(Paid!AK64+React!AK112+Legacy!AK66*Legacy!AK$3))*Prices!$I$17</f>
        <v/>
      </c>
      <c r="AL20" s="9">
        <f>(Paid!AL64+React!AL112+Legacy!AL66*Legacy!AL$3)*Prices!$H$17+(Subs!AL120-(Paid!AL64+React!AL112+Legacy!AL66*Legacy!AL$3))*Prices!$I$17</f>
        <v/>
      </c>
      <c r="AM20" s="9">
        <f>(Paid!AM64+React!AM112+Legacy!AM66*Legacy!AM$3)*Prices!$H$17+(Subs!AM120-(Paid!AM64+React!AM112+Legacy!AM66*Legacy!AM$3))*Prices!$I$17</f>
        <v/>
      </c>
      <c r="AN20" s="9">
        <f>(Paid!AN64+React!AN112+Legacy!AN66*Legacy!AN$3)*Prices!$H$17+(Subs!AN120-(Paid!AN64+React!AN112+Legacy!AN66*Legacy!AN$3))*Prices!$I$17</f>
        <v/>
      </c>
      <c r="AO20" s="9">
        <f>(Paid!AO64+React!AO112+Legacy!AO66*Legacy!AO$3)*Prices!$H$17+(Subs!AO120-(Paid!AO64+React!AO112+Legacy!AO66*Legacy!AO$3))*Prices!$I$17</f>
        <v/>
      </c>
      <c r="AP20" s="9">
        <f>(Paid!AP64+React!AP112+Legacy!AP66*Legacy!AP$3)*Prices!$H$17+(Subs!AP120-(Paid!AP64+React!AP112+Legacy!AP66*Legacy!AP$3))*Prices!$I$17</f>
        <v/>
      </c>
      <c r="AQ20" s="9">
        <f>(Paid!AQ64+React!AQ112+Legacy!AQ66*Legacy!AQ$3)*Prices!$H$17+(Subs!AQ120-(Paid!AQ64+React!AQ112+Legacy!AQ66*Legacy!AQ$3))*Prices!$I$17</f>
        <v/>
      </c>
      <c r="AR20" s="9">
        <f>(Paid!AR64+React!AR112+Legacy!AR66*Legacy!AR$3)*Prices!$H$17+(Subs!AR120-(Paid!AR64+React!AR112+Legacy!AR66*Legacy!AR$3))*Prices!$I$17</f>
        <v/>
      </c>
      <c r="AS20" s="9">
        <f>(Paid!AS64+React!AS112+Legacy!AS66*Legacy!AS$3)*Prices!$H$17+(Subs!AS120-(Paid!AS64+React!AS112+Legacy!AS66*Legacy!AS$3))*Prices!$I$17</f>
        <v/>
      </c>
      <c r="AT20" s="9">
        <f>(Paid!AT64+React!AT112+Legacy!AT66*Legacy!AT$3)*Prices!$H$17+(Subs!AT120-(Paid!AT64+React!AT112+Legacy!AT66*Legacy!AT$3))*Prices!$I$17</f>
        <v/>
      </c>
      <c r="AU20" s="9">
        <f>(Paid!AU64+React!AU112+Legacy!AU66*Legacy!AU$3)*Prices!$H$17+(Subs!AU120-(Paid!AU64+React!AU112+Legacy!AU66*Legacy!AU$3))*Prices!$I$17</f>
        <v/>
      </c>
      <c r="AV20" s="9">
        <f>(Paid!AV64+React!AV112+Legacy!AV66*Legacy!AV$3)*Prices!$H$17+(Subs!AV120-(Paid!AV64+React!AV112+Legacy!AV66*Legacy!AV$3))*Prices!$I$17</f>
        <v/>
      </c>
      <c r="AW20" s="9">
        <f>(Paid!AW64+React!AW112+Legacy!AW66*Legacy!AW$3)*Prices!$H$17+(Subs!AW120-(Paid!AW64+React!AW112+Legacy!AW66*Legacy!AW$3))*Prices!$I$17</f>
        <v/>
      </c>
      <c r="AX20" s="9">
        <f>(Paid!AX64+React!AX112+Legacy!AX66*Legacy!AX$3)*Prices!$H$17+(Subs!AX120-(Paid!AX64+React!AX112+Legacy!AX66*Legacy!AX$3))*Prices!$I$17</f>
        <v/>
      </c>
      <c r="AY20" s="9">
        <f>(Paid!AY64+React!AY112+Legacy!AY66*Legacy!AY$3)*Prices!$H$17+(Subs!AY120-(Paid!AY64+React!AY112+Legacy!AY66*Legacy!AY$3))*Prices!$I$17</f>
        <v/>
      </c>
      <c r="AZ20" s="9">
        <f>(Paid!AZ64+React!AZ112+Legacy!AZ66*Legacy!AZ$3)*Prices!$H$17+(Subs!AZ120-(Paid!AZ64+React!AZ112+Legacy!AZ66*Legacy!AZ$3))*Prices!$I$17</f>
        <v/>
      </c>
      <c r="BA20" s="9">
        <f>(Paid!BA64+React!BA112+Legacy!BA66*Legacy!BA$3)*Prices!$H$17+(Subs!BA120-(Paid!BA64+React!BA112+Legacy!BA66*Legacy!BA$3))*Prices!$I$17</f>
        <v/>
      </c>
      <c r="BB20" s="9">
        <f>(Paid!BB64+React!BB112+Legacy!BB66*Legacy!BB$3)*Prices!$H$17+(Subs!BB120-(Paid!BB64+React!BB112+Legacy!BB66*Legacy!BB$3))*Prices!$I$17</f>
        <v/>
      </c>
      <c r="BC20" s="9">
        <f>(Paid!BC64+React!BC112+Legacy!BC66*Legacy!BC$3)*Prices!$H$17+(Subs!BC120-(Paid!BC64+React!BC112+Legacy!BC66*Legacy!BC$3))*Prices!$I$17</f>
        <v/>
      </c>
      <c r="BD20" s="9">
        <f>(Paid!BD64+React!BD112+Legacy!BD66*Legacy!BD$3)*Prices!$H$17+(Subs!BD120-(Paid!BD64+React!BD112+Legacy!BD66*Legacy!BD$3))*Prices!$I$17</f>
        <v/>
      </c>
      <c r="BE20" s="9">
        <f>(Paid!BE64+React!BE112+Legacy!BE66*Legacy!BE$3)*Prices!$H$17+(Subs!BE120-(Paid!BE64+React!BE112+Legacy!BE66*Legacy!BE$3))*Prices!$I$17</f>
        <v/>
      </c>
      <c r="BF20" s="9">
        <f>(Paid!BF64+React!BF112+Legacy!BF66*Legacy!BF$3)*Prices!$H$17+(Subs!BF120-(Paid!BF64+React!BF112+Legacy!BF66*Legacy!BF$3))*Prices!$I$17</f>
        <v/>
      </c>
      <c r="BG20" s="9">
        <f>(Paid!BG64+React!BG112+Legacy!BG66*Legacy!BG$3)*Prices!$H$17+(Subs!BG120-(Paid!BG64+React!BG112+Legacy!BG66*Legacy!BG$3))*Prices!$I$17</f>
        <v/>
      </c>
      <c r="BH20" s="9">
        <f>(Paid!BH64+React!BH112+Legacy!BH66*Legacy!BH$3)*Prices!$H$17+(Subs!BH120-(Paid!BH64+React!BH112+Legacy!BH66*Legacy!BH$3))*Prices!$I$17</f>
        <v/>
      </c>
      <c r="BI20" s="9">
        <f>(Paid!BI64+React!BI112+Legacy!BI66*Legacy!BI$3)*Prices!$H$17+(Subs!BI120-(Paid!BI64+React!BI112+Legacy!BI66*Legacy!BI$3))*Prices!$I$17</f>
        <v/>
      </c>
      <c r="BJ20" s="9">
        <f>(Paid!BJ64+React!BJ112+Legacy!BJ66*Legacy!BJ$3)*Prices!$H$17+(Subs!BJ120-(Paid!BJ64+React!BJ112+Legacy!BJ66*Legacy!BJ$3))*Prices!$I$17</f>
        <v/>
      </c>
      <c r="BK20" s="9">
        <f>(Paid!BK64+React!BK112+Legacy!BK66*Legacy!BK$3)*Prices!$H$17+(Subs!BK120-(Paid!BK64+React!BK112+Legacy!BK66*Legacy!BK$3))*Prices!$I$17</f>
        <v/>
      </c>
      <c r="BL20" s="9">
        <f>(Paid!BL64+React!BL112+Legacy!BL66*Legacy!BL$3)*Prices!$H$17+(Subs!BL120-(Paid!BL64+React!BL112+Legacy!BL66*Legacy!BL$3))*Prices!$I$17</f>
        <v/>
      </c>
      <c r="BM20" s="9">
        <f>(Paid!BM64+React!BM112+Legacy!BM66*Legacy!BM$3)*Prices!$H$17+(Subs!BM120-(Paid!BM64+React!BM112+Legacy!BM66*Legacy!BM$3))*Prices!$I$17</f>
        <v/>
      </c>
      <c r="BN20" s="9">
        <f>(Paid!BN64+React!BN112+Legacy!BN66*Legacy!BN$3)*Prices!$H$17+(Subs!BN120-(Paid!BN64+React!BN112+Legacy!BN66*Legacy!BN$3))*Prices!$I$17</f>
        <v/>
      </c>
      <c r="BO20" s="9">
        <f>(Paid!BO64+React!BO112+Legacy!BO66*Legacy!BO$3)*Prices!$H$17+(Subs!BO120-(Paid!BO64+React!BO112+Legacy!BO66*Legacy!BO$3))*Prices!$I$17</f>
        <v/>
      </c>
      <c r="BP20" s="9">
        <f>(Paid!BP64+React!BP112+Legacy!BP66*Legacy!BP$3)*Prices!$H$17+(Subs!BP120-(Paid!BP64+React!BP112+Legacy!BP66*Legacy!BP$3))*Prices!$I$17</f>
        <v/>
      </c>
      <c r="BQ20" s="9">
        <f>(Paid!BQ64+React!BQ112+Legacy!BQ66*Legacy!BQ$3)*Prices!$H$17+(Subs!BQ120-(Paid!BQ64+React!BQ112+Legacy!BQ66*Legacy!BQ$3))*Prices!$I$17</f>
        <v/>
      </c>
      <c r="BR20" s="9">
        <f>(Paid!BR64+React!BR112+Legacy!BR66*Legacy!BR$3)*Prices!$H$17+(Subs!BR120-(Paid!BR64+React!BR112+Legacy!BR66*Legacy!BR$3))*Prices!$I$17</f>
        <v/>
      </c>
      <c r="BS20" s="9">
        <f>(Paid!BS64+React!BS112+Legacy!BS66*Legacy!BS$3)*Prices!$H$17+(Subs!BS120-(Paid!BS64+React!BS112+Legacy!BS66*Legacy!BS$3))*Prices!$I$17</f>
        <v/>
      </c>
      <c r="BT20" s="9">
        <f>(Paid!BT64+React!BT112+Legacy!BT66*Legacy!BT$3)*Prices!$H$17+(Subs!BT120-(Paid!BT64+React!BT112+Legacy!BT66*Legacy!BT$3))*Prices!$I$17</f>
        <v/>
      </c>
      <c r="BU20" s="9">
        <f>(Paid!BU64+React!BU112+Legacy!BU66*Legacy!BU$3)*Prices!$H$17+(Subs!BU120-(Paid!BU64+React!BU112+Legacy!BU66*Legacy!BU$3))*Prices!$I$17</f>
        <v/>
      </c>
      <c r="BV20" s="9">
        <f>(Paid!BV64+React!BV112+Legacy!BV66*Legacy!BV$3)*Prices!$H$17+(Subs!BV120-(Paid!BV64+React!BV112+Legacy!BV66*Legacy!BV$3))*Prices!$I$17</f>
        <v/>
      </c>
    </row>
    <row r="21">
      <c r="A21" t="inlineStr">
        <is>
          <t>net revenue $</t>
        </is>
      </c>
      <c r="B21" t="inlineStr">
        <is>
          <t>ROW|NITRO_M</t>
        </is>
      </c>
      <c r="C21" s="9">
        <f>(Paid!C68+React!C119+Legacy!C70*Legacy!C$3)*Prices!$H$18+(Subs!C127-(Paid!C68+React!C119+Legacy!C70*Legacy!C$3))*Prices!$I$18</f>
        <v/>
      </c>
      <c r="D21" s="9">
        <f>(Paid!D68+React!D119+Legacy!D70*Legacy!D$3)*Prices!$H$18+(Subs!D127-(Paid!D68+React!D119+Legacy!D70*Legacy!D$3))*Prices!$I$18</f>
        <v/>
      </c>
      <c r="E21" s="9">
        <f>(Paid!E68+React!E119+Legacy!E70*Legacy!E$3)*Prices!$H$18+(Subs!E127-(Paid!E68+React!E119+Legacy!E70*Legacy!E$3))*Prices!$I$18</f>
        <v/>
      </c>
      <c r="F21" s="9">
        <f>(Paid!F68+React!F119+Legacy!F70*Legacy!F$3)*Prices!$H$18+(Subs!F127-(Paid!F68+React!F119+Legacy!F70*Legacy!F$3))*Prices!$I$18</f>
        <v/>
      </c>
      <c r="G21" s="9">
        <f>(Paid!G68+React!G119+Legacy!G70*Legacy!G$3)*Prices!$H$18+(Subs!G127-(Paid!G68+React!G119+Legacy!G70*Legacy!G$3))*Prices!$I$18</f>
        <v/>
      </c>
      <c r="H21" s="9">
        <f>(Paid!H68+React!H119+Legacy!H70*Legacy!H$3)*Prices!$H$18+(Subs!H127-(Paid!H68+React!H119+Legacy!H70*Legacy!H$3))*Prices!$I$18</f>
        <v/>
      </c>
      <c r="I21" s="9">
        <f>(Paid!I68+React!I119+Legacy!I70*Legacy!I$3)*Prices!$H$18+(Subs!I127-(Paid!I68+React!I119+Legacy!I70*Legacy!I$3))*Prices!$I$18</f>
        <v/>
      </c>
      <c r="J21" s="9">
        <f>(Paid!J68+React!J119+Legacy!J70*Legacy!J$3)*Prices!$H$18+(Subs!J127-(Paid!J68+React!J119+Legacy!J70*Legacy!J$3))*Prices!$I$18</f>
        <v/>
      </c>
      <c r="K21" s="9">
        <f>(Paid!K68+React!K119+Legacy!K70*Legacy!K$3)*Prices!$H$18+(Subs!K127-(Paid!K68+React!K119+Legacy!K70*Legacy!K$3))*Prices!$I$18</f>
        <v/>
      </c>
      <c r="L21" s="9">
        <f>(Paid!L68+React!L119+Legacy!L70*Legacy!L$3)*Prices!$H$18+(Subs!L127-(Paid!L68+React!L119+Legacy!L70*Legacy!L$3))*Prices!$I$18</f>
        <v/>
      </c>
      <c r="M21" s="9">
        <f>(Paid!M68+React!M119+Legacy!M70*Legacy!M$3)*Prices!$H$18+(Subs!M127-(Paid!M68+React!M119+Legacy!M70*Legacy!M$3))*Prices!$I$18</f>
        <v/>
      </c>
      <c r="N21" s="9">
        <f>(Paid!N68+React!N119+Legacy!N70*Legacy!N$3)*Prices!$H$18+(Subs!N127-(Paid!N68+React!N119+Legacy!N70*Legacy!N$3))*Prices!$I$18</f>
        <v/>
      </c>
      <c r="O21" s="9">
        <f>(Paid!O68+React!O119+Legacy!O70*Legacy!O$3)*Prices!$H$18+(Subs!O127-(Paid!O68+React!O119+Legacy!O70*Legacy!O$3))*Prices!$I$18</f>
        <v/>
      </c>
      <c r="P21" s="9">
        <f>(Paid!P68+React!P119+Legacy!P70*Legacy!P$3)*Prices!$H$18+(Subs!P127-(Paid!P68+React!P119+Legacy!P70*Legacy!P$3))*Prices!$I$18</f>
        <v/>
      </c>
      <c r="Q21" s="9">
        <f>(Paid!Q68+React!Q119+Legacy!Q70*Legacy!Q$3)*Prices!$H$18+(Subs!Q127-(Paid!Q68+React!Q119+Legacy!Q70*Legacy!Q$3))*Prices!$I$18</f>
        <v/>
      </c>
      <c r="R21" s="9">
        <f>(Paid!R68+React!R119+Legacy!R70*Legacy!R$3)*Prices!$H$18+(Subs!R127-(Paid!R68+React!R119+Legacy!R70*Legacy!R$3))*Prices!$I$18</f>
        <v/>
      </c>
      <c r="S21" s="9">
        <f>(Paid!S68+React!S119+Legacy!S70*Legacy!S$3)*Prices!$H$18+(Subs!S127-(Paid!S68+React!S119+Legacy!S70*Legacy!S$3))*Prices!$I$18</f>
        <v/>
      </c>
      <c r="T21" s="9">
        <f>(Paid!T68+React!T119+Legacy!T70*Legacy!T$3)*Prices!$H$18+(Subs!T127-(Paid!T68+React!T119+Legacy!T70*Legacy!T$3))*Prices!$I$18</f>
        <v/>
      </c>
      <c r="U21" s="9">
        <f>(Paid!U68+React!U119+Legacy!U70*Legacy!U$3)*Prices!$H$18+(Subs!U127-(Paid!U68+React!U119+Legacy!U70*Legacy!U$3))*Prices!$I$18</f>
        <v/>
      </c>
      <c r="V21" s="9">
        <f>(Paid!V68+React!V119+Legacy!V70*Legacy!V$3)*Prices!$H$18+(Subs!V127-(Paid!V68+React!V119+Legacy!V70*Legacy!V$3))*Prices!$I$18</f>
        <v/>
      </c>
      <c r="W21" s="9">
        <f>(Paid!W68+React!W119+Legacy!W70*Legacy!W$3)*Prices!$H$18+(Subs!W127-(Paid!W68+React!W119+Legacy!W70*Legacy!W$3))*Prices!$I$18</f>
        <v/>
      </c>
      <c r="X21" s="9">
        <f>(Paid!X68+React!X119+Legacy!X70*Legacy!X$3)*Prices!$H$18+(Subs!X127-(Paid!X68+React!X119+Legacy!X70*Legacy!X$3))*Prices!$I$18</f>
        <v/>
      </c>
      <c r="Y21" s="9">
        <f>(Paid!Y68+React!Y119+Legacy!Y70*Legacy!Y$3)*Prices!$H$18+(Subs!Y127-(Paid!Y68+React!Y119+Legacy!Y70*Legacy!Y$3))*Prices!$I$18</f>
        <v/>
      </c>
      <c r="Z21" s="9">
        <f>(Paid!Z68+React!Z119+Legacy!Z70*Legacy!Z$3)*Prices!$H$18+(Subs!Z127-(Paid!Z68+React!Z119+Legacy!Z70*Legacy!Z$3))*Prices!$I$18</f>
        <v/>
      </c>
      <c r="AA21" s="9">
        <f>(Paid!AA68+React!AA119+Legacy!AA70*Legacy!AA$3)*Prices!$H$18+(Subs!AA127-(Paid!AA68+React!AA119+Legacy!AA70*Legacy!AA$3))*Prices!$I$18</f>
        <v/>
      </c>
      <c r="AB21" s="9">
        <f>(Paid!AB68+React!AB119+Legacy!AB70*Legacy!AB$3)*Prices!$H$18+(Subs!AB127-(Paid!AB68+React!AB119+Legacy!AB70*Legacy!AB$3))*Prices!$I$18</f>
        <v/>
      </c>
      <c r="AC21" s="9">
        <f>(Paid!AC68+React!AC119+Legacy!AC70*Legacy!AC$3)*Prices!$H$18+(Subs!AC127-(Paid!AC68+React!AC119+Legacy!AC70*Legacy!AC$3))*Prices!$I$18</f>
        <v/>
      </c>
      <c r="AD21" s="9">
        <f>(Paid!AD68+React!AD119+Legacy!AD70*Legacy!AD$3)*Prices!$H$18+(Subs!AD127-(Paid!AD68+React!AD119+Legacy!AD70*Legacy!AD$3))*Prices!$I$18</f>
        <v/>
      </c>
      <c r="AE21" s="9">
        <f>(Paid!AE68+React!AE119+Legacy!AE70*Legacy!AE$3)*Prices!$H$18+(Subs!AE127-(Paid!AE68+React!AE119+Legacy!AE70*Legacy!AE$3))*Prices!$I$18</f>
        <v/>
      </c>
      <c r="AF21" s="9">
        <f>(Paid!AF68+React!AF119+Legacy!AF70*Legacy!AF$3)*Prices!$H$18+(Subs!AF127-(Paid!AF68+React!AF119+Legacy!AF70*Legacy!AF$3))*Prices!$I$18</f>
        <v/>
      </c>
      <c r="AG21" s="9">
        <f>(Paid!AG68+React!AG119+Legacy!AG70*Legacy!AG$3)*Prices!$H$18+(Subs!AG127-(Paid!AG68+React!AG119+Legacy!AG70*Legacy!AG$3))*Prices!$I$18</f>
        <v/>
      </c>
      <c r="AH21" s="9">
        <f>(Paid!AH68+React!AH119+Legacy!AH70*Legacy!AH$3)*Prices!$H$18+(Subs!AH127-(Paid!AH68+React!AH119+Legacy!AH70*Legacy!AH$3))*Prices!$I$18</f>
        <v/>
      </c>
      <c r="AI21" s="9">
        <f>(Paid!AI68+React!AI119+Legacy!AI70*Legacy!AI$3)*Prices!$H$18+(Subs!AI127-(Paid!AI68+React!AI119+Legacy!AI70*Legacy!AI$3))*Prices!$I$18</f>
        <v/>
      </c>
      <c r="AJ21" s="9">
        <f>(Paid!AJ68+React!AJ119+Legacy!AJ70*Legacy!AJ$3)*Prices!$H$18+(Subs!AJ127-(Paid!AJ68+React!AJ119+Legacy!AJ70*Legacy!AJ$3))*Prices!$I$18</f>
        <v/>
      </c>
      <c r="AK21" s="9">
        <f>(Paid!AK68+React!AK119+Legacy!AK70*Legacy!AK$3)*Prices!$H$18+(Subs!AK127-(Paid!AK68+React!AK119+Legacy!AK70*Legacy!AK$3))*Prices!$I$18</f>
        <v/>
      </c>
      <c r="AL21" s="9">
        <f>(Paid!AL68+React!AL119+Legacy!AL70*Legacy!AL$3)*Prices!$H$18+(Subs!AL127-(Paid!AL68+React!AL119+Legacy!AL70*Legacy!AL$3))*Prices!$I$18</f>
        <v/>
      </c>
      <c r="AM21" s="9">
        <f>(Paid!AM68+React!AM119+Legacy!AM70*Legacy!AM$3)*Prices!$H$18+(Subs!AM127-(Paid!AM68+React!AM119+Legacy!AM70*Legacy!AM$3))*Prices!$I$18</f>
        <v/>
      </c>
      <c r="AN21" s="9">
        <f>(Paid!AN68+React!AN119+Legacy!AN70*Legacy!AN$3)*Prices!$H$18+(Subs!AN127-(Paid!AN68+React!AN119+Legacy!AN70*Legacy!AN$3))*Prices!$I$18</f>
        <v/>
      </c>
      <c r="AO21" s="9">
        <f>(Paid!AO68+React!AO119+Legacy!AO70*Legacy!AO$3)*Prices!$H$18+(Subs!AO127-(Paid!AO68+React!AO119+Legacy!AO70*Legacy!AO$3))*Prices!$I$18</f>
        <v/>
      </c>
      <c r="AP21" s="9">
        <f>(Paid!AP68+React!AP119+Legacy!AP70*Legacy!AP$3)*Prices!$H$18+(Subs!AP127-(Paid!AP68+React!AP119+Legacy!AP70*Legacy!AP$3))*Prices!$I$18</f>
        <v/>
      </c>
      <c r="AQ21" s="9">
        <f>(Paid!AQ68+React!AQ119+Legacy!AQ70*Legacy!AQ$3)*Prices!$H$18+(Subs!AQ127-(Paid!AQ68+React!AQ119+Legacy!AQ70*Legacy!AQ$3))*Prices!$I$18</f>
        <v/>
      </c>
      <c r="AR21" s="9">
        <f>(Paid!AR68+React!AR119+Legacy!AR70*Legacy!AR$3)*Prices!$H$18+(Subs!AR127-(Paid!AR68+React!AR119+Legacy!AR70*Legacy!AR$3))*Prices!$I$18</f>
        <v/>
      </c>
      <c r="AS21" s="9">
        <f>(Paid!AS68+React!AS119+Legacy!AS70*Legacy!AS$3)*Prices!$H$18+(Subs!AS127-(Paid!AS68+React!AS119+Legacy!AS70*Legacy!AS$3))*Prices!$I$18</f>
        <v/>
      </c>
      <c r="AT21" s="9">
        <f>(Paid!AT68+React!AT119+Legacy!AT70*Legacy!AT$3)*Prices!$H$18+(Subs!AT127-(Paid!AT68+React!AT119+Legacy!AT70*Legacy!AT$3))*Prices!$I$18</f>
        <v/>
      </c>
      <c r="AU21" s="9">
        <f>(Paid!AU68+React!AU119+Legacy!AU70*Legacy!AU$3)*Prices!$H$18+(Subs!AU127-(Paid!AU68+React!AU119+Legacy!AU70*Legacy!AU$3))*Prices!$I$18</f>
        <v/>
      </c>
      <c r="AV21" s="9">
        <f>(Paid!AV68+React!AV119+Legacy!AV70*Legacy!AV$3)*Prices!$H$18+(Subs!AV127-(Paid!AV68+React!AV119+Legacy!AV70*Legacy!AV$3))*Prices!$I$18</f>
        <v/>
      </c>
      <c r="AW21" s="9">
        <f>(Paid!AW68+React!AW119+Legacy!AW70*Legacy!AW$3)*Prices!$H$18+(Subs!AW127-(Paid!AW68+React!AW119+Legacy!AW70*Legacy!AW$3))*Prices!$I$18</f>
        <v/>
      </c>
      <c r="AX21" s="9">
        <f>(Paid!AX68+React!AX119+Legacy!AX70*Legacy!AX$3)*Prices!$H$18+(Subs!AX127-(Paid!AX68+React!AX119+Legacy!AX70*Legacy!AX$3))*Prices!$I$18</f>
        <v/>
      </c>
      <c r="AY21" s="9">
        <f>(Paid!AY68+React!AY119+Legacy!AY70*Legacy!AY$3)*Prices!$H$18+(Subs!AY127-(Paid!AY68+React!AY119+Legacy!AY70*Legacy!AY$3))*Prices!$I$18</f>
        <v/>
      </c>
      <c r="AZ21" s="9">
        <f>(Paid!AZ68+React!AZ119+Legacy!AZ70*Legacy!AZ$3)*Prices!$H$18+(Subs!AZ127-(Paid!AZ68+React!AZ119+Legacy!AZ70*Legacy!AZ$3))*Prices!$I$18</f>
        <v/>
      </c>
      <c r="BA21" s="9">
        <f>(Paid!BA68+React!BA119+Legacy!BA70*Legacy!BA$3)*Prices!$H$18+(Subs!BA127-(Paid!BA68+React!BA119+Legacy!BA70*Legacy!BA$3))*Prices!$I$18</f>
        <v/>
      </c>
      <c r="BB21" s="9">
        <f>(Paid!BB68+React!BB119+Legacy!BB70*Legacy!BB$3)*Prices!$H$18+(Subs!BB127-(Paid!BB68+React!BB119+Legacy!BB70*Legacy!BB$3))*Prices!$I$18</f>
        <v/>
      </c>
      <c r="BC21" s="9">
        <f>(Paid!BC68+React!BC119+Legacy!BC70*Legacy!BC$3)*Prices!$H$18+(Subs!BC127-(Paid!BC68+React!BC119+Legacy!BC70*Legacy!BC$3))*Prices!$I$18</f>
        <v/>
      </c>
      <c r="BD21" s="9">
        <f>(Paid!BD68+React!BD119+Legacy!BD70*Legacy!BD$3)*Prices!$H$18+(Subs!BD127-(Paid!BD68+React!BD119+Legacy!BD70*Legacy!BD$3))*Prices!$I$18</f>
        <v/>
      </c>
      <c r="BE21" s="9">
        <f>(Paid!BE68+React!BE119+Legacy!BE70*Legacy!BE$3)*Prices!$H$18+(Subs!BE127-(Paid!BE68+React!BE119+Legacy!BE70*Legacy!BE$3))*Prices!$I$18</f>
        <v/>
      </c>
      <c r="BF21" s="9">
        <f>(Paid!BF68+React!BF119+Legacy!BF70*Legacy!BF$3)*Prices!$H$18+(Subs!BF127-(Paid!BF68+React!BF119+Legacy!BF70*Legacy!BF$3))*Prices!$I$18</f>
        <v/>
      </c>
      <c r="BG21" s="9">
        <f>(Paid!BG68+React!BG119+Legacy!BG70*Legacy!BG$3)*Prices!$H$18+(Subs!BG127-(Paid!BG68+React!BG119+Legacy!BG70*Legacy!BG$3))*Prices!$I$18</f>
        <v/>
      </c>
      <c r="BH21" s="9">
        <f>(Paid!BH68+React!BH119+Legacy!BH70*Legacy!BH$3)*Prices!$H$18+(Subs!BH127-(Paid!BH68+React!BH119+Legacy!BH70*Legacy!BH$3))*Prices!$I$18</f>
        <v/>
      </c>
      <c r="BI21" s="9">
        <f>(Paid!BI68+React!BI119+Legacy!BI70*Legacy!BI$3)*Prices!$H$18+(Subs!BI127-(Paid!BI68+React!BI119+Legacy!BI70*Legacy!BI$3))*Prices!$I$18</f>
        <v/>
      </c>
      <c r="BJ21" s="9">
        <f>(Paid!BJ68+React!BJ119+Legacy!BJ70*Legacy!BJ$3)*Prices!$H$18+(Subs!BJ127-(Paid!BJ68+React!BJ119+Legacy!BJ70*Legacy!BJ$3))*Prices!$I$18</f>
        <v/>
      </c>
      <c r="BK21" s="9">
        <f>(Paid!BK68+React!BK119+Legacy!BK70*Legacy!BK$3)*Prices!$H$18+(Subs!BK127-(Paid!BK68+React!BK119+Legacy!BK70*Legacy!BK$3))*Prices!$I$18</f>
        <v/>
      </c>
      <c r="BL21" s="9">
        <f>(Paid!BL68+React!BL119+Legacy!BL70*Legacy!BL$3)*Prices!$H$18+(Subs!BL127-(Paid!BL68+React!BL119+Legacy!BL70*Legacy!BL$3))*Prices!$I$18</f>
        <v/>
      </c>
      <c r="BM21" s="9">
        <f>(Paid!BM68+React!BM119+Legacy!BM70*Legacy!BM$3)*Prices!$H$18+(Subs!BM127-(Paid!BM68+React!BM119+Legacy!BM70*Legacy!BM$3))*Prices!$I$18</f>
        <v/>
      </c>
      <c r="BN21" s="9">
        <f>(Paid!BN68+React!BN119+Legacy!BN70*Legacy!BN$3)*Prices!$H$18+(Subs!BN127-(Paid!BN68+React!BN119+Legacy!BN70*Legacy!BN$3))*Prices!$I$18</f>
        <v/>
      </c>
      <c r="BO21" s="9">
        <f>(Paid!BO68+React!BO119+Legacy!BO70*Legacy!BO$3)*Prices!$H$18+(Subs!BO127-(Paid!BO68+React!BO119+Legacy!BO70*Legacy!BO$3))*Prices!$I$18</f>
        <v/>
      </c>
      <c r="BP21" s="9">
        <f>(Paid!BP68+React!BP119+Legacy!BP70*Legacy!BP$3)*Prices!$H$18+(Subs!BP127-(Paid!BP68+React!BP119+Legacy!BP70*Legacy!BP$3))*Prices!$I$18</f>
        <v/>
      </c>
      <c r="BQ21" s="9">
        <f>(Paid!BQ68+React!BQ119+Legacy!BQ70*Legacy!BQ$3)*Prices!$H$18+(Subs!BQ127-(Paid!BQ68+React!BQ119+Legacy!BQ70*Legacy!BQ$3))*Prices!$I$18</f>
        <v/>
      </c>
      <c r="BR21" s="9">
        <f>(Paid!BR68+React!BR119+Legacy!BR70*Legacy!BR$3)*Prices!$H$18+(Subs!BR127-(Paid!BR68+React!BR119+Legacy!BR70*Legacy!BR$3))*Prices!$I$18</f>
        <v/>
      </c>
      <c r="BS21" s="9">
        <f>(Paid!BS68+React!BS119+Legacy!BS70*Legacy!BS$3)*Prices!$H$18+(Subs!BS127-(Paid!BS68+React!BS119+Legacy!BS70*Legacy!BS$3))*Prices!$I$18</f>
        <v/>
      </c>
      <c r="BT21" s="9">
        <f>(Paid!BT68+React!BT119+Legacy!BT70*Legacy!BT$3)*Prices!$H$18+(Subs!BT127-(Paid!BT68+React!BT119+Legacy!BT70*Legacy!BT$3))*Prices!$I$18</f>
        <v/>
      </c>
      <c r="BU21" s="9">
        <f>(Paid!BU68+React!BU119+Legacy!BU70*Legacy!BU$3)*Prices!$H$18+(Subs!BU127-(Paid!BU68+React!BU119+Legacy!BU70*Legacy!BU$3))*Prices!$I$18</f>
        <v/>
      </c>
      <c r="BV21" s="9">
        <f>(Paid!BV68+React!BV119+Legacy!BV70*Legacy!BV$3)*Prices!$H$18+(Subs!BV127-(Paid!BV68+React!BV119+Legacy!BV70*Legacy!BV$3))*Prices!$I$18</f>
        <v/>
      </c>
    </row>
    <row r="22">
      <c r="A22" t="inlineStr">
        <is>
          <t>net revenue $</t>
        </is>
      </c>
      <c r="B22" t="inlineStr">
        <is>
          <t>ROW|NITRO_A</t>
        </is>
      </c>
      <c r="C22" s="9">
        <f>(Paid!C72+React!C126+Legacy!C74*Legacy!C$3)*Prices!$H$19+(Subs!C134-(Paid!C72+React!C126+Legacy!C74*Legacy!C$3))*Prices!$I$19</f>
        <v/>
      </c>
      <c r="D22" s="9">
        <f>(Paid!D72+React!D126+Legacy!D74*Legacy!D$3)*Prices!$H$19+(Subs!D134-(Paid!D72+React!D126+Legacy!D74*Legacy!D$3))*Prices!$I$19</f>
        <v/>
      </c>
      <c r="E22" s="9">
        <f>(Paid!E72+React!E126+Legacy!E74*Legacy!E$3)*Prices!$H$19+(Subs!E134-(Paid!E72+React!E126+Legacy!E74*Legacy!E$3))*Prices!$I$19</f>
        <v/>
      </c>
      <c r="F22" s="9">
        <f>(Paid!F72+React!F126+Legacy!F74*Legacy!F$3)*Prices!$H$19+(Subs!F134-(Paid!F72+React!F126+Legacy!F74*Legacy!F$3))*Prices!$I$19</f>
        <v/>
      </c>
      <c r="G22" s="9">
        <f>(Paid!G72+React!G126+Legacy!G74*Legacy!G$3)*Prices!$H$19+(Subs!G134-(Paid!G72+React!G126+Legacy!G74*Legacy!G$3))*Prices!$I$19</f>
        <v/>
      </c>
      <c r="H22" s="9">
        <f>(Paid!H72+React!H126+Legacy!H74*Legacy!H$3)*Prices!$H$19+(Subs!H134-(Paid!H72+React!H126+Legacy!H74*Legacy!H$3))*Prices!$I$19</f>
        <v/>
      </c>
      <c r="I22" s="9">
        <f>(Paid!I72+React!I126+Legacy!I74*Legacy!I$3)*Prices!$H$19+(Subs!I134-(Paid!I72+React!I126+Legacy!I74*Legacy!I$3))*Prices!$I$19</f>
        <v/>
      </c>
      <c r="J22" s="9">
        <f>(Paid!J72+React!J126+Legacy!J74*Legacy!J$3)*Prices!$H$19+(Subs!J134-(Paid!J72+React!J126+Legacy!J74*Legacy!J$3))*Prices!$I$19</f>
        <v/>
      </c>
      <c r="K22" s="9">
        <f>(Paid!K72+React!K126+Legacy!K74*Legacy!K$3)*Prices!$H$19+(Subs!K134-(Paid!K72+React!K126+Legacy!K74*Legacy!K$3))*Prices!$I$19</f>
        <v/>
      </c>
      <c r="L22" s="9">
        <f>(Paid!L72+React!L126+Legacy!L74*Legacy!L$3)*Prices!$H$19+(Subs!L134-(Paid!L72+React!L126+Legacy!L74*Legacy!L$3))*Prices!$I$19</f>
        <v/>
      </c>
      <c r="M22" s="9">
        <f>(Paid!M72+React!M126+Legacy!M74*Legacy!M$3)*Prices!$H$19+(Subs!M134-(Paid!M72+React!M126+Legacy!M74*Legacy!M$3))*Prices!$I$19</f>
        <v/>
      </c>
      <c r="N22" s="9">
        <f>(Paid!N72+React!N126+Legacy!N74*Legacy!N$3)*Prices!$H$19+(Subs!N134-(Paid!N72+React!N126+Legacy!N74*Legacy!N$3))*Prices!$I$19</f>
        <v/>
      </c>
      <c r="O22" s="9">
        <f>(Paid!O72+React!O126+Legacy!O74*Legacy!O$3)*Prices!$H$19+(Subs!O134-(Paid!O72+React!O126+Legacy!O74*Legacy!O$3))*Prices!$I$19</f>
        <v/>
      </c>
      <c r="P22" s="9">
        <f>(Paid!P72+React!P126+Legacy!P74*Legacy!P$3)*Prices!$H$19+(Subs!P134-(Paid!P72+React!P126+Legacy!P74*Legacy!P$3))*Prices!$I$19</f>
        <v/>
      </c>
      <c r="Q22" s="9">
        <f>(Paid!Q72+React!Q126+Legacy!Q74*Legacy!Q$3)*Prices!$H$19+(Subs!Q134-(Paid!Q72+React!Q126+Legacy!Q74*Legacy!Q$3))*Prices!$I$19</f>
        <v/>
      </c>
      <c r="R22" s="9">
        <f>(Paid!R72+React!R126+Legacy!R74*Legacy!R$3)*Prices!$H$19+(Subs!R134-(Paid!R72+React!R126+Legacy!R74*Legacy!R$3))*Prices!$I$19</f>
        <v/>
      </c>
      <c r="S22" s="9">
        <f>(Paid!S72+React!S126+Legacy!S74*Legacy!S$3)*Prices!$H$19+(Subs!S134-(Paid!S72+React!S126+Legacy!S74*Legacy!S$3))*Prices!$I$19</f>
        <v/>
      </c>
      <c r="T22" s="9">
        <f>(Paid!T72+React!T126+Legacy!T74*Legacy!T$3)*Prices!$H$19+(Subs!T134-(Paid!T72+React!T126+Legacy!T74*Legacy!T$3))*Prices!$I$19</f>
        <v/>
      </c>
      <c r="U22" s="9">
        <f>(Paid!U72+React!U126+Legacy!U74*Legacy!U$3)*Prices!$H$19+(Subs!U134-(Paid!U72+React!U126+Legacy!U74*Legacy!U$3))*Prices!$I$19</f>
        <v/>
      </c>
      <c r="V22" s="9">
        <f>(Paid!V72+React!V126+Legacy!V74*Legacy!V$3)*Prices!$H$19+(Subs!V134-(Paid!V72+React!V126+Legacy!V74*Legacy!V$3))*Prices!$I$19</f>
        <v/>
      </c>
      <c r="W22" s="9">
        <f>(Paid!W72+React!W126+Legacy!W74*Legacy!W$3)*Prices!$H$19+(Subs!W134-(Paid!W72+React!W126+Legacy!W74*Legacy!W$3))*Prices!$I$19</f>
        <v/>
      </c>
      <c r="X22" s="9">
        <f>(Paid!X72+React!X126+Legacy!X74*Legacy!X$3)*Prices!$H$19+(Subs!X134-(Paid!X72+React!X126+Legacy!X74*Legacy!X$3))*Prices!$I$19</f>
        <v/>
      </c>
      <c r="Y22" s="9">
        <f>(Paid!Y72+React!Y126+Legacy!Y74*Legacy!Y$3)*Prices!$H$19+(Subs!Y134-(Paid!Y72+React!Y126+Legacy!Y74*Legacy!Y$3))*Prices!$I$19</f>
        <v/>
      </c>
      <c r="Z22" s="9">
        <f>(Paid!Z72+React!Z126+Legacy!Z74*Legacy!Z$3)*Prices!$H$19+(Subs!Z134-(Paid!Z72+React!Z126+Legacy!Z74*Legacy!Z$3))*Prices!$I$19</f>
        <v/>
      </c>
      <c r="AA22" s="9">
        <f>(Paid!AA72+React!AA126+Legacy!AA74*Legacy!AA$3)*Prices!$H$19+(Subs!AA134-(Paid!AA72+React!AA126+Legacy!AA74*Legacy!AA$3))*Prices!$I$19</f>
        <v/>
      </c>
      <c r="AB22" s="9">
        <f>(Paid!AB72+React!AB126+Legacy!AB74*Legacy!AB$3)*Prices!$H$19+(Subs!AB134-(Paid!AB72+React!AB126+Legacy!AB74*Legacy!AB$3))*Prices!$I$19</f>
        <v/>
      </c>
      <c r="AC22" s="9">
        <f>(Paid!AC72+React!AC126+Legacy!AC74*Legacy!AC$3)*Prices!$H$19+(Subs!AC134-(Paid!AC72+React!AC126+Legacy!AC74*Legacy!AC$3))*Prices!$I$19</f>
        <v/>
      </c>
      <c r="AD22" s="9">
        <f>(Paid!AD72+React!AD126+Legacy!AD74*Legacy!AD$3)*Prices!$H$19+(Subs!AD134-(Paid!AD72+React!AD126+Legacy!AD74*Legacy!AD$3))*Prices!$I$19</f>
        <v/>
      </c>
      <c r="AE22" s="9">
        <f>(Paid!AE72+React!AE126+Legacy!AE74*Legacy!AE$3)*Prices!$H$19+(Subs!AE134-(Paid!AE72+React!AE126+Legacy!AE74*Legacy!AE$3))*Prices!$I$19</f>
        <v/>
      </c>
      <c r="AF22" s="9">
        <f>(Paid!AF72+React!AF126+Legacy!AF74*Legacy!AF$3)*Prices!$H$19+(Subs!AF134-(Paid!AF72+React!AF126+Legacy!AF74*Legacy!AF$3))*Prices!$I$19</f>
        <v/>
      </c>
      <c r="AG22" s="9">
        <f>(Paid!AG72+React!AG126+Legacy!AG74*Legacy!AG$3)*Prices!$H$19+(Subs!AG134-(Paid!AG72+React!AG126+Legacy!AG74*Legacy!AG$3))*Prices!$I$19</f>
        <v/>
      </c>
      <c r="AH22" s="9">
        <f>(Paid!AH72+React!AH126+Legacy!AH74*Legacy!AH$3)*Prices!$H$19+(Subs!AH134-(Paid!AH72+React!AH126+Legacy!AH74*Legacy!AH$3))*Prices!$I$19</f>
        <v/>
      </c>
      <c r="AI22" s="9">
        <f>(Paid!AI72+React!AI126+Legacy!AI74*Legacy!AI$3)*Prices!$H$19+(Subs!AI134-(Paid!AI72+React!AI126+Legacy!AI74*Legacy!AI$3))*Prices!$I$19</f>
        <v/>
      </c>
      <c r="AJ22" s="9">
        <f>(Paid!AJ72+React!AJ126+Legacy!AJ74*Legacy!AJ$3)*Prices!$H$19+(Subs!AJ134-(Paid!AJ72+React!AJ126+Legacy!AJ74*Legacy!AJ$3))*Prices!$I$19</f>
        <v/>
      </c>
      <c r="AK22" s="9">
        <f>(Paid!AK72+React!AK126+Legacy!AK74*Legacy!AK$3)*Prices!$H$19+(Subs!AK134-(Paid!AK72+React!AK126+Legacy!AK74*Legacy!AK$3))*Prices!$I$19</f>
        <v/>
      </c>
      <c r="AL22" s="9">
        <f>(Paid!AL72+React!AL126+Legacy!AL74*Legacy!AL$3)*Prices!$H$19+(Subs!AL134-(Paid!AL72+React!AL126+Legacy!AL74*Legacy!AL$3))*Prices!$I$19</f>
        <v/>
      </c>
      <c r="AM22" s="9">
        <f>(Paid!AM72+React!AM126+Legacy!AM74*Legacy!AM$3)*Prices!$H$19+(Subs!AM134-(Paid!AM72+React!AM126+Legacy!AM74*Legacy!AM$3))*Prices!$I$19</f>
        <v/>
      </c>
      <c r="AN22" s="9">
        <f>(Paid!AN72+React!AN126+Legacy!AN74*Legacy!AN$3)*Prices!$H$19+(Subs!AN134-(Paid!AN72+React!AN126+Legacy!AN74*Legacy!AN$3))*Prices!$I$19</f>
        <v/>
      </c>
      <c r="AO22" s="9">
        <f>(Paid!AO72+React!AO126+Legacy!AO74*Legacy!AO$3)*Prices!$H$19+(Subs!AO134-(Paid!AO72+React!AO126+Legacy!AO74*Legacy!AO$3))*Prices!$I$19</f>
        <v/>
      </c>
      <c r="AP22" s="9">
        <f>(Paid!AP72+React!AP126+Legacy!AP74*Legacy!AP$3)*Prices!$H$19+(Subs!AP134-(Paid!AP72+React!AP126+Legacy!AP74*Legacy!AP$3))*Prices!$I$19</f>
        <v/>
      </c>
      <c r="AQ22" s="9">
        <f>(Paid!AQ72+React!AQ126+Legacy!AQ74*Legacy!AQ$3)*Prices!$H$19+(Subs!AQ134-(Paid!AQ72+React!AQ126+Legacy!AQ74*Legacy!AQ$3))*Prices!$I$19</f>
        <v/>
      </c>
      <c r="AR22" s="9">
        <f>(Paid!AR72+React!AR126+Legacy!AR74*Legacy!AR$3)*Prices!$H$19+(Subs!AR134-(Paid!AR72+React!AR126+Legacy!AR74*Legacy!AR$3))*Prices!$I$19</f>
        <v/>
      </c>
      <c r="AS22" s="9">
        <f>(Paid!AS72+React!AS126+Legacy!AS74*Legacy!AS$3)*Prices!$H$19+(Subs!AS134-(Paid!AS72+React!AS126+Legacy!AS74*Legacy!AS$3))*Prices!$I$19</f>
        <v/>
      </c>
      <c r="AT22" s="9">
        <f>(Paid!AT72+React!AT126+Legacy!AT74*Legacy!AT$3)*Prices!$H$19+(Subs!AT134-(Paid!AT72+React!AT126+Legacy!AT74*Legacy!AT$3))*Prices!$I$19</f>
        <v/>
      </c>
      <c r="AU22" s="9">
        <f>(Paid!AU72+React!AU126+Legacy!AU74*Legacy!AU$3)*Prices!$H$19+(Subs!AU134-(Paid!AU72+React!AU126+Legacy!AU74*Legacy!AU$3))*Prices!$I$19</f>
        <v/>
      </c>
      <c r="AV22" s="9">
        <f>(Paid!AV72+React!AV126+Legacy!AV74*Legacy!AV$3)*Prices!$H$19+(Subs!AV134-(Paid!AV72+React!AV126+Legacy!AV74*Legacy!AV$3))*Prices!$I$19</f>
        <v/>
      </c>
      <c r="AW22" s="9">
        <f>(Paid!AW72+React!AW126+Legacy!AW74*Legacy!AW$3)*Prices!$H$19+(Subs!AW134-(Paid!AW72+React!AW126+Legacy!AW74*Legacy!AW$3))*Prices!$I$19</f>
        <v/>
      </c>
      <c r="AX22" s="9">
        <f>(Paid!AX72+React!AX126+Legacy!AX74*Legacy!AX$3)*Prices!$H$19+(Subs!AX134-(Paid!AX72+React!AX126+Legacy!AX74*Legacy!AX$3))*Prices!$I$19</f>
        <v/>
      </c>
      <c r="AY22" s="9">
        <f>(Paid!AY72+React!AY126+Legacy!AY74*Legacy!AY$3)*Prices!$H$19+(Subs!AY134-(Paid!AY72+React!AY126+Legacy!AY74*Legacy!AY$3))*Prices!$I$19</f>
        <v/>
      </c>
      <c r="AZ22" s="9">
        <f>(Paid!AZ72+React!AZ126+Legacy!AZ74*Legacy!AZ$3)*Prices!$H$19+(Subs!AZ134-(Paid!AZ72+React!AZ126+Legacy!AZ74*Legacy!AZ$3))*Prices!$I$19</f>
        <v/>
      </c>
      <c r="BA22" s="9">
        <f>(Paid!BA72+React!BA126+Legacy!BA74*Legacy!BA$3)*Prices!$H$19+(Subs!BA134-(Paid!BA72+React!BA126+Legacy!BA74*Legacy!BA$3))*Prices!$I$19</f>
        <v/>
      </c>
      <c r="BB22" s="9">
        <f>(Paid!BB72+React!BB126+Legacy!BB74*Legacy!BB$3)*Prices!$H$19+(Subs!BB134-(Paid!BB72+React!BB126+Legacy!BB74*Legacy!BB$3))*Prices!$I$19</f>
        <v/>
      </c>
      <c r="BC22" s="9">
        <f>(Paid!BC72+React!BC126+Legacy!BC74*Legacy!BC$3)*Prices!$H$19+(Subs!BC134-(Paid!BC72+React!BC126+Legacy!BC74*Legacy!BC$3))*Prices!$I$19</f>
        <v/>
      </c>
      <c r="BD22" s="9">
        <f>(Paid!BD72+React!BD126+Legacy!BD74*Legacy!BD$3)*Prices!$H$19+(Subs!BD134-(Paid!BD72+React!BD126+Legacy!BD74*Legacy!BD$3))*Prices!$I$19</f>
        <v/>
      </c>
      <c r="BE22" s="9">
        <f>(Paid!BE72+React!BE126+Legacy!BE74*Legacy!BE$3)*Prices!$H$19+(Subs!BE134-(Paid!BE72+React!BE126+Legacy!BE74*Legacy!BE$3))*Prices!$I$19</f>
        <v/>
      </c>
      <c r="BF22" s="9">
        <f>(Paid!BF72+React!BF126+Legacy!BF74*Legacy!BF$3)*Prices!$H$19+(Subs!BF134-(Paid!BF72+React!BF126+Legacy!BF74*Legacy!BF$3))*Prices!$I$19</f>
        <v/>
      </c>
      <c r="BG22" s="9">
        <f>(Paid!BG72+React!BG126+Legacy!BG74*Legacy!BG$3)*Prices!$H$19+(Subs!BG134-(Paid!BG72+React!BG126+Legacy!BG74*Legacy!BG$3))*Prices!$I$19</f>
        <v/>
      </c>
      <c r="BH22" s="9">
        <f>(Paid!BH72+React!BH126+Legacy!BH74*Legacy!BH$3)*Prices!$H$19+(Subs!BH134-(Paid!BH72+React!BH126+Legacy!BH74*Legacy!BH$3))*Prices!$I$19</f>
        <v/>
      </c>
      <c r="BI22" s="9">
        <f>(Paid!BI72+React!BI126+Legacy!BI74*Legacy!BI$3)*Prices!$H$19+(Subs!BI134-(Paid!BI72+React!BI126+Legacy!BI74*Legacy!BI$3))*Prices!$I$19</f>
        <v/>
      </c>
      <c r="BJ22" s="9">
        <f>(Paid!BJ72+React!BJ126+Legacy!BJ74*Legacy!BJ$3)*Prices!$H$19+(Subs!BJ134-(Paid!BJ72+React!BJ126+Legacy!BJ74*Legacy!BJ$3))*Prices!$I$19</f>
        <v/>
      </c>
      <c r="BK22" s="9">
        <f>(Paid!BK72+React!BK126+Legacy!BK74*Legacy!BK$3)*Prices!$H$19+(Subs!BK134-(Paid!BK72+React!BK126+Legacy!BK74*Legacy!BK$3))*Prices!$I$19</f>
        <v/>
      </c>
      <c r="BL22" s="9">
        <f>(Paid!BL72+React!BL126+Legacy!BL74*Legacy!BL$3)*Prices!$H$19+(Subs!BL134-(Paid!BL72+React!BL126+Legacy!BL74*Legacy!BL$3))*Prices!$I$19</f>
        <v/>
      </c>
      <c r="BM22" s="9">
        <f>(Paid!BM72+React!BM126+Legacy!BM74*Legacy!BM$3)*Prices!$H$19+(Subs!BM134-(Paid!BM72+React!BM126+Legacy!BM74*Legacy!BM$3))*Prices!$I$19</f>
        <v/>
      </c>
      <c r="BN22" s="9">
        <f>(Paid!BN72+React!BN126+Legacy!BN74*Legacy!BN$3)*Prices!$H$19+(Subs!BN134-(Paid!BN72+React!BN126+Legacy!BN74*Legacy!BN$3))*Prices!$I$19</f>
        <v/>
      </c>
      <c r="BO22" s="9">
        <f>(Paid!BO72+React!BO126+Legacy!BO74*Legacy!BO$3)*Prices!$H$19+(Subs!BO134-(Paid!BO72+React!BO126+Legacy!BO74*Legacy!BO$3))*Prices!$I$19</f>
        <v/>
      </c>
      <c r="BP22" s="9">
        <f>(Paid!BP72+React!BP126+Legacy!BP74*Legacy!BP$3)*Prices!$H$19+(Subs!BP134-(Paid!BP72+React!BP126+Legacy!BP74*Legacy!BP$3))*Prices!$I$19</f>
        <v/>
      </c>
      <c r="BQ22" s="9">
        <f>(Paid!BQ72+React!BQ126+Legacy!BQ74*Legacy!BQ$3)*Prices!$H$19+(Subs!BQ134-(Paid!BQ72+React!BQ126+Legacy!BQ74*Legacy!BQ$3))*Prices!$I$19</f>
        <v/>
      </c>
      <c r="BR22" s="9">
        <f>(Paid!BR72+React!BR126+Legacy!BR74*Legacy!BR$3)*Prices!$H$19+(Subs!BR134-(Paid!BR72+React!BR126+Legacy!BR74*Legacy!BR$3))*Prices!$I$19</f>
        <v/>
      </c>
      <c r="BS22" s="9">
        <f>(Paid!BS72+React!BS126+Legacy!BS74*Legacy!BS$3)*Prices!$H$19+(Subs!BS134-(Paid!BS72+React!BS126+Legacy!BS74*Legacy!BS$3))*Prices!$I$19</f>
        <v/>
      </c>
      <c r="BT22" s="9">
        <f>(Paid!BT72+React!BT126+Legacy!BT74*Legacy!BT$3)*Prices!$H$19+(Subs!BT134-(Paid!BT72+React!BT126+Legacy!BT74*Legacy!BT$3))*Prices!$I$19</f>
        <v/>
      </c>
      <c r="BU22" s="9">
        <f>(Paid!BU72+React!BU126+Legacy!BU74*Legacy!BU$3)*Prices!$H$19+(Subs!BU134-(Paid!BU72+React!BU126+Legacy!BU74*Legacy!BU$3))*Prices!$I$19</f>
        <v/>
      </c>
      <c r="BV22" s="9">
        <f>(Paid!BV72+React!BV126+Legacy!BV74*Legacy!BV$3)*Prices!$H$19+(Subs!BV134-(Paid!BV72+React!BV126+Legacy!BV74*Legacy!BV$3))*Prices!$I$19</f>
        <v/>
      </c>
    </row>
    <row r="23">
      <c r="A23" t="inlineStr">
        <is>
          <t>net revenue $</t>
        </is>
      </c>
      <c r="B23" t="inlineStr">
        <is>
          <t>ROW|BASIC_M</t>
        </is>
      </c>
      <c r="C23" s="9">
        <f>(Paid!C76+React!C133+Legacy!C78*Legacy!C$3)*Prices!$H$20+(Subs!C141-(Paid!C76+React!C133+Legacy!C78*Legacy!C$3))*Prices!$I$20</f>
        <v/>
      </c>
      <c r="D23" s="9">
        <f>(Paid!D76+React!D133+Legacy!D78*Legacy!D$3)*Prices!$H$20+(Subs!D141-(Paid!D76+React!D133+Legacy!D78*Legacy!D$3))*Prices!$I$20</f>
        <v/>
      </c>
      <c r="E23" s="9">
        <f>(Paid!E76+React!E133+Legacy!E78*Legacy!E$3)*Prices!$H$20+(Subs!E141-(Paid!E76+React!E133+Legacy!E78*Legacy!E$3))*Prices!$I$20</f>
        <v/>
      </c>
      <c r="F23" s="9">
        <f>(Paid!F76+React!F133+Legacy!F78*Legacy!F$3)*Prices!$H$20+(Subs!F141-(Paid!F76+React!F133+Legacy!F78*Legacy!F$3))*Prices!$I$20</f>
        <v/>
      </c>
      <c r="G23" s="9">
        <f>(Paid!G76+React!G133+Legacy!G78*Legacy!G$3)*Prices!$H$20+(Subs!G141-(Paid!G76+React!G133+Legacy!G78*Legacy!G$3))*Prices!$I$20</f>
        <v/>
      </c>
      <c r="H23" s="9">
        <f>(Paid!H76+React!H133+Legacy!H78*Legacy!H$3)*Prices!$H$20+(Subs!H141-(Paid!H76+React!H133+Legacy!H78*Legacy!H$3))*Prices!$I$20</f>
        <v/>
      </c>
      <c r="I23" s="9">
        <f>(Paid!I76+React!I133+Legacy!I78*Legacy!I$3)*Prices!$H$20+(Subs!I141-(Paid!I76+React!I133+Legacy!I78*Legacy!I$3))*Prices!$I$20</f>
        <v/>
      </c>
      <c r="J23" s="9">
        <f>(Paid!J76+React!J133+Legacy!J78*Legacy!J$3)*Prices!$H$20+(Subs!J141-(Paid!J76+React!J133+Legacy!J78*Legacy!J$3))*Prices!$I$20</f>
        <v/>
      </c>
      <c r="K23" s="9">
        <f>(Paid!K76+React!K133+Legacy!K78*Legacy!K$3)*Prices!$H$20+(Subs!K141-(Paid!K76+React!K133+Legacy!K78*Legacy!K$3))*Prices!$I$20</f>
        <v/>
      </c>
      <c r="L23" s="9">
        <f>(Paid!L76+React!L133+Legacy!L78*Legacy!L$3)*Prices!$H$20+(Subs!L141-(Paid!L76+React!L133+Legacy!L78*Legacy!L$3))*Prices!$I$20</f>
        <v/>
      </c>
      <c r="M23" s="9">
        <f>(Paid!M76+React!M133+Legacy!M78*Legacy!M$3)*Prices!$H$20+(Subs!M141-(Paid!M76+React!M133+Legacy!M78*Legacy!M$3))*Prices!$I$20</f>
        <v/>
      </c>
      <c r="N23" s="9">
        <f>(Paid!N76+React!N133+Legacy!N78*Legacy!N$3)*Prices!$H$20+(Subs!N141-(Paid!N76+React!N133+Legacy!N78*Legacy!N$3))*Prices!$I$20</f>
        <v/>
      </c>
      <c r="O23" s="9">
        <f>(Paid!O76+React!O133+Legacy!O78*Legacy!O$3)*Prices!$H$20+(Subs!O141-(Paid!O76+React!O133+Legacy!O78*Legacy!O$3))*Prices!$I$20</f>
        <v/>
      </c>
      <c r="P23" s="9">
        <f>(Paid!P76+React!P133+Legacy!P78*Legacy!P$3)*Prices!$H$20+(Subs!P141-(Paid!P76+React!P133+Legacy!P78*Legacy!P$3))*Prices!$I$20</f>
        <v/>
      </c>
      <c r="Q23" s="9">
        <f>(Paid!Q76+React!Q133+Legacy!Q78*Legacy!Q$3)*Prices!$H$20+(Subs!Q141-(Paid!Q76+React!Q133+Legacy!Q78*Legacy!Q$3))*Prices!$I$20</f>
        <v/>
      </c>
      <c r="R23" s="9">
        <f>(Paid!R76+React!R133+Legacy!R78*Legacy!R$3)*Prices!$H$20+(Subs!R141-(Paid!R76+React!R133+Legacy!R78*Legacy!R$3))*Prices!$I$20</f>
        <v/>
      </c>
      <c r="S23" s="9">
        <f>(Paid!S76+React!S133+Legacy!S78*Legacy!S$3)*Prices!$H$20+(Subs!S141-(Paid!S76+React!S133+Legacy!S78*Legacy!S$3))*Prices!$I$20</f>
        <v/>
      </c>
      <c r="T23" s="9">
        <f>(Paid!T76+React!T133+Legacy!T78*Legacy!T$3)*Prices!$H$20+(Subs!T141-(Paid!T76+React!T133+Legacy!T78*Legacy!T$3))*Prices!$I$20</f>
        <v/>
      </c>
      <c r="U23" s="9">
        <f>(Paid!U76+React!U133+Legacy!U78*Legacy!U$3)*Prices!$H$20+(Subs!U141-(Paid!U76+React!U133+Legacy!U78*Legacy!U$3))*Prices!$I$20</f>
        <v/>
      </c>
      <c r="V23" s="9">
        <f>(Paid!V76+React!V133+Legacy!V78*Legacy!V$3)*Prices!$H$20+(Subs!V141-(Paid!V76+React!V133+Legacy!V78*Legacy!V$3))*Prices!$I$20</f>
        <v/>
      </c>
      <c r="W23" s="9">
        <f>(Paid!W76+React!W133+Legacy!W78*Legacy!W$3)*Prices!$H$20+(Subs!W141-(Paid!W76+React!W133+Legacy!W78*Legacy!W$3))*Prices!$I$20</f>
        <v/>
      </c>
      <c r="X23" s="9">
        <f>(Paid!X76+React!X133+Legacy!X78*Legacy!X$3)*Prices!$H$20+(Subs!X141-(Paid!X76+React!X133+Legacy!X78*Legacy!X$3))*Prices!$I$20</f>
        <v/>
      </c>
      <c r="Y23" s="9">
        <f>(Paid!Y76+React!Y133+Legacy!Y78*Legacy!Y$3)*Prices!$H$20+(Subs!Y141-(Paid!Y76+React!Y133+Legacy!Y78*Legacy!Y$3))*Prices!$I$20</f>
        <v/>
      </c>
      <c r="Z23" s="9">
        <f>(Paid!Z76+React!Z133+Legacy!Z78*Legacy!Z$3)*Prices!$H$20+(Subs!Z141-(Paid!Z76+React!Z133+Legacy!Z78*Legacy!Z$3))*Prices!$I$20</f>
        <v/>
      </c>
      <c r="AA23" s="9">
        <f>(Paid!AA76+React!AA133+Legacy!AA78*Legacy!AA$3)*Prices!$H$20+(Subs!AA141-(Paid!AA76+React!AA133+Legacy!AA78*Legacy!AA$3))*Prices!$I$20</f>
        <v/>
      </c>
      <c r="AB23" s="9">
        <f>(Paid!AB76+React!AB133+Legacy!AB78*Legacy!AB$3)*Prices!$H$20+(Subs!AB141-(Paid!AB76+React!AB133+Legacy!AB78*Legacy!AB$3))*Prices!$I$20</f>
        <v/>
      </c>
      <c r="AC23" s="9">
        <f>(Paid!AC76+React!AC133+Legacy!AC78*Legacy!AC$3)*Prices!$H$20+(Subs!AC141-(Paid!AC76+React!AC133+Legacy!AC78*Legacy!AC$3))*Prices!$I$20</f>
        <v/>
      </c>
      <c r="AD23" s="9">
        <f>(Paid!AD76+React!AD133+Legacy!AD78*Legacy!AD$3)*Prices!$H$20+(Subs!AD141-(Paid!AD76+React!AD133+Legacy!AD78*Legacy!AD$3))*Prices!$I$20</f>
        <v/>
      </c>
      <c r="AE23" s="9">
        <f>(Paid!AE76+React!AE133+Legacy!AE78*Legacy!AE$3)*Prices!$H$20+(Subs!AE141-(Paid!AE76+React!AE133+Legacy!AE78*Legacy!AE$3))*Prices!$I$20</f>
        <v/>
      </c>
      <c r="AF23" s="9">
        <f>(Paid!AF76+React!AF133+Legacy!AF78*Legacy!AF$3)*Prices!$H$20+(Subs!AF141-(Paid!AF76+React!AF133+Legacy!AF78*Legacy!AF$3))*Prices!$I$20</f>
        <v/>
      </c>
      <c r="AG23" s="9">
        <f>(Paid!AG76+React!AG133+Legacy!AG78*Legacy!AG$3)*Prices!$H$20+(Subs!AG141-(Paid!AG76+React!AG133+Legacy!AG78*Legacy!AG$3))*Prices!$I$20</f>
        <v/>
      </c>
      <c r="AH23" s="9">
        <f>(Paid!AH76+React!AH133+Legacy!AH78*Legacy!AH$3)*Prices!$H$20+(Subs!AH141-(Paid!AH76+React!AH133+Legacy!AH78*Legacy!AH$3))*Prices!$I$20</f>
        <v/>
      </c>
      <c r="AI23" s="9">
        <f>(Paid!AI76+React!AI133+Legacy!AI78*Legacy!AI$3)*Prices!$H$20+(Subs!AI141-(Paid!AI76+React!AI133+Legacy!AI78*Legacy!AI$3))*Prices!$I$20</f>
        <v/>
      </c>
      <c r="AJ23" s="9">
        <f>(Paid!AJ76+React!AJ133+Legacy!AJ78*Legacy!AJ$3)*Prices!$H$20+(Subs!AJ141-(Paid!AJ76+React!AJ133+Legacy!AJ78*Legacy!AJ$3))*Prices!$I$20</f>
        <v/>
      </c>
      <c r="AK23" s="9">
        <f>(Paid!AK76+React!AK133+Legacy!AK78*Legacy!AK$3)*Prices!$H$20+(Subs!AK141-(Paid!AK76+React!AK133+Legacy!AK78*Legacy!AK$3))*Prices!$I$20</f>
        <v/>
      </c>
      <c r="AL23" s="9">
        <f>(Paid!AL76+React!AL133+Legacy!AL78*Legacy!AL$3)*Prices!$H$20+(Subs!AL141-(Paid!AL76+React!AL133+Legacy!AL78*Legacy!AL$3))*Prices!$I$20</f>
        <v/>
      </c>
      <c r="AM23" s="9">
        <f>(Paid!AM76+React!AM133+Legacy!AM78*Legacy!AM$3)*Prices!$H$20+(Subs!AM141-(Paid!AM76+React!AM133+Legacy!AM78*Legacy!AM$3))*Prices!$I$20</f>
        <v/>
      </c>
      <c r="AN23" s="9">
        <f>(Paid!AN76+React!AN133+Legacy!AN78*Legacy!AN$3)*Prices!$H$20+(Subs!AN141-(Paid!AN76+React!AN133+Legacy!AN78*Legacy!AN$3))*Prices!$I$20</f>
        <v/>
      </c>
      <c r="AO23" s="9">
        <f>(Paid!AO76+React!AO133+Legacy!AO78*Legacy!AO$3)*Prices!$H$20+(Subs!AO141-(Paid!AO76+React!AO133+Legacy!AO78*Legacy!AO$3))*Prices!$I$20</f>
        <v/>
      </c>
      <c r="AP23" s="9">
        <f>(Paid!AP76+React!AP133+Legacy!AP78*Legacy!AP$3)*Prices!$H$20+(Subs!AP141-(Paid!AP76+React!AP133+Legacy!AP78*Legacy!AP$3))*Prices!$I$20</f>
        <v/>
      </c>
      <c r="AQ23" s="9">
        <f>(Paid!AQ76+React!AQ133+Legacy!AQ78*Legacy!AQ$3)*Prices!$H$20+(Subs!AQ141-(Paid!AQ76+React!AQ133+Legacy!AQ78*Legacy!AQ$3))*Prices!$I$20</f>
        <v/>
      </c>
      <c r="AR23" s="9">
        <f>(Paid!AR76+React!AR133+Legacy!AR78*Legacy!AR$3)*Prices!$H$20+(Subs!AR141-(Paid!AR76+React!AR133+Legacy!AR78*Legacy!AR$3))*Prices!$I$20</f>
        <v/>
      </c>
      <c r="AS23" s="9">
        <f>(Paid!AS76+React!AS133+Legacy!AS78*Legacy!AS$3)*Prices!$H$20+(Subs!AS141-(Paid!AS76+React!AS133+Legacy!AS78*Legacy!AS$3))*Prices!$I$20</f>
        <v/>
      </c>
      <c r="AT23" s="9">
        <f>(Paid!AT76+React!AT133+Legacy!AT78*Legacy!AT$3)*Prices!$H$20+(Subs!AT141-(Paid!AT76+React!AT133+Legacy!AT78*Legacy!AT$3))*Prices!$I$20</f>
        <v/>
      </c>
      <c r="AU23" s="9">
        <f>(Paid!AU76+React!AU133+Legacy!AU78*Legacy!AU$3)*Prices!$H$20+(Subs!AU141-(Paid!AU76+React!AU133+Legacy!AU78*Legacy!AU$3))*Prices!$I$20</f>
        <v/>
      </c>
      <c r="AV23" s="9">
        <f>(Paid!AV76+React!AV133+Legacy!AV78*Legacy!AV$3)*Prices!$H$20+(Subs!AV141-(Paid!AV76+React!AV133+Legacy!AV78*Legacy!AV$3))*Prices!$I$20</f>
        <v/>
      </c>
      <c r="AW23" s="9">
        <f>(Paid!AW76+React!AW133+Legacy!AW78*Legacy!AW$3)*Prices!$H$20+(Subs!AW141-(Paid!AW76+React!AW133+Legacy!AW78*Legacy!AW$3))*Prices!$I$20</f>
        <v/>
      </c>
      <c r="AX23" s="9">
        <f>(Paid!AX76+React!AX133+Legacy!AX78*Legacy!AX$3)*Prices!$H$20+(Subs!AX141-(Paid!AX76+React!AX133+Legacy!AX78*Legacy!AX$3))*Prices!$I$20</f>
        <v/>
      </c>
      <c r="AY23" s="9">
        <f>(Paid!AY76+React!AY133+Legacy!AY78*Legacy!AY$3)*Prices!$H$20+(Subs!AY141-(Paid!AY76+React!AY133+Legacy!AY78*Legacy!AY$3))*Prices!$I$20</f>
        <v/>
      </c>
      <c r="AZ23" s="9">
        <f>(Paid!AZ76+React!AZ133+Legacy!AZ78*Legacy!AZ$3)*Prices!$H$20+(Subs!AZ141-(Paid!AZ76+React!AZ133+Legacy!AZ78*Legacy!AZ$3))*Prices!$I$20</f>
        <v/>
      </c>
      <c r="BA23" s="9">
        <f>(Paid!BA76+React!BA133+Legacy!BA78*Legacy!BA$3)*Prices!$H$20+(Subs!BA141-(Paid!BA76+React!BA133+Legacy!BA78*Legacy!BA$3))*Prices!$I$20</f>
        <v/>
      </c>
      <c r="BB23" s="9">
        <f>(Paid!BB76+React!BB133+Legacy!BB78*Legacy!BB$3)*Prices!$H$20+(Subs!BB141-(Paid!BB76+React!BB133+Legacy!BB78*Legacy!BB$3))*Prices!$I$20</f>
        <v/>
      </c>
      <c r="BC23" s="9">
        <f>(Paid!BC76+React!BC133+Legacy!BC78*Legacy!BC$3)*Prices!$H$20+(Subs!BC141-(Paid!BC76+React!BC133+Legacy!BC78*Legacy!BC$3))*Prices!$I$20</f>
        <v/>
      </c>
      <c r="BD23" s="9">
        <f>(Paid!BD76+React!BD133+Legacy!BD78*Legacy!BD$3)*Prices!$H$20+(Subs!BD141-(Paid!BD76+React!BD133+Legacy!BD78*Legacy!BD$3))*Prices!$I$20</f>
        <v/>
      </c>
      <c r="BE23" s="9">
        <f>(Paid!BE76+React!BE133+Legacy!BE78*Legacy!BE$3)*Prices!$H$20+(Subs!BE141-(Paid!BE76+React!BE133+Legacy!BE78*Legacy!BE$3))*Prices!$I$20</f>
        <v/>
      </c>
      <c r="BF23" s="9">
        <f>(Paid!BF76+React!BF133+Legacy!BF78*Legacy!BF$3)*Prices!$H$20+(Subs!BF141-(Paid!BF76+React!BF133+Legacy!BF78*Legacy!BF$3))*Prices!$I$20</f>
        <v/>
      </c>
      <c r="BG23" s="9">
        <f>(Paid!BG76+React!BG133+Legacy!BG78*Legacy!BG$3)*Prices!$H$20+(Subs!BG141-(Paid!BG76+React!BG133+Legacy!BG78*Legacy!BG$3))*Prices!$I$20</f>
        <v/>
      </c>
      <c r="BH23" s="9">
        <f>(Paid!BH76+React!BH133+Legacy!BH78*Legacy!BH$3)*Prices!$H$20+(Subs!BH141-(Paid!BH76+React!BH133+Legacy!BH78*Legacy!BH$3))*Prices!$I$20</f>
        <v/>
      </c>
      <c r="BI23" s="9">
        <f>(Paid!BI76+React!BI133+Legacy!BI78*Legacy!BI$3)*Prices!$H$20+(Subs!BI141-(Paid!BI76+React!BI133+Legacy!BI78*Legacy!BI$3))*Prices!$I$20</f>
        <v/>
      </c>
      <c r="BJ23" s="9">
        <f>(Paid!BJ76+React!BJ133+Legacy!BJ78*Legacy!BJ$3)*Prices!$H$20+(Subs!BJ141-(Paid!BJ76+React!BJ133+Legacy!BJ78*Legacy!BJ$3))*Prices!$I$20</f>
        <v/>
      </c>
      <c r="BK23" s="9">
        <f>(Paid!BK76+React!BK133+Legacy!BK78*Legacy!BK$3)*Prices!$H$20+(Subs!BK141-(Paid!BK76+React!BK133+Legacy!BK78*Legacy!BK$3))*Prices!$I$20</f>
        <v/>
      </c>
      <c r="BL23" s="9">
        <f>(Paid!BL76+React!BL133+Legacy!BL78*Legacy!BL$3)*Prices!$H$20+(Subs!BL141-(Paid!BL76+React!BL133+Legacy!BL78*Legacy!BL$3))*Prices!$I$20</f>
        <v/>
      </c>
      <c r="BM23" s="9">
        <f>(Paid!BM76+React!BM133+Legacy!BM78*Legacy!BM$3)*Prices!$H$20+(Subs!BM141-(Paid!BM76+React!BM133+Legacy!BM78*Legacy!BM$3))*Prices!$I$20</f>
        <v/>
      </c>
      <c r="BN23" s="9">
        <f>(Paid!BN76+React!BN133+Legacy!BN78*Legacy!BN$3)*Prices!$H$20+(Subs!BN141-(Paid!BN76+React!BN133+Legacy!BN78*Legacy!BN$3))*Prices!$I$20</f>
        <v/>
      </c>
      <c r="BO23" s="9">
        <f>(Paid!BO76+React!BO133+Legacy!BO78*Legacy!BO$3)*Prices!$H$20+(Subs!BO141-(Paid!BO76+React!BO133+Legacy!BO78*Legacy!BO$3))*Prices!$I$20</f>
        <v/>
      </c>
      <c r="BP23" s="9">
        <f>(Paid!BP76+React!BP133+Legacy!BP78*Legacy!BP$3)*Prices!$H$20+(Subs!BP141-(Paid!BP76+React!BP133+Legacy!BP78*Legacy!BP$3))*Prices!$I$20</f>
        <v/>
      </c>
      <c r="BQ23" s="9">
        <f>(Paid!BQ76+React!BQ133+Legacy!BQ78*Legacy!BQ$3)*Prices!$H$20+(Subs!BQ141-(Paid!BQ76+React!BQ133+Legacy!BQ78*Legacy!BQ$3))*Prices!$I$20</f>
        <v/>
      </c>
      <c r="BR23" s="9">
        <f>(Paid!BR76+React!BR133+Legacy!BR78*Legacy!BR$3)*Prices!$H$20+(Subs!BR141-(Paid!BR76+React!BR133+Legacy!BR78*Legacy!BR$3))*Prices!$I$20</f>
        <v/>
      </c>
      <c r="BS23" s="9">
        <f>(Paid!BS76+React!BS133+Legacy!BS78*Legacy!BS$3)*Prices!$H$20+(Subs!BS141-(Paid!BS76+React!BS133+Legacy!BS78*Legacy!BS$3))*Prices!$I$20</f>
        <v/>
      </c>
      <c r="BT23" s="9">
        <f>(Paid!BT76+React!BT133+Legacy!BT78*Legacy!BT$3)*Prices!$H$20+(Subs!BT141-(Paid!BT76+React!BT133+Legacy!BT78*Legacy!BT$3))*Prices!$I$20</f>
        <v/>
      </c>
      <c r="BU23" s="9">
        <f>(Paid!BU76+React!BU133+Legacy!BU78*Legacy!BU$3)*Prices!$H$20+(Subs!BU141-(Paid!BU76+React!BU133+Legacy!BU78*Legacy!BU$3))*Prices!$I$20</f>
        <v/>
      </c>
      <c r="BV23" s="9">
        <f>(Paid!BV76+React!BV133+Legacy!BV78*Legacy!BV$3)*Prices!$H$20+(Subs!BV141-(Paid!BV76+React!BV133+Legacy!BV78*Legacy!BV$3))*Prices!$I$20</f>
        <v/>
      </c>
    </row>
    <row r="24">
      <c r="A24" t="inlineStr">
        <is>
          <t>net revenue $</t>
        </is>
      </c>
      <c r="B24" t="inlineStr">
        <is>
          <t>ROW|BASIC_A</t>
        </is>
      </c>
      <c r="C24" s="9">
        <f>(Paid!C80+React!C140+Legacy!C82*Legacy!C$3)*Prices!$H$21+(Subs!C148-(Paid!C80+React!C140+Legacy!C82*Legacy!C$3))*Prices!$I$21</f>
        <v/>
      </c>
      <c r="D24" s="9">
        <f>(Paid!D80+React!D140+Legacy!D82*Legacy!D$3)*Prices!$H$21+(Subs!D148-(Paid!D80+React!D140+Legacy!D82*Legacy!D$3))*Prices!$I$21</f>
        <v/>
      </c>
      <c r="E24" s="9">
        <f>(Paid!E80+React!E140+Legacy!E82*Legacy!E$3)*Prices!$H$21+(Subs!E148-(Paid!E80+React!E140+Legacy!E82*Legacy!E$3))*Prices!$I$21</f>
        <v/>
      </c>
      <c r="F24" s="9">
        <f>(Paid!F80+React!F140+Legacy!F82*Legacy!F$3)*Prices!$H$21+(Subs!F148-(Paid!F80+React!F140+Legacy!F82*Legacy!F$3))*Prices!$I$21</f>
        <v/>
      </c>
      <c r="G24" s="9">
        <f>(Paid!G80+React!G140+Legacy!G82*Legacy!G$3)*Prices!$H$21+(Subs!G148-(Paid!G80+React!G140+Legacy!G82*Legacy!G$3))*Prices!$I$21</f>
        <v/>
      </c>
      <c r="H24" s="9">
        <f>(Paid!H80+React!H140+Legacy!H82*Legacy!H$3)*Prices!$H$21+(Subs!H148-(Paid!H80+React!H140+Legacy!H82*Legacy!H$3))*Prices!$I$21</f>
        <v/>
      </c>
      <c r="I24" s="9">
        <f>(Paid!I80+React!I140+Legacy!I82*Legacy!I$3)*Prices!$H$21+(Subs!I148-(Paid!I80+React!I140+Legacy!I82*Legacy!I$3))*Prices!$I$21</f>
        <v/>
      </c>
      <c r="J24" s="9">
        <f>(Paid!J80+React!J140+Legacy!J82*Legacy!J$3)*Prices!$H$21+(Subs!J148-(Paid!J80+React!J140+Legacy!J82*Legacy!J$3))*Prices!$I$21</f>
        <v/>
      </c>
      <c r="K24" s="9">
        <f>(Paid!K80+React!K140+Legacy!K82*Legacy!K$3)*Prices!$H$21+(Subs!K148-(Paid!K80+React!K140+Legacy!K82*Legacy!K$3))*Prices!$I$21</f>
        <v/>
      </c>
      <c r="L24" s="9">
        <f>(Paid!L80+React!L140+Legacy!L82*Legacy!L$3)*Prices!$H$21+(Subs!L148-(Paid!L80+React!L140+Legacy!L82*Legacy!L$3))*Prices!$I$21</f>
        <v/>
      </c>
      <c r="M24" s="9">
        <f>(Paid!M80+React!M140+Legacy!M82*Legacy!M$3)*Prices!$H$21+(Subs!M148-(Paid!M80+React!M140+Legacy!M82*Legacy!M$3))*Prices!$I$21</f>
        <v/>
      </c>
      <c r="N24" s="9">
        <f>(Paid!N80+React!N140+Legacy!N82*Legacy!N$3)*Prices!$H$21+(Subs!N148-(Paid!N80+React!N140+Legacy!N82*Legacy!N$3))*Prices!$I$21</f>
        <v/>
      </c>
      <c r="O24" s="9">
        <f>(Paid!O80+React!O140+Legacy!O82*Legacy!O$3)*Prices!$H$21+(Subs!O148-(Paid!O80+React!O140+Legacy!O82*Legacy!O$3))*Prices!$I$21</f>
        <v/>
      </c>
      <c r="P24" s="9">
        <f>(Paid!P80+React!P140+Legacy!P82*Legacy!P$3)*Prices!$H$21+(Subs!P148-(Paid!P80+React!P140+Legacy!P82*Legacy!P$3))*Prices!$I$21</f>
        <v/>
      </c>
      <c r="Q24" s="9">
        <f>(Paid!Q80+React!Q140+Legacy!Q82*Legacy!Q$3)*Prices!$H$21+(Subs!Q148-(Paid!Q80+React!Q140+Legacy!Q82*Legacy!Q$3))*Prices!$I$21</f>
        <v/>
      </c>
      <c r="R24" s="9">
        <f>(Paid!R80+React!R140+Legacy!R82*Legacy!R$3)*Prices!$H$21+(Subs!R148-(Paid!R80+React!R140+Legacy!R82*Legacy!R$3))*Prices!$I$21</f>
        <v/>
      </c>
      <c r="S24" s="9">
        <f>(Paid!S80+React!S140+Legacy!S82*Legacy!S$3)*Prices!$H$21+(Subs!S148-(Paid!S80+React!S140+Legacy!S82*Legacy!S$3))*Prices!$I$21</f>
        <v/>
      </c>
      <c r="T24" s="9">
        <f>(Paid!T80+React!T140+Legacy!T82*Legacy!T$3)*Prices!$H$21+(Subs!T148-(Paid!T80+React!T140+Legacy!T82*Legacy!T$3))*Prices!$I$21</f>
        <v/>
      </c>
      <c r="U24" s="9">
        <f>(Paid!U80+React!U140+Legacy!U82*Legacy!U$3)*Prices!$H$21+(Subs!U148-(Paid!U80+React!U140+Legacy!U82*Legacy!U$3))*Prices!$I$21</f>
        <v/>
      </c>
      <c r="V24" s="9">
        <f>(Paid!V80+React!V140+Legacy!V82*Legacy!V$3)*Prices!$H$21+(Subs!V148-(Paid!V80+React!V140+Legacy!V82*Legacy!V$3))*Prices!$I$21</f>
        <v/>
      </c>
      <c r="W24" s="9">
        <f>(Paid!W80+React!W140+Legacy!W82*Legacy!W$3)*Prices!$H$21+(Subs!W148-(Paid!W80+React!W140+Legacy!W82*Legacy!W$3))*Prices!$I$21</f>
        <v/>
      </c>
      <c r="X24" s="9">
        <f>(Paid!X80+React!X140+Legacy!X82*Legacy!X$3)*Prices!$H$21+(Subs!X148-(Paid!X80+React!X140+Legacy!X82*Legacy!X$3))*Prices!$I$21</f>
        <v/>
      </c>
      <c r="Y24" s="9">
        <f>(Paid!Y80+React!Y140+Legacy!Y82*Legacy!Y$3)*Prices!$H$21+(Subs!Y148-(Paid!Y80+React!Y140+Legacy!Y82*Legacy!Y$3))*Prices!$I$21</f>
        <v/>
      </c>
      <c r="Z24" s="9">
        <f>(Paid!Z80+React!Z140+Legacy!Z82*Legacy!Z$3)*Prices!$H$21+(Subs!Z148-(Paid!Z80+React!Z140+Legacy!Z82*Legacy!Z$3))*Prices!$I$21</f>
        <v/>
      </c>
      <c r="AA24" s="9">
        <f>(Paid!AA80+React!AA140+Legacy!AA82*Legacy!AA$3)*Prices!$H$21+(Subs!AA148-(Paid!AA80+React!AA140+Legacy!AA82*Legacy!AA$3))*Prices!$I$21</f>
        <v/>
      </c>
      <c r="AB24" s="9">
        <f>(Paid!AB80+React!AB140+Legacy!AB82*Legacy!AB$3)*Prices!$H$21+(Subs!AB148-(Paid!AB80+React!AB140+Legacy!AB82*Legacy!AB$3))*Prices!$I$21</f>
        <v/>
      </c>
      <c r="AC24" s="9">
        <f>(Paid!AC80+React!AC140+Legacy!AC82*Legacy!AC$3)*Prices!$H$21+(Subs!AC148-(Paid!AC80+React!AC140+Legacy!AC82*Legacy!AC$3))*Prices!$I$21</f>
        <v/>
      </c>
      <c r="AD24" s="9">
        <f>(Paid!AD80+React!AD140+Legacy!AD82*Legacy!AD$3)*Prices!$H$21+(Subs!AD148-(Paid!AD80+React!AD140+Legacy!AD82*Legacy!AD$3))*Prices!$I$21</f>
        <v/>
      </c>
      <c r="AE24" s="9">
        <f>(Paid!AE80+React!AE140+Legacy!AE82*Legacy!AE$3)*Prices!$H$21+(Subs!AE148-(Paid!AE80+React!AE140+Legacy!AE82*Legacy!AE$3))*Prices!$I$21</f>
        <v/>
      </c>
      <c r="AF24" s="9">
        <f>(Paid!AF80+React!AF140+Legacy!AF82*Legacy!AF$3)*Prices!$H$21+(Subs!AF148-(Paid!AF80+React!AF140+Legacy!AF82*Legacy!AF$3))*Prices!$I$21</f>
        <v/>
      </c>
      <c r="AG24" s="9">
        <f>(Paid!AG80+React!AG140+Legacy!AG82*Legacy!AG$3)*Prices!$H$21+(Subs!AG148-(Paid!AG80+React!AG140+Legacy!AG82*Legacy!AG$3))*Prices!$I$21</f>
        <v/>
      </c>
      <c r="AH24" s="9">
        <f>(Paid!AH80+React!AH140+Legacy!AH82*Legacy!AH$3)*Prices!$H$21+(Subs!AH148-(Paid!AH80+React!AH140+Legacy!AH82*Legacy!AH$3))*Prices!$I$21</f>
        <v/>
      </c>
      <c r="AI24" s="9">
        <f>(Paid!AI80+React!AI140+Legacy!AI82*Legacy!AI$3)*Prices!$H$21+(Subs!AI148-(Paid!AI80+React!AI140+Legacy!AI82*Legacy!AI$3))*Prices!$I$21</f>
        <v/>
      </c>
      <c r="AJ24" s="9">
        <f>(Paid!AJ80+React!AJ140+Legacy!AJ82*Legacy!AJ$3)*Prices!$H$21+(Subs!AJ148-(Paid!AJ80+React!AJ140+Legacy!AJ82*Legacy!AJ$3))*Prices!$I$21</f>
        <v/>
      </c>
      <c r="AK24" s="9">
        <f>(Paid!AK80+React!AK140+Legacy!AK82*Legacy!AK$3)*Prices!$H$21+(Subs!AK148-(Paid!AK80+React!AK140+Legacy!AK82*Legacy!AK$3))*Prices!$I$21</f>
        <v/>
      </c>
      <c r="AL24" s="9">
        <f>(Paid!AL80+React!AL140+Legacy!AL82*Legacy!AL$3)*Prices!$H$21+(Subs!AL148-(Paid!AL80+React!AL140+Legacy!AL82*Legacy!AL$3))*Prices!$I$21</f>
        <v/>
      </c>
      <c r="AM24" s="9">
        <f>(Paid!AM80+React!AM140+Legacy!AM82*Legacy!AM$3)*Prices!$H$21+(Subs!AM148-(Paid!AM80+React!AM140+Legacy!AM82*Legacy!AM$3))*Prices!$I$21</f>
        <v/>
      </c>
      <c r="AN24" s="9">
        <f>(Paid!AN80+React!AN140+Legacy!AN82*Legacy!AN$3)*Prices!$H$21+(Subs!AN148-(Paid!AN80+React!AN140+Legacy!AN82*Legacy!AN$3))*Prices!$I$21</f>
        <v/>
      </c>
      <c r="AO24" s="9">
        <f>(Paid!AO80+React!AO140+Legacy!AO82*Legacy!AO$3)*Prices!$H$21+(Subs!AO148-(Paid!AO80+React!AO140+Legacy!AO82*Legacy!AO$3))*Prices!$I$21</f>
        <v/>
      </c>
      <c r="AP24" s="9">
        <f>(Paid!AP80+React!AP140+Legacy!AP82*Legacy!AP$3)*Prices!$H$21+(Subs!AP148-(Paid!AP80+React!AP140+Legacy!AP82*Legacy!AP$3))*Prices!$I$21</f>
        <v/>
      </c>
      <c r="AQ24" s="9">
        <f>(Paid!AQ80+React!AQ140+Legacy!AQ82*Legacy!AQ$3)*Prices!$H$21+(Subs!AQ148-(Paid!AQ80+React!AQ140+Legacy!AQ82*Legacy!AQ$3))*Prices!$I$21</f>
        <v/>
      </c>
      <c r="AR24" s="9">
        <f>(Paid!AR80+React!AR140+Legacy!AR82*Legacy!AR$3)*Prices!$H$21+(Subs!AR148-(Paid!AR80+React!AR140+Legacy!AR82*Legacy!AR$3))*Prices!$I$21</f>
        <v/>
      </c>
      <c r="AS24" s="9">
        <f>(Paid!AS80+React!AS140+Legacy!AS82*Legacy!AS$3)*Prices!$H$21+(Subs!AS148-(Paid!AS80+React!AS140+Legacy!AS82*Legacy!AS$3))*Prices!$I$21</f>
        <v/>
      </c>
      <c r="AT24" s="9">
        <f>(Paid!AT80+React!AT140+Legacy!AT82*Legacy!AT$3)*Prices!$H$21+(Subs!AT148-(Paid!AT80+React!AT140+Legacy!AT82*Legacy!AT$3))*Prices!$I$21</f>
        <v/>
      </c>
      <c r="AU24" s="9">
        <f>(Paid!AU80+React!AU140+Legacy!AU82*Legacy!AU$3)*Prices!$H$21+(Subs!AU148-(Paid!AU80+React!AU140+Legacy!AU82*Legacy!AU$3))*Prices!$I$21</f>
        <v/>
      </c>
      <c r="AV24" s="9">
        <f>(Paid!AV80+React!AV140+Legacy!AV82*Legacy!AV$3)*Prices!$H$21+(Subs!AV148-(Paid!AV80+React!AV140+Legacy!AV82*Legacy!AV$3))*Prices!$I$21</f>
        <v/>
      </c>
      <c r="AW24" s="9">
        <f>(Paid!AW80+React!AW140+Legacy!AW82*Legacy!AW$3)*Prices!$H$21+(Subs!AW148-(Paid!AW80+React!AW140+Legacy!AW82*Legacy!AW$3))*Prices!$I$21</f>
        <v/>
      </c>
      <c r="AX24" s="9">
        <f>(Paid!AX80+React!AX140+Legacy!AX82*Legacy!AX$3)*Prices!$H$21+(Subs!AX148-(Paid!AX80+React!AX140+Legacy!AX82*Legacy!AX$3))*Prices!$I$21</f>
        <v/>
      </c>
      <c r="AY24" s="9">
        <f>(Paid!AY80+React!AY140+Legacy!AY82*Legacy!AY$3)*Prices!$H$21+(Subs!AY148-(Paid!AY80+React!AY140+Legacy!AY82*Legacy!AY$3))*Prices!$I$21</f>
        <v/>
      </c>
      <c r="AZ24" s="9">
        <f>(Paid!AZ80+React!AZ140+Legacy!AZ82*Legacy!AZ$3)*Prices!$H$21+(Subs!AZ148-(Paid!AZ80+React!AZ140+Legacy!AZ82*Legacy!AZ$3))*Prices!$I$21</f>
        <v/>
      </c>
      <c r="BA24" s="9">
        <f>(Paid!BA80+React!BA140+Legacy!BA82*Legacy!BA$3)*Prices!$H$21+(Subs!BA148-(Paid!BA80+React!BA140+Legacy!BA82*Legacy!BA$3))*Prices!$I$21</f>
        <v/>
      </c>
      <c r="BB24" s="9">
        <f>(Paid!BB80+React!BB140+Legacy!BB82*Legacy!BB$3)*Prices!$H$21+(Subs!BB148-(Paid!BB80+React!BB140+Legacy!BB82*Legacy!BB$3))*Prices!$I$21</f>
        <v/>
      </c>
      <c r="BC24" s="9">
        <f>(Paid!BC80+React!BC140+Legacy!BC82*Legacy!BC$3)*Prices!$H$21+(Subs!BC148-(Paid!BC80+React!BC140+Legacy!BC82*Legacy!BC$3))*Prices!$I$21</f>
        <v/>
      </c>
      <c r="BD24" s="9">
        <f>(Paid!BD80+React!BD140+Legacy!BD82*Legacy!BD$3)*Prices!$H$21+(Subs!BD148-(Paid!BD80+React!BD140+Legacy!BD82*Legacy!BD$3))*Prices!$I$21</f>
        <v/>
      </c>
      <c r="BE24" s="9">
        <f>(Paid!BE80+React!BE140+Legacy!BE82*Legacy!BE$3)*Prices!$H$21+(Subs!BE148-(Paid!BE80+React!BE140+Legacy!BE82*Legacy!BE$3))*Prices!$I$21</f>
        <v/>
      </c>
      <c r="BF24" s="9">
        <f>(Paid!BF80+React!BF140+Legacy!BF82*Legacy!BF$3)*Prices!$H$21+(Subs!BF148-(Paid!BF80+React!BF140+Legacy!BF82*Legacy!BF$3))*Prices!$I$21</f>
        <v/>
      </c>
      <c r="BG24" s="9">
        <f>(Paid!BG80+React!BG140+Legacy!BG82*Legacy!BG$3)*Prices!$H$21+(Subs!BG148-(Paid!BG80+React!BG140+Legacy!BG82*Legacy!BG$3))*Prices!$I$21</f>
        <v/>
      </c>
      <c r="BH24" s="9">
        <f>(Paid!BH80+React!BH140+Legacy!BH82*Legacy!BH$3)*Prices!$H$21+(Subs!BH148-(Paid!BH80+React!BH140+Legacy!BH82*Legacy!BH$3))*Prices!$I$21</f>
        <v/>
      </c>
      <c r="BI24" s="9">
        <f>(Paid!BI80+React!BI140+Legacy!BI82*Legacy!BI$3)*Prices!$H$21+(Subs!BI148-(Paid!BI80+React!BI140+Legacy!BI82*Legacy!BI$3))*Prices!$I$21</f>
        <v/>
      </c>
      <c r="BJ24" s="9">
        <f>(Paid!BJ80+React!BJ140+Legacy!BJ82*Legacy!BJ$3)*Prices!$H$21+(Subs!BJ148-(Paid!BJ80+React!BJ140+Legacy!BJ82*Legacy!BJ$3))*Prices!$I$21</f>
        <v/>
      </c>
      <c r="BK24" s="9">
        <f>(Paid!BK80+React!BK140+Legacy!BK82*Legacy!BK$3)*Prices!$H$21+(Subs!BK148-(Paid!BK80+React!BK140+Legacy!BK82*Legacy!BK$3))*Prices!$I$21</f>
        <v/>
      </c>
      <c r="BL24" s="9">
        <f>(Paid!BL80+React!BL140+Legacy!BL82*Legacy!BL$3)*Prices!$H$21+(Subs!BL148-(Paid!BL80+React!BL140+Legacy!BL82*Legacy!BL$3))*Prices!$I$21</f>
        <v/>
      </c>
      <c r="BM24" s="9">
        <f>(Paid!BM80+React!BM140+Legacy!BM82*Legacy!BM$3)*Prices!$H$21+(Subs!BM148-(Paid!BM80+React!BM140+Legacy!BM82*Legacy!BM$3))*Prices!$I$21</f>
        <v/>
      </c>
      <c r="BN24" s="9">
        <f>(Paid!BN80+React!BN140+Legacy!BN82*Legacy!BN$3)*Prices!$H$21+(Subs!BN148-(Paid!BN80+React!BN140+Legacy!BN82*Legacy!BN$3))*Prices!$I$21</f>
        <v/>
      </c>
      <c r="BO24" s="9">
        <f>(Paid!BO80+React!BO140+Legacy!BO82*Legacy!BO$3)*Prices!$H$21+(Subs!BO148-(Paid!BO80+React!BO140+Legacy!BO82*Legacy!BO$3))*Prices!$I$21</f>
        <v/>
      </c>
      <c r="BP24" s="9">
        <f>(Paid!BP80+React!BP140+Legacy!BP82*Legacy!BP$3)*Prices!$H$21+(Subs!BP148-(Paid!BP80+React!BP140+Legacy!BP82*Legacy!BP$3))*Prices!$I$21</f>
        <v/>
      </c>
      <c r="BQ24" s="9">
        <f>(Paid!BQ80+React!BQ140+Legacy!BQ82*Legacy!BQ$3)*Prices!$H$21+(Subs!BQ148-(Paid!BQ80+React!BQ140+Legacy!BQ82*Legacy!BQ$3))*Prices!$I$21</f>
        <v/>
      </c>
      <c r="BR24" s="9">
        <f>(Paid!BR80+React!BR140+Legacy!BR82*Legacy!BR$3)*Prices!$H$21+(Subs!BR148-(Paid!BR80+React!BR140+Legacy!BR82*Legacy!BR$3))*Prices!$I$21</f>
        <v/>
      </c>
      <c r="BS24" s="9">
        <f>(Paid!BS80+React!BS140+Legacy!BS82*Legacy!BS$3)*Prices!$H$21+(Subs!BS148-(Paid!BS80+React!BS140+Legacy!BS82*Legacy!BS$3))*Prices!$I$21</f>
        <v/>
      </c>
      <c r="BT24" s="9">
        <f>(Paid!BT80+React!BT140+Legacy!BT82*Legacy!BT$3)*Prices!$H$21+(Subs!BT148-(Paid!BT80+React!BT140+Legacy!BT82*Legacy!BT$3))*Prices!$I$21</f>
        <v/>
      </c>
      <c r="BU24" s="9">
        <f>(Paid!BU80+React!BU140+Legacy!BU82*Legacy!BU$3)*Prices!$H$21+(Subs!BU148-(Paid!BU80+React!BU140+Legacy!BU82*Legacy!BU$3))*Prices!$I$21</f>
        <v/>
      </c>
      <c r="BV24" s="9">
        <f>(Paid!BV80+React!BV140+Legacy!BV82*Legacy!BV$3)*Prices!$H$21+(Subs!BV148-(Paid!BV80+React!BV140+Legacy!BV82*Legacy!BV$3))*Prices!$I$21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V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Rows: sign-up month (cohort). Columns: calendar month. Cell = sign-ups x survival at age (month - cohort).</t>
        </is>
      </c>
    </row>
    <row r="5">
      <c r="A5" t="inlineStr">
        <is>
          <t>cohort 2025-01</t>
        </is>
      </c>
      <c r="B5" s="3">
        <f>INDEX(Adds!$C$12:$BV$12,1)</f>
        <v/>
      </c>
      <c r="C5" s="3">
        <f>$B5*INDEX(Curves!$C$2:$BV$2,C$2-0+1)</f>
        <v/>
      </c>
      <c r="D5" s="3">
        <f>$B5*INDEX(Curves!$C$2:$BV$2,D$2-0+1)</f>
        <v/>
      </c>
      <c r="E5" s="3">
        <f>$B5*INDEX(Curves!$C$2:$BV$2,E$2-0+1)</f>
        <v/>
      </c>
      <c r="F5" s="3">
        <f>$B5*INDEX(Curves!$C$2:$BV$2,F$2-0+1)</f>
        <v/>
      </c>
      <c r="G5" s="3">
        <f>$B5*INDEX(Curves!$C$2:$BV$2,G$2-0+1)</f>
        <v/>
      </c>
      <c r="H5" s="3">
        <f>$B5*INDEX(Curves!$C$2:$BV$2,H$2-0+1)</f>
        <v/>
      </c>
      <c r="I5" s="3">
        <f>$B5*INDEX(Curves!$C$2:$BV$2,I$2-0+1)</f>
        <v/>
      </c>
      <c r="J5" s="3">
        <f>$B5*INDEX(Curves!$C$2:$BV$2,J$2-0+1)</f>
        <v/>
      </c>
      <c r="K5" s="3">
        <f>$B5*INDEX(Curves!$C$2:$BV$2,K$2-0+1)</f>
        <v/>
      </c>
      <c r="L5" s="3">
        <f>$B5*INDEX(Curves!$C$2:$BV$2,L$2-0+1)</f>
        <v/>
      </c>
      <c r="M5" s="3">
        <f>$B5*INDEX(Curves!$C$2:$BV$2,M$2-0+1)</f>
        <v/>
      </c>
      <c r="N5" s="3">
        <f>$B5*INDEX(Curves!$C$2:$BV$2,N$2-0+1)</f>
        <v/>
      </c>
      <c r="O5" s="3">
        <f>$B5*INDEX(Curves!$C$2:$BV$2,O$2-0+1)</f>
        <v/>
      </c>
      <c r="P5" s="3">
        <f>$B5*INDEX(Curves!$C$2:$BV$2,P$2-0+1)</f>
        <v/>
      </c>
      <c r="Q5" s="3">
        <f>$B5*INDEX(Curves!$C$2:$BV$2,Q$2-0+1)</f>
        <v/>
      </c>
      <c r="R5" s="3">
        <f>$B5*INDEX(Curves!$C$2:$BV$2,R$2-0+1)</f>
        <v/>
      </c>
      <c r="S5" s="3">
        <f>$B5*INDEX(Curves!$C$2:$BV$2,S$2-0+1)</f>
        <v/>
      </c>
      <c r="T5" s="3">
        <f>$B5*INDEX(Curves!$C$2:$BV$2,T$2-0+1)</f>
        <v/>
      </c>
      <c r="U5" s="3">
        <f>$B5*INDEX(Curves!$C$2:$BV$2,U$2-0+1)</f>
        <v/>
      </c>
      <c r="V5" s="3">
        <f>$B5*INDEX(Curves!$C$2:$BV$2,V$2-0+1)</f>
        <v/>
      </c>
      <c r="W5" s="3">
        <f>$B5*INDEX(Curves!$C$2:$BV$2,W$2-0+1)</f>
        <v/>
      </c>
      <c r="X5" s="3">
        <f>$B5*INDEX(Curves!$C$2:$BV$2,X$2-0+1)</f>
        <v/>
      </c>
      <c r="Y5" s="3">
        <f>$B5*INDEX(Curves!$C$2:$BV$2,Y$2-0+1)</f>
        <v/>
      </c>
      <c r="Z5" s="3">
        <f>$B5*INDEX(Curves!$C$2:$BV$2,Z$2-0+1)</f>
        <v/>
      </c>
      <c r="AA5" s="3">
        <f>$B5*INDEX(Curves!$C$2:$BV$2,AA$2-0+1)</f>
        <v/>
      </c>
      <c r="AB5" s="3">
        <f>$B5*INDEX(Curves!$C$2:$BV$2,AB$2-0+1)</f>
        <v/>
      </c>
      <c r="AC5" s="3">
        <f>$B5*INDEX(Curves!$C$2:$BV$2,AC$2-0+1)</f>
        <v/>
      </c>
      <c r="AD5" s="3">
        <f>$B5*INDEX(Curves!$C$2:$BV$2,AD$2-0+1)</f>
        <v/>
      </c>
      <c r="AE5" s="3">
        <f>$B5*INDEX(Curves!$C$2:$BV$2,AE$2-0+1)</f>
        <v/>
      </c>
      <c r="AF5" s="3">
        <f>$B5*INDEX(Curves!$C$2:$BV$2,AF$2-0+1)</f>
        <v/>
      </c>
      <c r="AG5" s="3">
        <f>$B5*INDEX(Curves!$C$2:$BV$2,AG$2-0+1)</f>
        <v/>
      </c>
      <c r="AH5" s="3">
        <f>$B5*INDEX(Curves!$C$2:$BV$2,AH$2-0+1)</f>
        <v/>
      </c>
      <c r="AI5" s="3">
        <f>$B5*INDEX(Curves!$C$2:$BV$2,AI$2-0+1)</f>
        <v/>
      </c>
      <c r="AJ5" s="3">
        <f>$B5*INDEX(Curves!$C$2:$BV$2,AJ$2-0+1)</f>
        <v/>
      </c>
      <c r="AK5" s="3">
        <f>$B5*INDEX(Curves!$C$2:$BV$2,AK$2-0+1)</f>
        <v/>
      </c>
      <c r="AL5" s="3">
        <f>$B5*INDEX(Curves!$C$2:$BV$2,AL$2-0+1)</f>
        <v/>
      </c>
      <c r="AM5" s="3">
        <f>$B5*INDEX(Curves!$C$2:$BV$2,AM$2-0+1)</f>
        <v/>
      </c>
      <c r="AN5" s="3">
        <f>$B5*INDEX(Curves!$C$2:$BV$2,AN$2-0+1)</f>
        <v/>
      </c>
      <c r="AO5" s="3">
        <f>$B5*INDEX(Curves!$C$2:$BV$2,AO$2-0+1)</f>
        <v/>
      </c>
      <c r="AP5" s="3">
        <f>$B5*INDEX(Curves!$C$2:$BV$2,AP$2-0+1)</f>
        <v/>
      </c>
      <c r="AQ5" s="3">
        <f>$B5*INDEX(Curves!$C$2:$BV$2,AQ$2-0+1)</f>
        <v/>
      </c>
      <c r="AR5" s="3">
        <f>$B5*INDEX(Curves!$C$2:$BV$2,AR$2-0+1)</f>
        <v/>
      </c>
      <c r="AS5" s="3">
        <f>$B5*INDEX(Curves!$C$2:$BV$2,AS$2-0+1)</f>
        <v/>
      </c>
      <c r="AT5" s="3">
        <f>$B5*INDEX(Curves!$C$2:$BV$2,AT$2-0+1)</f>
        <v/>
      </c>
      <c r="AU5" s="3">
        <f>$B5*INDEX(Curves!$C$2:$BV$2,AU$2-0+1)</f>
        <v/>
      </c>
      <c r="AV5" s="3">
        <f>$B5*INDEX(Curves!$C$2:$BV$2,AV$2-0+1)</f>
        <v/>
      </c>
      <c r="AW5" s="3">
        <f>$B5*INDEX(Curves!$C$2:$BV$2,AW$2-0+1)</f>
        <v/>
      </c>
      <c r="AX5" s="3">
        <f>$B5*INDEX(Curves!$C$2:$BV$2,AX$2-0+1)</f>
        <v/>
      </c>
      <c r="AY5" s="3">
        <f>$B5*INDEX(Curves!$C$2:$BV$2,AY$2-0+1)</f>
        <v/>
      </c>
      <c r="AZ5" s="3">
        <f>$B5*INDEX(Curves!$C$2:$BV$2,AZ$2-0+1)</f>
        <v/>
      </c>
      <c r="BA5" s="3">
        <f>$B5*INDEX(Curves!$C$2:$BV$2,BA$2-0+1)</f>
        <v/>
      </c>
      <c r="BB5" s="3">
        <f>$B5*INDEX(Curves!$C$2:$BV$2,BB$2-0+1)</f>
        <v/>
      </c>
      <c r="BC5" s="3">
        <f>$B5*INDEX(Curves!$C$2:$BV$2,BC$2-0+1)</f>
        <v/>
      </c>
      <c r="BD5" s="3">
        <f>$B5*INDEX(Curves!$C$2:$BV$2,BD$2-0+1)</f>
        <v/>
      </c>
      <c r="BE5" s="3">
        <f>$B5*INDEX(Curves!$C$2:$BV$2,BE$2-0+1)</f>
        <v/>
      </c>
      <c r="BF5" s="3">
        <f>$B5*INDEX(Curves!$C$2:$BV$2,BF$2-0+1)</f>
        <v/>
      </c>
      <c r="BG5" s="3">
        <f>$B5*INDEX(Curves!$C$2:$BV$2,BG$2-0+1)</f>
        <v/>
      </c>
      <c r="BH5" s="3">
        <f>$B5*INDEX(Curves!$C$2:$BV$2,BH$2-0+1)</f>
        <v/>
      </c>
      <c r="BI5" s="3">
        <f>$B5*INDEX(Curves!$C$2:$BV$2,BI$2-0+1)</f>
        <v/>
      </c>
      <c r="BJ5" s="3">
        <f>$B5*INDEX(Curves!$C$2:$BV$2,BJ$2-0+1)</f>
        <v/>
      </c>
      <c r="BK5" s="3">
        <f>$B5*INDEX(Curves!$C$2:$BV$2,BK$2-0+1)</f>
        <v/>
      </c>
      <c r="BL5" s="3">
        <f>$B5*INDEX(Curves!$C$2:$BV$2,BL$2-0+1)</f>
        <v/>
      </c>
      <c r="BM5" s="3">
        <f>$B5*INDEX(Curves!$C$2:$BV$2,BM$2-0+1)</f>
        <v/>
      </c>
      <c r="BN5" s="3">
        <f>$B5*INDEX(Curves!$C$2:$BV$2,BN$2-0+1)</f>
        <v/>
      </c>
      <c r="BO5" s="3">
        <f>$B5*INDEX(Curves!$C$2:$BV$2,BO$2-0+1)</f>
        <v/>
      </c>
      <c r="BP5" s="3">
        <f>$B5*INDEX(Curves!$C$2:$BV$2,BP$2-0+1)</f>
        <v/>
      </c>
      <c r="BQ5" s="3">
        <f>$B5*INDEX(Curves!$C$2:$BV$2,BQ$2-0+1)</f>
        <v/>
      </c>
      <c r="BR5" s="3">
        <f>$B5*INDEX(Curves!$C$2:$BV$2,BR$2-0+1)</f>
        <v/>
      </c>
      <c r="BS5" s="3">
        <f>$B5*INDEX(Curves!$C$2:$BV$2,BS$2-0+1)</f>
        <v/>
      </c>
      <c r="BT5" s="3">
        <f>$B5*INDEX(Curves!$C$2:$BV$2,BT$2-0+1)</f>
        <v/>
      </c>
      <c r="BU5" s="3">
        <f>$B5*INDEX(Curves!$C$2:$BV$2,BU$2-0+1)</f>
        <v/>
      </c>
      <c r="BV5" s="3">
        <f>$B5*INDEX(Curves!$C$2:$BV$2,BV$2-0+1)</f>
        <v/>
      </c>
    </row>
    <row r="6">
      <c r="A6" t="inlineStr">
        <is>
          <t>cohort 2025-02</t>
        </is>
      </c>
      <c r="B6" s="3">
        <f>INDEX(Adds!$C$12:$BV$12,2)</f>
        <v/>
      </c>
      <c r="D6" s="3">
        <f>$B6*INDEX(Curves!$C$2:$BV$2,D$2-1+1)</f>
        <v/>
      </c>
      <c r="E6" s="3">
        <f>$B6*INDEX(Curves!$C$2:$BV$2,E$2-1+1)</f>
        <v/>
      </c>
      <c r="F6" s="3">
        <f>$B6*INDEX(Curves!$C$2:$BV$2,F$2-1+1)</f>
        <v/>
      </c>
      <c r="G6" s="3">
        <f>$B6*INDEX(Curves!$C$2:$BV$2,G$2-1+1)</f>
        <v/>
      </c>
      <c r="H6" s="3">
        <f>$B6*INDEX(Curves!$C$2:$BV$2,H$2-1+1)</f>
        <v/>
      </c>
      <c r="I6" s="3">
        <f>$B6*INDEX(Curves!$C$2:$BV$2,I$2-1+1)</f>
        <v/>
      </c>
      <c r="J6" s="3">
        <f>$B6*INDEX(Curves!$C$2:$BV$2,J$2-1+1)</f>
        <v/>
      </c>
      <c r="K6" s="3">
        <f>$B6*INDEX(Curves!$C$2:$BV$2,K$2-1+1)</f>
        <v/>
      </c>
      <c r="L6" s="3">
        <f>$B6*INDEX(Curves!$C$2:$BV$2,L$2-1+1)</f>
        <v/>
      </c>
      <c r="M6" s="3">
        <f>$B6*INDEX(Curves!$C$2:$BV$2,M$2-1+1)</f>
        <v/>
      </c>
      <c r="N6" s="3">
        <f>$B6*INDEX(Curves!$C$2:$BV$2,N$2-1+1)</f>
        <v/>
      </c>
      <c r="O6" s="3">
        <f>$B6*INDEX(Curves!$C$2:$BV$2,O$2-1+1)</f>
        <v/>
      </c>
      <c r="P6" s="3">
        <f>$B6*INDEX(Curves!$C$2:$BV$2,P$2-1+1)</f>
        <v/>
      </c>
      <c r="Q6" s="3">
        <f>$B6*INDEX(Curves!$C$2:$BV$2,Q$2-1+1)</f>
        <v/>
      </c>
      <c r="R6" s="3">
        <f>$B6*INDEX(Curves!$C$2:$BV$2,R$2-1+1)</f>
        <v/>
      </c>
      <c r="S6" s="3">
        <f>$B6*INDEX(Curves!$C$2:$BV$2,S$2-1+1)</f>
        <v/>
      </c>
      <c r="T6" s="3">
        <f>$B6*INDEX(Curves!$C$2:$BV$2,T$2-1+1)</f>
        <v/>
      </c>
      <c r="U6" s="3">
        <f>$B6*INDEX(Curves!$C$2:$BV$2,U$2-1+1)</f>
        <v/>
      </c>
      <c r="V6" s="3">
        <f>$B6*INDEX(Curves!$C$2:$BV$2,V$2-1+1)</f>
        <v/>
      </c>
      <c r="W6" s="3">
        <f>$B6*INDEX(Curves!$C$2:$BV$2,W$2-1+1)</f>
        <v/>
      </c>
      <c r="X6" s="3">
        <f>$B6*INDEX(Curves!$C$2:$BV$2,X$2-1+1)</f>
        <v/>
      </c>
      <c r="Y6" s="3">
        <f>$B6*INDEX(Curves!$C$2:$BV$2,Y$2-1+1)</f>
        <v/>
      </c>
      <c r="Z6" s="3">
        <f>$B6*INDEX(Curves!$C$2:$BV$2,Z$2-1+1)</f>
        <v/>
      </c>
      <c r="AA6" s="3">
        <f>$B6*INDEX(Curves!$C$2:$BV$2,AA$2-1+1)</f>
        <v/>
      </c>
      <c r="AB6" s="3">
        <f>$B6*INDEX(Curves!$C$2:$BV$2,AB$2-1+1)</f>
        <v/>
      </c>
      <c r="AC6" s="3">
        <f>$B6*INDEX(Curves!$C$2:$BV$2,AC$2-1+1)</f>
        <v/>
      </c>
      <c r="AD6" s="3">
        <f>$B6*INDEX(Curves!$C$2:$BV$2,AD$2-1+1)</f>
        <v/>
      </c>
      <c r="AE6" s="3">
        <f>$B6*INDEX(Curves!$C$2:$BV$2,AE$2-1+1)</f>
        <v/>
      </c>
      <c r="AF6" s="3">
        <f>$B6*INDEX(Curves!$C$2:$BV$2,AF$2-1+1)</f>
        <v/>
      </c>
      <c r="AG6" s="3">
        <f>$B6*INDEX(Curves!$C$2:$BV$2,AG$2-1+1)</f>
        <v/>
      </c>
      <c r="AH6" s="3">
        <f>$B6*INDEX(Curves!$C$2:$BV$2,AH$2-1+1)</f>
        <v/>
      </c>
      <c r="AI6" s="3">
        <f>$B6*INDEX(Curves!$C$2:$BV$2,AI$2-1+1)</f>
        <v/>
      </c>
      <c r="AJ6" s="3">
        <f>$B6*INDEX(Curves!$C$2:$BV$2,AJ$2-1+1)</f>
        <v/>
      </c>
      <c r="AK6" s="3">
        <f>$B6*INDEX(Curves!$C$2:$BV$2,AK$2-1+1)</f>
        <v/>
      </c>
      <c r="AL6" s="3">
        <f>$B6*INDEX(Curves!$C$2:$BV$2,AL$2-1+1)</f>
        <v/>
      </c>
      <c r="AM6" s="3">
        <f>$B6*INDEX(Curves!$C$2:$BV$2,AM$2-1+1)</f>
        <v/>
      </c>
      <c r="AN6" s="3">
        <f>$B6*INDEX(Curves!$C$2:$BV$2,AN$2-1+1)</f>
        <v/>
      </c>
      <c r="AO6" s="3">
        <f>$B6*INDEX(Curves!$C$2:$BV$2,AO$2-1+1)</f>
        <v/>
      </c>
      <c r="AP6" s="3">
        <f>$B6*INDEX(Curves!$C$2:$BV$2,AP$2-1+1)</f>
        <v/>
      </c>
      <c r="AQ6" s="3">
        <f>$B6*INDEX(Curves!$C$2:$BV$2,AQ$2-1+1)</f>
        <v/>
      </c>
      <c r="AR6" s="3">
        <f>$B6*INDEX(Curves!$C$2:$BV$2,AR$2-1+1)</f>
        <v/>
      </c>
      <c r="AS6" s="3">
        <f>$B6*INDEX(Curves!$C$2:$BV$2,AS$2-1+1)</f>
        <v/>
      </c>
      <c r="AT6" s="3">
        <f>$B6*INDEX(Curves!$C$2:$BV$2,AT$2-1+1)</f>
        <v/>
      </c>
      <c r="AU6" s="3">
        <f>$B6*INDEX(Curves!$C$2:$BV$2,AU$2-1+1)</f>
        <v/>
      </c>
      <c r="AV6" s="3">
        <f>$B6*INDEX(Curves!$C$2:$BV$2,AV$2-1+1)</f>
        <v/>
      </c>
      <c r="AW6" s="3">
        <f>$B6*INDEX(Curves!$C$2:$BV$2,AW$2-1+1)</f>
        <v/>
      </c>
      <c r="AX6" s="3">
        <f>$B6*INDEX(Curves!$C$2:$BV$2,AX$2-1+1)</f>
        <v/>
      </c>
      <c r="AY6" s="3">
        <f>$B6*INDEX(Curves!$C$2:$BV$2,AY$2-1+1)</f>
        <v/>
      </c>
      <c r="AZ6" s="3">
        <f>$B6*INDEX(Curves!$C$2:$BV$2,AZ$2-1+1)</f>
        <v/>
      </c>
      <c r="BA6" s="3">
        <f>$B6*INDEX(Curves!$C$2:$BV$2,BA$2-1+1)</f>
        <v/>
      </c>
      <c r="BB6" s="3">
        <f>$B6*INDEX(Curves!$C$2:$BV$2,BB$2-1+1)</f>
        <v/>
      </c>
      <c r="BC6" s="3">
        <f>$B6*INDEX(Curves!$C$2:$BV$2,BC$2-1+1)</f>
        <v/>
      </c>
      <c r="BD6" s="3">
        <f>$B6*INDEX(Curves!$C$2:$BV$2,BD$2-1+1)</f>
        <v/>
      </c>
      <c r="BE6" s="3">
        <f>$B6*INDEX(Curves!$C$2:$BV$2,BE$2-1+1)</f>
        <v/>
      </c>
      <c r="BF6" s="3">
        <f>$B6*INDEX(Curves!$C$2:$BV$2,BF$2-1+1)</f>
        <v/>
      </c>
      <c r="BG6" s="3">
        <f>$B6*INDEX(Curves!$C$2:$BV$2,BG$2-1+1)</f>
        <v/>
      </c>
      <c r="BH6" s="3">
        <f>$B6*INDEX(Curves!$C$2:$BV$2,BH$2-1+1)</f>
        <v/>
      </c>
      <c r="BI6" s="3">
        <f>$B6*INDEX(Curves!$C$2:$BV$2,BI$2-1+1)</f>
        <v/>
      </c>
      <c r="BJ6" s="3">
        <f>$B6*INDEX(Curves!$C$2:$BV$2,BJ$2-1+1)</f>
        <v/>
      </c>
      <c r="BK6" s="3">
        <f>$B6*INDEX(Curves!$C$2:$BV$2,BK$2-1+1)</f>
        <v/>
      </c>
      <c r="BL6" s="3">
        <f>$B6*INDEX(Curves!$C$2:$BV$2,BL$2-1+1)</f>
        <v/>
      </c>
      <c r="BM6" s="3">
        <f>$B6*INDEX(Curves!$C$2:$BV$2,BM$2-1+1)</f>
        <v/>
      </c>
      <c r="BN6" s="3">
        <f>$B6*INDEX(Curves!$C$2:$BV$2,BN$2-1+1)</f>
        <v/>
      </c>
      <c r="BO6" s="3">
        <f>$B6*INDEX(Curves!$C$2:$BV$2,BO$2-1+1)</f>
        <v/>
      </c>
      <c r="BP6" s="3">
        <f>$B6*INDEX(Curves!$C$2:$BV$2,BP$2-1+1)</f>
        <v/>
      </c>
      <c r="BQ6" s="3">
        <f>$B6*INDEX(Curves!$C$2:$BV$2,BQ$2-1+1)</f>
        <v/>
      </c>
      <c r="BR6" s="3">
        <f>$B6*INDEX(Curves!$C$2:$BV$2,BR$2-1+1)</f>
        <v/>
      </c>
      <c r="BS6" s="3">
        <f>$B6*INDEX(Curves!$C$2:$BV$2,BS$2-1+1)</f>
        <v/>
      </c>
      <c r="BT6" s="3">
        <f>$B6*INDEX(Curves!$C$2:$BV$2,BT$2-1+1)</f>
        <v/>
      </c>
      <c r="BU6" s="3">
        <f>$B6*INDEX(Curves!$C$2:$BV$2,BU$2-1+1)</f>
        <v/>
      </c>
      <c r="BV6" s="3">
        <f>$B6*INDEX(Curves!$C$2:$BV$2,BV$2-1+1)</f>
        <v/>
      </c>
    </row>
    <row r="7">
      <c r="A7" t="inlineStr">
        <is>
          <t>cohort 2025-03</t>
        </is>
      </c>
      <c r="B7" s="3">
        <f>INDEX(Adds!$C$12:$BV$12,3)</f>
        <v/>
      </c>
      <c r="E7" s="3">
        <f>$B7*INDEX(Curves!$C$2:$BV$2,E$2-2+1)</f>
        <v/>
      </c>
      <c r="F7" s="3">
        <f>$B7*INDEX(Curves!$C$2:$BV$2,F$2-2+1)</f>
        <v/>
      </c>
      <c r="G7" s="3">
        <f>$B7*INDEX(Curves!$C$2:$BV$2,G$2-2+1)</f>
        <v/>
      </c>
      <c r="H7" s="3">
        <f>$B7*INDEX(Curves!$C$2:$BV$2,H$2-2+1)</f>
        <v/>
      </c>
      <c r="I7" s="3">
        <f>$B7*INDEX(Curves!$C$2:$BV$2,I$2-2+1)</f>
        <v/>
      </c>
      <c r="J7" s="3">
        <f>$B7*INDEX(Curves!$C$2:$BV$2,J$2-2+1)</f>
        <v/>
      </c>
      <c r="K7" s="3">
        <f>$B7*INDEX(Curves!$C$2:$BV$2,K$2-2+1)</f>
        <v/>
      </c>
      <c r="L7" s="3">
        <f>$B7*INDEX(Curves!$C$2:$BV$2,L$2-2+1)</f>
        <v/>
      </c>
      <c r="M7" s="3">
        <f>$B7*INDEX(Curves!$C$2:$BV$2,M$2-2+1)</f>
        <v/>
      </c>
      <c r="N7" s="3">
        <f>$B7*INDEX(Curves!$C$2:$BV$2,N$2-2+1)</f>
        <v/>
      </c>
      <c r="O7" s="3">
        <f>$B7*INDEX(Curves!$C$2:$BV$2,O$2-2+1)</f>
        <v/>
      </c>
      <c r="P7" s="3">
        <f>$B7*INDEX(Curves!$C$2:$BV$2,P$2-2+1)</f>
        <v/>
      </c>
      <c r="Q7" s="3">
        <f>$B7*INDEX(Curves!$C$2:$BV$2,Q$2-2+1)</f>
        <v/>
      </c>
      <c r="R7" s="3">
        <f>$B7*INDEX(Curves!$C$2:$BV$2,R$2-2+1)</f>
        <v/>
      </c>
      <c r="S7" s="3">
        <f>$B7*INDEX(Curves!$C$2:$BV$2,S$2-2+1)</f>
        <v/>
      </c>
      <c r="T7" s="3">
        <f>$B7*INDEX(Curves!$C$2:$BV$2,T$2-2+1)</f>
        <v/>
      </c>
      <c r="U7" s="3">
        <f>$B7*INDEX(Curves!$C$2:$BV$2,U$2-2+1)</f>
        <v/>
      </c>
      <c r="V7" s="3">
        <f>$B7*INDEX(Curves!$C$2:$BV$2,V$2-2+1)</f>
        <v/>
      </c>
      <c r="W7" s="3">
        <f>$B7*INDEX(Curves!$C$2:$BV$2,W$2-2+1)</f>
        <v/>
      </c>
      <c r="X7" s="3">
        <f>$B7*INDEX(Curves!$C$2:$BV$2,X$2-2+1)</f>
        <v/>
      </c>
      <c r="Y7" s="3">
        <f>$B7*INDEX(Curves!$C$2:$BV$2,Y$2-2+1)</f>
        <v/>
      </c>
      <c r="Z7" s="3">
        <f>$B7*INDEX(Curves!$C$2:$BV$2,Z$2-2+1)</f>
        <v/>
      </c>
      <c r="AA7" s="3">
        <f>$B7*INDEX(Curves!$C$2:$BV$2,AA$2-2+1)</f>
        <v/>
      </c>
      <c r="AB7" s="3">
        <f>$B7*INDEX(Curves!$C$2:$BV$2,AB$2-2+1)</f>
        <v/>
      </c>
      <c r="AC7" s="3">
        <f>$B7*INDEX(Curves!$C$2:$BV$2,AC$2-2+1)</f>
        <v/>
      </c>
      <c r="AD7" s="3">
        <f>$B7*INDEX(Curves!$C$2:$BV$2,AD$2-2+1)</f>
        <v/>
      </c>
      <c r="AE7" s="3">
        <f>$B7*INDEX(Curves!$C$2:$BV$2,AE$2-2+1)</f>
        <v/>
      </c>
      <c r="AF7" s="3">
        <f>$B7*INDEX(Curves!$C$2:$BV$2,AF$2-2+1)</f>
        <v/>
      </c>
      <c r="AG7" s="3">
        <f>$B7*INDEX(Curves!$C$2:$BV$2,AG$2-2+1)</f>
        <v/>
      </c>
      <c r="AH7" s="3">
        <f>$B7*INDEX(Curves!$C$2:$BV$2,AH$2-2+1)</f>
        <v/>
      </c>
      <c r="AI7" s="3">
        <f>$B7*INDEX(Curves!$C$2:$BV$2,AI$2-2+1)</f>
        <v/>
      </c>
      <c r="AJ7" s="3">
        <f>$B7*INDEX(Curves!$C$2:$BV$2,AJ$2-2+1)</f>
        <v/>
      </c>
      <c r="AK7" s="3">
        <f>$B7*INDEX(Curves!$C$2:$BV$2,AK$2-2+1)</f>
        <v/>
      </c>
      <c r="AL7" s="3">
        <f>$B7*INDEX(Curves!$C$2:$BV$2,AL$2-2+1)</f>
        <v/>
      </c>
      <c r="AM7" s="3">
        <f>$B7*INDEX(Curves!$C$2:$BV$2,AM$2-2+1)</f>
        <v/>
      </c>
      <c r="AN7" s="3">
        <f>$B7*INDEX(Curves!$C$2:$BV$2,AN$2-2+1)</f>
        <v/>
      </c>
      <c r="AO7" s="3">
        <f>$B7*INDEX(Curves!$C$2:$BV$2,AO$2-2+1)</f>
        <v/>
      </c>
      <c r="AP7" s="3">
        <f>$B7*INDEX(Curves!$C$2:$BV$2,AP$2-2+1)</f>
        <v/>
      </c>
      <c r="AQ7" s="3">
        <f>$B7*INDEX(Curves!$C$2:$BV$2,AQ$2-2+1)</f>
        <v/>
      </c>
      <c r="AR7" s="3">
        <f>$B7*INDEX(Curves!$C$2:$BV$2,AR$2-2+1)</f>
        <v/>
      </c>
      <c r="AS7" s="3">
        <f>$B7*INDEX(Curves!$C$2:$BV$2,AS$2-2+1)</f>
        <v/>
      </c>
      <c r="AT7" s="3">
        <f>$B7*INDEX(Curves!$C$2:$BV$2,AT$2-2+1)</f>
        <v/>
      </c>
      <c r="AU7" s="3">
        <f>$B7*INDEX(Curves!$C$2:$BV$2,AU$2-2+1)</f>
        <v/>
      </c>
      <c r="AV7" s="3">
        <f>$B7*INDEX(Curves!$C$2:$BV$2,AV$2-2+1)</f>
        <v/>
      </c>
      <c r="AW7" s="3">
        <f>$B7*INDEX(Curves!$C$2:$BV$2,AW$2-2+1)</f>
        <v/>
      </c>
      <c r="AX7" s="3">
        <f>$B7*INDEX(Curves!$C$2:$BV$2,AX$2-2+1)</f>
        <v/>
      </c>
      <c r="AY7" s="3">
        <f>$B7*INDEX(Curves!$C$2:$BV$2,AY$2-2+1)</f>
        <v/>
      </c>
      <c r="AZ7" s="3">
        <f>$B7*INDEX(Curves!$C$2:$BV$2,AZ$2-2+1)</f>
        <v/>
      </c>
      <c r="BA7" s="3">
        <f>$B7*INDEX(Curves!$C$2:$BV$2,BA$2-2+1)</f>
        <v/>
      </c>
      <c r="BB7" s="3">
        <f>$B7*INDEX(Curves!$C$2:$BV$2,BB$2-2+1)</f>
        <v/>
      </c>
      <c r="BC7" s="3">
        <f>$B7*INDEX(Curves!$C$2:$BV$2,BC$2-2+1)</f>
        <v/>
      </c>
      <c r="BD7" s="3">
        <f>$B7*INDEX(Curves!$C$2:$BV$2,BD$2-2+1)</f>
        <v/>
      </c>
      <c r="BE7" s="3">
        <f>$B7*INDEX(Curves!$C$2:$BV$2,BE$2-2+1)</f>
        <v/>
      </c>
      <c r="BF7" s="3">
        <f>$B7*INDEX(Curves!$C$2:$BV$2,BF$2-2+1)</f>
        <v/>
      </c>
      <c r="BG7" s="3">
        <f>$B7*INDEX(Curves!$C$2:$BV$2,BG$2-2+1)</f>
        <v/>
      </c>
      <c r="BH7" s="3">
        <f>$B7*INDEX(Curves!$C$2:$BV$2,BH$2-2+1)</f>
        <v/>
      </c>
      <c r="BI7" s="3">
        <f>$B7*INDEX(Curves!$C$2:$BV$2,BI$2-2+1)</f>
        <v/>
      </c>
      <c r="BJ7" s="3">
        <f>$B7*INDEX(Curves!$C$2:$BV$2,BJ$2-2+1)</f>
        <v/>
      </c>
      <c r="BK7" s="3">
        <f>$B7*INDEX(Curves!$C$2:$BV$2,BK$2-2+1)</f>
        <v/>
      </c>
      <c r="BL7" s="3">
        <f>$B7*INDEX(Curves!$C$2:$BV$2,BL$2-2+1)</f>
        <v/>
      </c>
      <c r="BM7" s="3">
        <f>$B7*INDEX(Curves!$C$2:$BV$2,BM$2-2+1)</f>
        <v/>
      </c>
      <c r="BN7" s="3">
        <f>$B7*INDEX(Curves!$C$2:$BV$2,BN$2-2+1)</f>
        <v/>
      </c>
      <c r="BO7" s="3">
        <f>$B7*INDEX(Curves!$C$2:$BV$2,BO$2-2+1)</f>
        <v/>
      </c>
      <c r="BP7" s="3">
        <f>$B7*INDEX(Curves!$C$2:$BV$2,BP$2-2+1)</f>
        <v/>
      </c>
      <c r="BQ7" s="3">
        <f>$B7*INDEX(Curves!$C$2:$BV$2,BQ$2-2+1)</f>
        <v/>
      </c>
      <c r="BR7" s="3">
        <f>$B7*INDEX(Curves!$C$2:$BV$2,BR$2-2+1)</f>
        <v/>
      </c>
      <c r="BS7" s="3">
        <f>$B7*INDEX(Curves!$C$2:$BV$2,BS$2-2+1)</f>
        <v/>
      </c>
      <c r="BT7" s="3">
        <f>$B7*INDEX(Curves!$C$2:$BV$2,BT$2-2+1)</f>
        <v/>
      </c>
      <c r="BU7" s="3">
        <f>$B7*INDEX(Curves!$C$2:$BV$2,BU$2-2+1)</f>
        <v/>
      </c>
      <c r="BV7" s="3">
        <f>$B7*INDEX(Curves!$C$2:$BV$2,BV$2-2+1)</f>
        <v/>
      </c>
    </row>
    <row r="8">
      <c r="A8" t="inlineStr">
        <is>
          <t>cohort 2025-04</t>
        </is>
      </c>
      <c r="B8" s="3">
        <f>INDEX(Adds!$C$12:$BV$12,4)</f>
        <v/>
      </c>
      <c r="F8" s="3">
        <f>$B8*INDEX(Curves!$C$2:$BV$2,F$2-3+1)</f>
        <v/>
      </c>
      <c r="G8" s="3">
        <f>$B8*INDEX(Curves!$C$2:$BV$2,G$2-3+1)</f>
        <v/>
      </c>
      <c r="H8" s="3">
        <f>$B8*INDEX(Curves!$C$2:$BV$2,H$2-3+1)</f>
        <v/>
      </c>
      <c r="I8" s="3">
        <f>$B8*INDEX(Curves!$C$2:$BV$2,I$2-3+1)</f>
        <v/>
      </c>
      <c r="J8" s="3">
        <f>$B8*INDEX(Curves!$C$2:$BV$2,J$2-3+1)</f>
        <v/>
      </c>
      <c r="K8" s="3">
        <f>$B8*INDEX(Curves!$C$2:$BV$2,K$2-3+1)</f>
        <v/>
      </c>
      <c r="L8" s="3">
        <f>$B8*INDEX(Curves!$C$2:$BV$2,L$2-3+1)</f>
        <v/>
      </c>
      <c r="M8" s="3">
        <f>$B8*INDEX(Curves!$C$2:$BV$2,M$2-3+1)</f>
        <v/>
      </c>
      <c r="N8" s="3">
        <f>$B8*INDEX(Curves!$C$2:$BV$2,N$2-3+1)</f>
        <v/>
      </c>
      <c r="O8" s="3">
        <f>$B8*INDEX(Curves!$C$2:$BV$2,O$2-3+1)</f>
        <v/>
      </c>
      <c r="P8" s="3">
        <f>$B8*INDEX(Curves!$C$2:$BV$2,P$2-3+1)</f>
        <v/>
      </c>
      <c r="Q8" s="3">
        <f>$B8*INDEX(Curves!$C$2:$BV$2,Q$2-3+1)</f>
        <v/>
      </c>
      <c r="R8" s="3">
        <f>$B8*INDEX(Curves!$C$2:$BV$2,R$2-3+1)</f>
        <v/>
      </c>
      <c r="S8" s="3">
        <f>$B8*INDEX(Curves!$C$2:$BV$2,S$2-3+1)</f>
        <v/>
      </c>
      <c r="T8" s="3">
        <f>$B8*INDEX(Curves!$C$2:$BV$2,T$2-3+1)</f>
        <v/>
      </c>
      <c r="U8" s="3">
        <f>$B8*INDEX(Curves!$C$2:$BV$2,U$2-3+1)</f>
        <v/>
      </c>
      <c r="V8" s="3">
        <f>$B8*INDEX(Curves!$C$2:$BV$2,V$2-3+1)</f>
        <v/>
      </c>
      <c r="W8" s="3">
        <f>$B8*INDEX(Curves!$C$2:$BV$2,W$2-3+1)</f>
        <v/>
      </c>
      <c r="X8" s="3">
        <f>$B8*INDEX(Curves!$C$2:$BV$2,X$2-3+1)</f>
        <v/>
      </c>
      <c r="Y8" s="3">
        <f>$B8*INDEX(Curves!$C$2:$BV$2,Y$2-3+1)</f>
        <v/>
      </c>
      <c r="Z8" s="3">
        <f>$B8*INDEX(Curves!$C$2:$BV$2,Z$2-3+1)</f>
        <v/>
      </c>
      <c r="AA8" s="3">
        <f>$B8*INDEX(Curves!$C$2:$BV$2,AA$2-3+1)</f>
        <v/>
      </c>
      <c r="AB8" s="3">
        <f>$B8*INDEX(Curves!$C$2:$BV$2,AB$2-3+1)</f>
        <v/>
      </c>
      <c r="AC8" s="3">
        <f>$B8*INDEX(Curves!$C$2:$BV$2,AC$2-3+1)</f>
        <v/>
      </c>
      <c r="AD8" s="3">
        <f>$B8*INDEX(Curves!$C$2:$BV$2,AD$2-3+1)</f>
        <v/>
      </c>
      <c r="AE8" s="3">
        <f>$B8*INDEX(Curves!$C$2:$BV$2,AE$2-3+1)</f>
        <v/>
      </c>
      <c r="AF8" s="3">
        <f>$B8*INDEX(Curves!$C$2:$BV$2,AF$2-3+1)</f>
        <v/>
      </c>
      <c r="AG8" s="3">
        <f>$B8*INDEX(Curves!$C$2:$BV$2,AG$2-3+1)</f>
        <v/>
      </c>
      <c r="AH8" s="3">
        <f>$B8*INDEX(Curves!$C$2:$BV$2,AH$2-3+1)</f>
        <v/>
      </c>
      <c r="AI8" s="3">
        <f>$B8*INDEX(Curves!$C$2:$BV$2,AI$2-3+1)</f>
        <v/>
      </c>
      <c r="AJ8" s="3">
        <f>$B8*INDEX(Curves!$C$2:$BV$2,AJ$2-3+1)</f>
        <v/>
      </c>
      <c r="AK8" s="3">
        <f>$B8*INDEX(Curves!$C$2:$BV$2,AK$2-3+1)</f>
        <v/>
      </c>
      <c r="AL8" s="3">
        <f>$B8*INDEX(Curves!$C$2:$BV$2,AL$2-3+1)</f>
        <v/>
      </c>
      <c r="AM8" s="3">
        <f>$B8*INDEX(Curves!$C$2:$BV$2,AM$2-3+1)</f>
        <v/>
      </c>
      <c r="AN8" s="3">
        <f>$B8*INDEX(Curves!$C$2:$BV$2,AN$2-3+1)</f>
        <v/>
      </c>
      <c r="AO8" s="3">
        <f>$B8*INDEX(Curves!$C$2:$BV$2,AO$2-3+1)</f>
        <v/>
      </c>
      <c r="AP8" s="3">
        <f>$B8*INDEX(Curves!$C$2:$BV$2,AP$2-3+1)</f>
        <v/>
      </c>
      <c r="AQ8" s="3">
        <f>$B8*INDEX(Curves!$C$2:$BV$2,AQ$2-3+1)</f>
        <v/>
      </c>
      <c r="AR8" s="3">
        <f>$B8*INDEX(Curves!$C$2:$BV$2,AR$2-3+1)</f>
        <v/>
      </c>
      <c r="AS8" s="3">
        <f>$B8*INDEX(Curves!$C$2:$BV$2,AS$2-3+1)</f>
        <v/>
      </c>
      <c r="AT8" s="3">
        <f>$B8*INDEX(Curves!$C$2:$BV$2,AT$2-3+1)</f>
        <v/>
      </c>
      <c r="AU8" s="3">
        <f>$B8*INDEX(Curves!$C$2:$BV$2,AU$2-3+1)</f>
        <v/>
      </c>
      <c r="AV8" s="3">
        <f>$B8*INDEX(Curves!$C$2:$BV$2,AV$2-3+1)</f>
        <v/>
      </c>
      <c r="AW8" s="3">
        <f>$B8*INDEX(Curves!$C$2:$BV$2,AW$2-3+1)</f>
        <v/>
      </c>
      <c r="AX8" s="3">
        <f>$B8*INDEX(Curves!$C$2:$BV$2,AX$2-3+1)</f>
        <v/>
      </c>
      <c r="AY8" s="3">
        <f>$B8*INDEX(Curves!$C$2:$BV$2,AY$2-3+1)</f>
        <v/>
      </c>
      <c r="AZ8" s="3">
        <f>$B8*INDEX(Curves!$C$2:$BV$2,AZ$2-3+1)</f>
        <v/>
      </c>
      <c r="BA8" s="3">
        <f>$B8*INDEX(Curves!$C$2:$BV$2,BA$2-3+1)</f>
        <v/>
      </c>
      <c r="BB8" s="3">
        <f>$B8*INDEX(Curves!$C$2:$BV$2,BB$2-3+1)</f>
        <v/>
      </c>
      <c r="BC8" s="3">
        <f>$B8*INDEX(Curves!$C$2:$BV$2,BC$2-3+1)</f>
        <v/>
      </c>
      <c r="BD8" s="3">
        <f>$B8*INDEX(Curves!$C$2:$BV$2,BD$2-3+1)</f>
        <v/>
      </c>
      <c r="BE8" s="3">
        <f>$B8*INDEX(Curves!$C$2:$BV$2,BE$2-3+1)</f>
        <v/>
      </c>
      <c r="BF8" s="3">
        <f>$B8*INDEX(Curves!$C$2:$BV$2,BF$2-3+1)</f>
        <v/>
      </c>
      <c r="BG8" s="3">
        <f>$B8*INDEX(Curves!$C$2:$BV$2,BG$2-3+1)</f>
        <v/>
      </c>
      <c r="BH8" s="3">
        <f>$B8*INDEX(Curves!$C$2:$BV$2,BH$2-3+1)</f>
        <v/>
      </c>
      <c r="BI8" s="3">
        <f>$B8*INDEX(Curves!$C$2:$BV$2,BI$2-3+1)</f>
        <v/>
      </c>
      <c r="BJ8" s="3">
        <f>$B8*INDEX(Curves!$C$2:$BV$2,BJ$2-3+1)</f>
        <v/>
      </c>
      <c r="BK8" s="3">
        <f>$B8*INDEX(Curves!$C$2:$BV$2,BK$2-3+1)</f>
        <v/>
      </c>
      <c r="BL8" s="3">
        <f>$B8*INDEX(Curves!$C$2:$BV$2,BL$2-3+1)</f>
        <v/>
      </c>
      <c r="BM8" s="3">
        <f>$B8*INDEX(Curves!$C$2:$BV$2,BM$2-3+1)</f>
        <v/>
      </c>
      <c r="BN8" s="3">
        <f>$B8*INDEX(Curves!$C$2:$BV$2,BN$2-3+1)</f>
        <v/>
      </c>
      <c r="BO8" s="3">
        <f>$B8*INDEX(Curves!$C$2:$BV$2,BO$2-3+1)</f>
        <v/>
      </c>
      <c r="BP8" s="3">
        <f>$B8*INDEX(Curves!$C$2:$BV$2,BP$2-3+1)</f>
        <v/>
      </c>
      <c r="BQ8" s="3">
        <f>$B8*INDEX(Curves!$C$2:$BV$2,BQ$2-3+1)</f>
        <v/>
      </c>
      <c r="BR8" s="3">
        <f>$B8*INDEX(Curves!$C$2:$BV$2,BR$2-3+1)</f>
        <v/>
      </c>
      <c r="BS8" s="3">
        <f>$B8*INDEX(Curves!$C$2:$BV$2,BS$2-3+1)</f>
        <v/>
      </c>
      <c r="BT8" s="3">
        <f>$B8*INDEX(Curves!$C$2:$BV$2,BT$2-3+1)</f>
        <v/>
      </c>
      <c r="BU8" s="3">
        <f>$B8*INDEX(Curves!$C$2:$BV$2,BU$2-3+1)</f>
        <v/>
      </c>
      <c r="BV8" s="3">
        <f>$B8*INDEX(Curves!$C$2:$BV$2,BV$2-3+1)</f>
        <v/>
      </c>
    </row>
    <row r="9">
      <c r="A9" t="inlineStr">
        <is>
          <t>cohort 2025-05</t>
        </is>
      </c>
      <c r="B9" s="3">
        <f>INDEX(Adds!$C$12:$BV$12,5)</f>
        <v/>
      </c>
      <c r="G9" s="3">
        <f>$B9*INDEX(Curves!$C$2:$BV$2,G$2-4+1)</f>
        <v/>
      </c>
      <c r="H9" s="3">
        <f>$B9*INDEX(Curves!$C$2:$BV$2,H$2-4+1)</f>
        <v/>
      </c>
      <c r="I9" s="3">
        <f>$B9*INDEX(Curves!$C$2:$BV$2,I$2-4+1)</f>
        <v/>
      </c>
      <c r="J9" s="3">
        <f>$B9*INDEX(Curves!$C$2:$BV$2,J$2-4+1)</f>
        <v/>
      </c>
      <c r="K9" s="3">
        <f>$B9*INDEX(Curves!$C$2:$BV$2,K$2-4+1)</f>
        <v/>
      </c>
      <c r="L9" s="3">
        <f>$B9*INDEX(Curves!$C$2:$BV$2,L$2-4+1)</f>
        <v/>
      </c>
      <c r="M9" s="3">
        <f>$B9*INDEX(Curves!$C$2:$BV$2,M$2-4+1)</f>
        <v/>
      </c>
      <c r="N9" s="3">
        <f>$B9*INDEX(Curves!$C$2:$BV$2,N$2-4+1)</f>
        <v/>
      </c>
      <c r="O9" s="3">
        <f>$B9*INDEX(Curves!$C$2:$BV$2,O$2-4+1)</f>
        <v/>
      </c>
      <c r="P9" s="3">
        <f>$B9*INDEX(Curves!$C$2:$BV$2,P$2-4+1)</f>
        <v/>
      </c>
      <c r="Q9" s="3">
        <f>$B9*INDEX(Curves!$C$2:$BV$2,Q$2-4+1)</f>
        <v/>
      </c>
      <c r="R9" s="3">
        <f>$B9*INDEX(Curves!$C$2:$BV$2,R$2-4+1)</f>
        <v/>
      </c>
      <c r="S9" s="3">
        <f>$B9*INDEX(Curves!$C$2:$BV$2,S$2-4+1)</f>
        <v/>
      </c>
      <c r="T9" s="3">
        <f>$B9*INDEX(Curves!$C$2:$BV$2,T$2-4+1)</f>
        <v/>
      </c>
      <c r="U9" s="3">
        <f>$B9*INDEX(Curves!$C$2:$BV$2,U$2-4+1)</f>
        <v/>
      </c>
      <c r="V9" s="3">
        <f>$B9*INDEX(Curves!$C$2:$BV$2,V$2-4+1)</f>
        <v/>
      </c>
      <c r="W9" s="3">
        <f>$B9*INDEX(Curves!$C$2:$BV$2,W$2-4+1)</f>
        <v/>
      </c>
      <c r="X9" s="3">
        <f>$B9*INDEX(Curves!$C$2:$BV$2,X$2-4+1)</f>
        <v/>
      </c>
      <c r="Y9" s="3">
        <f>$B9*INDEX(Curves!$C$2:$BV$2,Y$2-4+1)</f>
        <v/>
      </c>
      <c r="Z9" s="3">
        <f>$B9*INDEX(Curves!$C$2:$BV$2,Z$2-4+1)</f>
        <v/>
      </c>
      <c r="AA9" s="3">
        <f>$B9*INDEX(Curves!$C$2:$BV$2,AA$2-4+1)</f>
        <v/>
      </c>
      <c r="AB9" s="3">
        <f>$B9*INDEX(Curves!$C$2:$BV$2,AB$2-4+1)</f>
        <v/>
      </c>
      <c r="AC9" s="3">
        <f>$B9*INDEX(Curves!$C$2:$BV$2,AC$2-4+1)</f>
        <v/>
      </c>
      <c r="AD9" s="3">
        <f>$B9*INDEX(Curves!$C$2:$BV$2,AD$2-4+1)</f>
        <v/>
      </c>
      <c r="AE9" s="3">
        <f>$B9*INDEX(Curves!$C$2:$BV$2,AE$2-4+1)</f>
        <v/>
      </c>
      <c r="AF9" s="3">
        <f>$B9*INDEX(Curves!$C$2:$BV$2,AF$2-4+1)</f>
        <v/>
      </c>
      <c r="AG9" s="3">
        <f>$B9*INDEX(Curves!$C$2:$BV$2,AG$2-4+1)</f>
        <v/>
      </c>
      <c r="AH9" s="3">
        <f>$B9*INDEX(Curves!$C$2:$BV$2,AH$2-4+1)</f>
        <v/>
      </c>
      <c r="AI9" s="3">
        <f>$B9*INDEX(Curves!$C$2:$BV$2,AI$2-4+1)</f>
        <v/>
      </c>
      <c r="AJ9" s="3">
        <f>$B9*INDEX(Curves!$C$2:$BV$2,AJ$2-4+1)</f>
        <v/>
      </c>
      <c r="AK9" s="3">
        <f>$B9*INDEX(Curves!$C$2:$BV$2,AK$2-4+1)</f>
        <v/>
      </c>
      <c r="AL9" s="3">
        <f>$B9*INDEX(Curves!$C$2:$BV$2,AL$2-4+1)</f>
        <v/>
      </c>
      <c r="AM9" s="3">
        <f>$B9*INDEX(Curves!$C$2:$BV$2,AM$2-4+1)</f>
        <v/>
      </c>
      <c r="AN9" s="3">
        <f>$B9*INDEX(Curves!$C$2:$BV$2,AN$2-4+1)</f>
        <v/>
      </c>
      <c r="AO9" s="3">
        <f>$B9*INDEX(Curves!$C$2:$BV$2,AO$2-4+1)</f>
        <v/>
      </c>
      <c r="AP9" s="3">
        <f>$B9*INDEX(Curves!$C$2:$BV$2,AP$2-4+1)</f>
        <v/>
      </c>
      <c r="AQ9" s="3">
        <f>$B9*INDEX(Curves!$C$2:$BV$2,AQ$2-4+1)</f>
        <v/>
      </c>
      <c r="AR9" s="3">
        <f>$B9*INDEX(Curves!$C$2:$BV$2,AR$2-4+1)</f>
        <v/>
      </c>
      <c r="AS9" s="3">
        <f>$B9*INDEX(Curves!$C$2:$BV$2,AS$2-4+1)</f>
        <v/>
      </c>
      <c r="AT9" s="3">
        <f>$B9*INDEX(Curves!$C$2:$BV$2,AT$2-4+1)</f>
        <v/>
      </c>
      <c r="AU9" s="3">
        <f>$B9*INDEX(Curves!$C$2:$BV$2,AU$2-4+1)</f>
        <v/>
      </c>
      <c r="AV9" s="3">
        <f>$B9*INDEX(Curves!$C$2:$BV$2,AV$2-4+1)</f>
        <v/>
      </c>
      <c r="AW9" s="3">
        <f>$B9*INDEX(Curves!$C$2:$BV$2,AW$2-4+1)</f>
        <v/>
      </c>
      <c r="AX9" s="3">
        <f>$B9*INDEX(Curves!$C$2:$BV$2,AX$2-4+1)</f>
        <v/>
      </c>
      <c r="AY9" s="3">
        <f>$B9*INDEX(Curves!$C$2:$BV$2,AY$2-4+1)</f>
        <v/>
      </c>
      <c r="AZ9" s="3">
        <f>$B9*INDEX(Curves!$C$2:$BV$2,AZ$2-4+1)</f>
        <v/>
      </c>
      <c r="BA9" s="3">
        <f>$B9*INDEX(Curves!$C$2:$BV$2,BA$2-4+1)</f>
        <v/>
      </c>
      <c r="BB9" s="3">
        <f>$B9*INDEX(Curves!$C$2:$BV$2,BB$2-4+1)</f>
        <v/>
      </c>
      <c r="BC9" s="3">
        <f>$B9*INDEX(Curves!$C$2:$BV$2,BC$2-4+1)</f>
        <v/>
      </c>
      <c r="BD9" s="3">
        <f>$B9*INDEX(Curves!$C$2:$BV$2,BD$2-4+1)</f>
        <v/>
      </c>
      <c r="BE9" s="3">
        <f>$B9*INDEX(Curves!$C$2:$BV$2,BE$2-4+1)</f>
        <v/>
      </c>
      <c r="BF9" s="3">
        <f>$B9*INDEX(Curves!$C$2:$BV$2,BF$2-4+1)</f>
        <v/>
      </c>
      <c r="BG9" s="3">
        <f>$B9*INDEX(Curves!$C$2:$BV$2,BG$2-4+1)</f>
        <v/>
      </c>
      <c r="BH9" s="3">
        <f>$B9*INDEX(Curves!$C$2:$BV$2,BH$2-4+1)</f>
        <v/>
      </c>
      <c r="BI9" s="3">
        <f>$B9*INDEX(Curves!$C$2:$BV$2,BI$2-4+1)</f>
        <v/>
      </c>
      <c r="BJ9" s="3">
        <f>$B9*INDEX(Curves!$C$2:$BV$2,BJ$2-4+1)</f>
        <v/>
      </c>
      <c r="BK9" s="3">
        <f>$B9*INDEX(Curves!$C$2:$BV$2,BK$2-4+1)</f>
        <v/>
      </c>
      <c r="BL9" s="3">
        <f>$B9*INDEX(Curves!$C$2:$BV$2,BL$2-4+1)</f>
        <v/>
      </c>
      <c r="BM9" s="3">
        <f>$B9*INDEX(Curves!$C$2:$BV$2,BM$2-4+1)</f>
        <v/>
      </c>
      <c r="BN9" s="3">
        <f>$B9*INDEX(Curves!$C$2:$BV$2,BN$2-4+1)</f>
        <v/>
      </c>
      <c r="BO9" s="3">
        <f>$B9*INDEX(Curves!$C$2:$BV$2,BO$2-4+1)</f>
        <v/>
      </c>
      <c r="BP9" s="3">
        <f>$B9*INDEX(Curves!$C$2:$BV$2,BP$2-4+1)</f>
        <v/>
      </c>
      <c r="BQ9" s="3">
        <f>$B9*INDEX(Curves!$C$2:$BV$2,BQ$2-4+1)</f>
        <v/>
      </c>
      <c r="BR9" s="3">
        <f>$B9*INDEX(Curves!$C$2:$BV$2,BR$2-4+1)</f>
        <v/>
      </c>
      <c r="BS9" s="3">
        <f>$B9*INDEX(Curves!$C$2:$BV$2,BS$2-4+1)</f>
        <v/>
      </c>
      <c r="BT9" s="3">
        <f>$B9*INDEX(Curves!$C$2:$BV$2,BT$2-4+1)</f>
        <v/>
      </c>
      <c r="BU9" s="3">
        <f>$B9*INDEX(Curves!$C$2:$BV$2,BU$2-4+1)</f>
        <v/>
      </c>
      <c r="BV9" s="3">
        <f>$B9*INDEX(Curves!$C$2:$BV$2,BV$2-4+1)</f>
        <v/>
      </c>
    </row>
    <row r="10">
      <c r="A10" t="inlineStr">
        <is>
          <t>cohort 2025-06</t>
        </is>
      </c>
      <c r="B10" s="3">
        <f>INDEX(Adds!$C$12:$BV$12,6)</f>
        <v/>
      </c>
      <c r="H10" s="3">
        <f>$B10*INDEX(Curves!$C$2:$BV$2,H$2-5+1)</f>
        <v/>
      </c>
      <c r="I10" s="3">
        <f>$B10*INDEX(Curves!$C$2:$BV$2,I$2-5+1)</f>
        <v/>
      </c>
      <c r="J10" s="3">
        <f>$B10*INDEX(Curves!$C$2:$BV$2,J$2-5+1)</f>
        <v/>
      </c>
      <c r="K10" s="3">
        <f>$B10*INDEX(Curves!$C$2:$BV$2,K$2-5+1)</f>
        <v/>
      </c>
      <c r="L10" s="3">
        <f>$B10*INDEX(Curves!$C$2:$BV$2,L$2-5+1)</f>
        <v/>
      </c>
      <c r="M10" s="3">
        <f>$B10*INDEX(Curves!$C$2:$BV$2,M$2-5+1)</f>
        <v/>
      </c>
      <c r="N10" s="3">
        <f>$B10*INDEX(Curves!$C$2:$BV$2,N$2-5+1)</f>
        <v/>
      </c>
      <c r="O10" s="3">
        <f>$B10*INDEX(Curves!$C$2:$BV$2,O$2-5+1)</f>
        <v/>
      </c>
      <c r="P10" s="3">
        <f>$B10*INDEX(Curves!$C$2:$BV$2,P$2-5+1)</f>
        <v/>
      </c>
      <c r="Q10" s="3">
        <f>$B10*INDEX(Curves!$C$2:$BV$2,Q$2-5+1)</f>
        <v/>
      </c>
      <c r="R10" s="3">
        <f>$B10*INDEX(Curves!$C$2:$BV$2,R$2-5+1)</f>
        <v/>
      </c>
      <c r="S10" s="3">
        <f>$B10*INDEX(Curves!$C$2:$BV$2,S$2-5+1)</f>
        <v/>
      </c>
      <c r="T10" s="3">
        <f>$B10*INDEX(Curves!$C$2:$BV$2,T$2-5+1)</f>
        <v/>
      </c>
      <c r="U10" s="3">
        <f>$B10*INDEX(Curves!$C$2:$BV$2,U$2-5+1)</f>
        <v/>
      </c>
      <c r="V10" s="3">
        <f>$B10*INDEX(Curves!$C$2:$BV$2,V$2-5+1)</f>
        <v/>
      </c>
      <c r="W10" s="3">
        <f>$B10*INDEX(Curves!$C$2:$BV$2,W$2-5+1)</f>
        <v/>
      </c>
      <c r="X10" s="3">
        <f>$B10*INDEX(Curves!$C$2:$BV$2,X$2-5+1)</f>
        <v/>
      </c>
      <c r="Y10" s="3">
        <f>$B10*INDEX(Curves!$C$2:$BV$2,Y$2-5+1)</f>
        <v/>
      </c>
      <c r="Z10" s="3">
        <f>$B10*INDEX(Curves!$C$2:$BV$2,Z$2-5+1)</f>
        <v/>
      </c>
      <c r="AA10" s="3">
        <f>$B10*INDEX(Curves!$C$2:$BV$2,AA$2-5+1)</f>
        <v/>
      </c>
      <c r="AB10" s="3">
        <f>$B10*INDEX(Curves!$C$2:$BV$2,AB$2-5+1)</f>
        <v/>
      </c>
      <c r="AC10" s="3">
        <f>$B10*INDEX(Curves!$C$2:$BV$2,AC$2-5+1)</f>
        <v/>
      </c>
      <c r="AD10" s="3">
        <f>$B10*INDEX(Curves!$C$2:$BV$2,AD$2-5+1)</f>
        <v/>
      </c>
      <c r="AE10" s="3">
        <f>$B10*INDEX(Curves!$C$2:$BV$2,AE$2-5+1)</f>
        <v/>
      </c>
      <c r="AF10" s="3">
        <f>$B10*INDEX(Curves!$C$2:$BV$2,AF$2-5+1)</f>
        <v/>
      </c>
      <c r="AG10" s="3">
        <f>$B10*INDEX(Curves!$C$2:$BV$2,AG$2-5+1)</f>
        <v/>
      </c>
      <c r="AH10" s="3">
        <f>$B10*INDEX(Curves!$C$2:$BV$2,AH$2-5+1)</f>
        <v/>
      </c>
      <c r="AI10" s="3">
        <f>$B10*INDEX(Curves!$C$2:$BV$2,AI$2-5+1)</f>
        <v/>
      </c>
      <c r="AJ10" s="3">
        <f>$B10*INDEX(Curves!$C$2:$BV$2,AJ$2-5+1)</f>
        <v/>
      </c>
      <c r="AK10" s="3">
        <f>$B10*INDEX(Curves!$C$2:$BV$2,AK$2-5+1)</f>
        <v/>
      </c>
      <c r="AL10" s="3">
        <f>$B10*INDEX(Curves!$C$2:$BV$2,AL$2-5+1)</f>
        <v/>
      </c>
      <c r="AM10" s="3">
        <f>$B10*INDEX(Curves!$C$2:$BV$2,AM$2-5+1)</f>
        <v/>
      </c>
      <c r="AN10" s="3">
        <f>$B10*INDEX(Curves!$C$2:$BV$2,AN$2-5+1)</f>
        <v/>
      </c>
      <c r="AO10" s="3">
        <f>$B10*INDEX(Curves!$C$2:$BV$2,AO$2-5+1)</f>
        <v/>
      </c>
      <c r="AP10" s="3">
        <f>$B10*INDEX(Curves!$C$2:$BV$2,AP$2-5+1)</f>
        <v/>
      </c>
      <c r="AQ10" s="3">
        <f>$B10*INDEX(Curves!$C$2:$BV$2,AQ$2-5+1)</f>
        <v/>
      </c>
      <c r="AR10" s="3">
        <f>$B10*INDEX(Curves!$C$2:$BV$2,AR$2-5+1)</f>
        <v/>
      </c>
      <c r="AS10" s="3">
        <f>$B10*INDEX(Curves!$C$2:$BV$2,AS$2-5+1)</f>
        <v/>
      </c>
      <c r="AT10" s="3">
        <f>$B10*INDEX(Curves!$C$2:$BV$2,AT$2-5+1)</f>
        <v/>
      </c>
      <c r="AU10" s="3">
        <f>$B10*INDEX(Curves!$C$2:$BV$2,AU$2-5+1)</f>
        <v/>
      </c>
      <c r="AV10" s="3">
        <f>$B10*INDEX(Curves!$C$2:$BV$2,AV$2-5+1)</f>
        <v/>
      </c>
      <c r="AW10" s="3">
        <f>$B10*INDEX(Curves!$C$2:$BV$2,AW$2-5+1)</f>
        <v/>
      </c>
      <c r="AX10" s="3">
        <f>$B10*INDEX(Curves!$C$2:$BV$2,AX$2-5+1)</f>
        <v/>
      </c>
      <c r="AY10" s="3">
        <f>$B10*INDEX(Curves!$C$2:$BV$2,AY$2-5+1)</f>
        <v/>
      </c>
      <c r="AZ10" s="3">
        <f>$B10*INDEX(Curves!$C$2:$BV$2,AZ$2-5+1)</f>
        <v/>
      </c>
      <c r="BA10" s="3">
        <f>$B10*INDEX(Curves!$C$2:$BV$2,BA$2-5+1)</f>
        <v/>
      </c>
      <c r="BB10" s="3">
        <f>$B10*INDEX(Curves!$C$2:$BV$2,BB$2-5+1)</f>
        <v/>
      </c>
      <c r="BC10" s="3">
        <f>$B10*INDEX(Curves!$C$2:$BV$2,BC$2-5+1)</f>
        <v/>
      </c>
      <c r="BD10" s="3">
        <f>$B10*INDEX(Curves!$C$2:$BV$2,BD$2-5+1)</f>
        <v/>
      </c>
      <c r="BE10" s="3">
        <f>$B10*INDEX(Curves!$C$2:$BV$2,BE$2-5+1)</f>
        <v/>
      </c>
      <c r="BF10" s="3">
        <f>$B10*INDEX(Curves!$C$2:$BV$2,BF$2-5+1)</f>
        <v/>
      </c>
      <c r="BG10" s="3">
        <f>$B10*INDEX(Curves!$C$2:$BV$2,BG$2-5+1)</f>
        <v/>
      </c>
      <c r="BH10" s="3">
        <f>$B10*INDEX(Curves!$C$2:$BV$2,BH$2-5+1)</f>
        <v/>
      </c>
      <c r="BI10" s="3">
        <f>$B10*INDEX(Curves!$C$2:$BV$2,BI$2-5+1)</f>
        <v/>
      </c>
      <c r="BJ10" s="3">
        <f>$B10*INDEX(Curves!$C$2:$BV$2,BJ$2-5+1)</f>
        <v/>
      </c>
      <c r="BK10" s="3">
        <f>$B10*INDEX(Curves!$C$2:$BV$2,BK$2-5+1)</f>
        <v/>
      </c>
      <c r="BL10" s="3">
        <f>$B10*INDEX(Curves!$C$2:$BV$2,BL$2-5+1)</f>
        <v/>
      </c>
      <c r="BM10" s="3">
        <f>$B10*INDEX(Curves!$C$2:$BV$2,BM$2-5+1)</f>
        <v/>
      </c>
      <c r="BN10" s="3">
        <f>$B10*INDEX(Curves!$C$2:$BV$2,BN$2-5+1)</f>
        <v/>
      </c>
      <c r="BO10" s="3">
        <f>$B10*INDEX(Curves!$C$2:$BV$2,BO$2-5+1)</f>
        <v/>
      </c>
      <c r="BP10" s="3">
        <f>$B10*INDEX(Curves!$C$2:$BV$2,BP$2-5+1)</f>
        <v/>
      </c>
      <c r="BQ10" s="3">
        <f>$B10*INDEX(Curves!$C$2:$BV$2,BQ$2-5+1)</f>
        <v/>
      </c>
      <c r="BR10" s="3">
        <f>$B10*INDEX(Curves!$C$2:$BV$2,BR$2-5+1)</f>
        <v/>
      </c>
      <c r="BS10" s="3">
        <f>$B10*INDEX(Curves!$C$2:$BV$2,BS$2-5+1)</f>
        <v/>
      </c>
      <c r="BT10" s="3">
        <f>$B10*INDEX(Curves!$C$2:$BV$2,BT$2-5+1)</f>
        <v/>
      </c>
      <c r="BU10" s="3">
        <f>$B10*INDEX(Curves!$C$2:$BV$2,BU$2-5+1)</f>
        <v/>
      </c>
      <c r="BV10" s="3">
        <f>$B10*INDEX(Curves!$C$2:$BV$2,BV$2-5+1)</f>
        <v/>
      </c>
    </row>
    <row r="11">
      <c r="A11" t="inlineStr">
        <is>
          <t>cohort 2025-07</t>
        </is>
      </c>
      <c r="B11" s="3">
        <f>INDEX(Adds!$C$12:$BV$12,7)</f>
        <v/>
      </c>
      <c r="I11" s="3">
        <f>$B11*INDEX(Curves!$C$2:$BV$2,I$2-6+1)</f>
        <v/>
      </c>
      <c r="J11" s="3">
        <f>$B11*INDEX(Curves!$C$2:$BV$2,J$2-6+1)</f>
        <v/>
      </c>
      <c r="K11" s="3">
        <f>$B11*INDEX(Curves!$C$2:$BV$2,K$2-6+1)</f>
        <v/>
      </c>
      <c r="L11" s="3">
        <f>$B11*INDEX(Curves!$C$2:$BV$2,L$2-6+1)</f>
        <v/>
      </c>
      <c r="M11" s="3">
        <f>$B11*INDEX(Curves!$C$2:$BV$2,M$2-6+1)</f>
        <v/>
      </c>
      <c r="N11" s="3">
        <f>$B11*INDEX(Curves!$C$2:$BV$2,N$2-6+1)</f>
        <v/>
      </c>
      <c r="O11" s="3">
        <f>$B11*INDEX(Curves!$C$2:$BV$2,O$2-6+1)</f>
        <v/>
      </c>
      <c r="P11" s="3">
        <f>$B11*INDEX(Curves!$C$2:$BV$2,P$2-6+1)</f>
        <v/>
      </c>
      <c r="Q11" s="3">
        <f>$B11*INDEX(Curves!$C$2:$BV$2,Q$2-6+1)</f>
        <v/>
      </c>
      <c r="R11" s="3">
        <f>$B11*INDEX(Curves!$C$2:$BV$2,R$2-6+1)</f>
        <v/>
      </c>
      <c r="S11" s="3">
        <f>$B11*INDEX(Curves!$C$2:$BV$2,S$2-6+1)</f>
        <v/>
      </c>
      <c r="T11" s="3">
        <f>$B11*INDEX(Curves!$C$2:$BV$2,T$2-6+1)</f>
        <v/>
      </c>
      <c r="U11" s="3">
        <f>$B11*INDEX(Curves!$C$2:$BV$2,U$2-6+1)</f>
        <v/>
      </c>
      <c r="V11" s="3">
        <f>$B11*INDEX(Curves!$C$2:$BV$2,V$2-6+1)</f>
        <v/>
      </c>
      <c r="W11" s="3">
        <f>$B11*INDEX(Curves!$C$2:$BV$2,W$2-6+1)</f>
        <v/>
      </c>
      <c r="X11" s="3">
        <f>$B11*INDEX(Curves!$C$2:$BV$2,X$2-6+1)</f>
        <v/>
      </c>
      <c r="Y11" s="3">
        <f>$B11*INDEX(Curves!$C$2:$BV$2,Y$2-6+1)</f>
        <v/>
      </c>
      <c r="Z11" s="3">
        <f>$B11*INDEX(Curves!$C$2:$BV$2,Z$2-6+1)</f>
        <v/>
      </c>
      <c r="AA11" s="3">
        <f>$B11*INDEX(Curves!$C$2:$BV$2,AA$2-6+1)</f>
        <v/>
      </c>
      <c r="AB11" s="3">
        <f>$B11*INDEX(Curves!$C$2:$BV$2,AB$2-6+1)</f>
        <v/>
      </c>
      <c r="AC11" s="3">
        <f>$B11*INDEX(Curves!$C$2:$BV$2,AC$2-6+1)</f>
        <v/>
      </c>
      <c r="AD11" s="3">
        <f>$B11*INDEX(Curves!$C$2:$BV$2,AD$2-6+1)</f>
        <v/>
      </c>
      <c r="AE11" s="3">
        <f>$B11*INDEX(Curves!$C$2:$BV$2,AE$2-6+1)</f>
        <v/>
      </c>
      <c r="AF11" s="3">
        <f>$B11*INDEX(Curves!$C$2:$BV$2,AF$2-6+1)</f>
        <v/>
      </c>
      <c r="AG11" s="3">
        <f>$B11*INDEX(Curves!$C$2:$BV$2,AG$2-6+1)</f>
        <v/>
      </c>
      <c r="AH11" s="3">
        <f>$B11*INDEX(Curves!$C$2:$BV$2,AH$2-6+1)</f>
        <v/>
      </c>
      <c r="AI11" s="3">
        <f>$B11*INDEX(Curves!$C$2:$BV$2,AI$2-6+1)</f>
        <v/>
      </c>
      <c r="AJ11" s="3">
        <f>$B11*INDEX(Curves!$C$2:$BV$2,AJ$2-6+1)</f>
        <v/>
      </c>
      <c r="AK11" s="3">
        <f>$B11*INDEX(Curves!$C$2:$BV$2,AK$2-6+1)</f>
        <v/>
      </c>
      <c r="AL11" s="3">
        <f>$B11*INDEX(Curves!$C$2:$BV$2,AL$2-6+1)</f>
        <v/>
      </c>
      <c r="AM11" s="3">
        <f>$B11*INDEX(Curves!$C$2:$BV$2,AM$2-6+1)</f>
        <v/>
      </c>
      <c r="AN11" s="3">
        <f>$B11*INDEX(Curves!$C$2:$BV$2,AN$2-6+1)</f>
        <v/>
      </c>
      <c r="AO11" s="3">
        <f>$B11*INDEX(Curves!$C$2:$BV$2,AO$2-6+1)</f>
        <v/>
      </c>
      <c r="AP11" s="3">
        <f>$B11*INDEX(Curves!$C$2:$BV$2,AP$2-6+1)</f>
        <v/>
      </c>
      <c r="AQ11" s="3">
        <f>$B11*INDEX(Curves!$C$2:$BV$2,AQ$2-6+1)</f>
        <v/>
      </c>
      <c r="AR11" s="3">
        <f>$B11*INDEX(Curves!$C$2:$BV$2,AR$2-6+1)</f>
        <v/>
      </c>
      <c r="AS11" s="3">
        <f>$B11*INDEX(Curves!$C$2:$BV$2,AS$2-6+1)</f>
        <v/>
      </c>
      <c r="AT11" s="3">
        <f>$B11*INDEX(Curves!$C$2:$BV$2,AT$2-6+1)</f>
        <v/>
      </c>
      <c r="AU11" s="3">
        <f>$B11*INDEX(Curves!$C$2:$BV$2,AU$2-6+1)</f>
        <v/>
      </c>
      <c r="AV11" s="3">
        <f>$B11*INDEX(Curves!$C$2:$BV$2,AV$2-6+1)</f>
        <v/>
      </c>
      <c r="AW11" s="3">
        <f>$B11*INDEX(Curves!$C$2:$BV$2,AW$2-6+1)</f>
        <v/>
      </c>
      <c r="AX11" s="3">
        <f>$B11*INDEX(Curves!$C$2:$BV$2,AX$2-6+1)</f>
        <v/>
      </c>
      <c r="AY11" s="3">
        <f>$B11*INDEX(Curves!$C$2:$BV$2,AY$2-6+1)</f>
        <v/>
      </c>
      <c r="AZ11" s="3">
        <f>$B11*INDEX(Curves!$C$2:$BV$2,AZ$2-6+1)</f>
        <v/>
      </c>
      <c r="BA11" s="3">
        <f>$B11*INDEX(Curves!$C$2:$BV$2,BA$2-6+1)</f>
        <v/>
      </c>
      <c r="BB11" s="3">
        <f>$B11*INDEX(Curves!$C$2:$BV$2,BB$2-6+1)</f>
        <v/>
      </c>
      <c r="BC11" s="3">
        <f>$B11*INDEX(Curves!$C$2:$BV$2,BC$2-6+1)</f>
        <v/>
      </c>
      <c r="BD11" s="3">
        <f>$B11*INDEX(Curves!$C$2:$BV$2,BD$2-6+1)</f>
        <v/>
      </c>
      <c r="BE11" s="3">
        <f>$B11*INDEX(Curves!$C$2:$BV$2,BE$2-6+1)</f>
        <v/>
      </c>
      <c r="BF11" s="3">
        <f>$B11*INDEX(Curves!$C$2:$BV$2,BF$2-6+1)</f>
        <v/>
      </c>
      <c r="BG11" s="3">
        <f>$B11*INDEX(Curves!$C$2:$BV$2,BG$2-6+1)</f>
        <v/>
      </c>
      <c r="BH11" s="3">
        <f>$B11*INDEX(Curves!$C$2:$BV$2,BH$2-6+1)</f>
        <v/>
      </c>
      <c r="BI11" s="3">
        <f>$B11*INDEX(Curves!$C$2:$BV$2,BI$2-6+1)</f>
        <v/>
      </c>
      <c r="BJ11" s="3">
        <f>$B11*INDEX(Curves!$C$2:$BV$2,BJ$2-6+1)</f>
        <v/>
      </c>
      <c r="BK11" s="3">
        <f>$B11*INDEX(Curves!$C$2:$BV$2,BK$2-6+1)</f>
        <v/>
      </c>
      <c r="BL11" s="3">
        <f>$B11*INDEX(Curves!$C$2:$BV$2,BL$2-6+1)</f>
        <v/>
      </c>
      <c r="BM11" s="3">
        <f>$B11*INDEX(Curves!$C$2:$BV$2,BM$2-6+1)</f>
        <v/>
      </c>
      <c r="BN11" s="3">
        <f>$B11*INDEX(Curves!$C$2:$BV$2,BN$2-6+1)</f>
        <v/>
      </c>
      <c r="BO11" s="3">
        <f>$B11*INDEX(Curves!$C$2:$BV$2,BO$2-6+1)</f>
        <v/>
      </c>
      <c r="BP11" s="3">
        <f>$B11*INDEX(Curves!$C$2:$BV$2,BP$2-6+1)</f>
        <v/>
      </c>
      <c r="BQ11" s="3">
        <f>$B11*INDEX(Curves!$C$2:$BV$2,BQ$2-6+1)</f>
        <v/>
      </c>
      <c r="BR11" s="3">
        <f>$B11*INDEX(Curves!$C$2:$BV$2,BR$2-6+1)</f>
        <v/>
      </c>
      <c r="BS11" s="3">
        <f>$B11*INDEX(Curves!$C$2:$BV$2,BS$2-6+1)</f>
        <v/>
      </c>
      <c r="BT11" s="3">
        <f>$B11*INDEX(Curves!$C$2:$BV$2,BT$2-6+1)</f>
        <v/>
      </c>
      <c r="BU11" s="3">
        <f>$B11*INDEX(Curves!$C$2:$BV$2,BU$2-6+1)</f>
        <v/>
      </c>
      <c r="BV11" s="3">
        <f>$B11*INDEX(Curves!$C$2:$BV$2,BV$2-6+1)</f>
        <v/>
      </c>
    </row>
    <row r="12">
      <c r="A12" t="inlineStr">
        <is>
          <t>cohort 2025-08</t>
        </is>
      </c>
      <c r="B12" s="3">
        <f>INDEX(Adds!$C$12:$BV$12,8)</f>
        <v/>
      </c>
      <c r="J12" s="3">
        <f>$B12*INDEX(Curves!$C$2:$BV$2,J$2-7+1)</f>
        <v/>
      </c>
      <c r="K12" s="3">
        <f>$B12*INDEX(Curves!$C$2:$BV$2,K$2-7+1)</f>
        <v/>
      </c>
      <c r="L12" s="3">
        <f>$B12*INDEX(Curves!$C$2:$BV$2,L$2-7+1)</f>
        <v/>
      </c>
      <c r="M12" s="3">
        <f>$B12*INDEX(Curves!$C$2:$BV$2,M$2-7+1)</f>
        <v/>
      </c>
      <c r="N12" s="3">
        <f>$B12*INDEX(Curves!$C$2:$BV$2,N$2-7+1)</f>
        <v/>
      </c>
      <c r="O12" s="3">
        <f>$B12*INDEX(Curves!$C$2:$BV$2,O$2-7+1)</f>
        <v/>
      </c>
      <c r="P12" s="3">
        <f>$B12*INDEX(Curves!$C$2:$BV$2,P$2-7+1)</f>
        <v/>
      </c>
      <c r="Q12" s="3">
        <f>$B12*INDEX(Curves!$C$2:$BV$2,Q$2-7+1)</f>
        <v/>
      </c>
      <c r="R12" s="3">
        <f>$B12*INDEX(Curves!$C$2:$BV$2,R$2-7+1)</f>
        <v/>
      </c>
      <c r="S12" s="3">
        <f>$B12*INDEX(Curves!$C$2:$BV$2,S$2-7+1)</f>
        <v/>
      </c>
      <c r="T12" s="3">
        <f>$B12*INDEX(Curves!$C$2:$BV$2,T$2-7+1)</f>
        <v/>
      </c>
      <c r="U12" s="3">
        <f>$B12*INDEX(Curves!$C$2:$BV$2,U$2-7+1)</f>
        <v/>
      </c>
      <c r="V12" s="3">
        <f>$B12*INDEX(Curves!$C$2:$BV$2,V$2-7+1)</f>
        <v/>
      </c>
      <c r="W12" s="3">
        <f>$B12*INDEX(Curves!$C$2:$BV$2,W$2-7+1)</f>
        <v/>
      </c>
      <c r="X12" s="3">
        <f>$B12*INDEX(Curves!$C$2:$BV$2,X$2-7+1)</f>
        <v/>
      </c>
      <c r="Y12" s="3">
        <f>$B12*INDEX(Curves!$C$2:$BV$2,Y$2-7+1)</f>
        <v/>
      </c>
      <c r="Z12" s="3">
        <f>$B12*INDEX(Curves!$C$2:$BV$2,Z$2-7+1)</f>
        <v/>
      </c>
      <c r="AA12" s="3">
        <f>$B12*INDEX(Curves!$C$2:$BV$2,AA$2-7+1)</f>
        <v/>
      </c>
      <c r="AB12" s="3">
        <f>$B12*INDEX(Curves!$C$2:$BV$2,AB$2-7+1)</f>
        <v/>
      </c>
      <c r="AC12" s="3">
        <f>$B12*INDEX(Curves!$C$2:$BV$2,AC$2-7+1)</f>
        <v/>
      </c>
      <c r="AD12" s="3">
        <f>$B12*INDEX(Curves!$C$2:$BV$2,AD$2-7+1)</f>
        <v/>
      </c>
      <c r="AE12" s="3">
        <f>$B12*INDEX(Curves!$C$2:$BV$2,AE$2-7+1)</f>
        <v/>
      </c>
      <c r="AF12" s="3">
        <f>$B12*INDEX(Curves!$C$2:$BV$2,AF$2-7+1)</f>
        <v/>
      </c>
      <c r="AG12" s="3">
        <f>$B12*INDEX(Curves!$C$2:$BV$2,AG$2-7+1)</f>
        <v/>
      </c>
      <c r="AH12" s="3">
        <f>$B12*INDEX(Curves!$C$2:$BV$2,AH$2-7+1)</f>
        <v/>
      </c>
      <c r="AI12" s="3">
        <f>$B12*INDEX(Curves!$C$2:$BV$2,AI$2-7+1)</f>
        <v/>
      </c>
      <c r="AJ12" s="3">
        <f>$B12*INDEX(Curves!$C$2:$BV$2,AJ$2-7+1)</f>
        <v/>
      </c>
      <c r="AK12" s="3">
        <f>$B12*INDEX(Curves!$C$2:$BV$2,AK$2-7+1)</f>
        <v/>
      </c>
      <c r="AL12" s="3">
        <f>$B12*INDEX(Curves!$C$2:$BV$2,AL$2-7+1)</f>
        <v/>
      </c>
      <c r="AM12" s="3">
        <f>$B12*INDEX(Curves!$C$2:$BV$2,AM$2-7+1)</f>
        <v/>
      </c>
      <c r="AN12" s="3">
        <f>$B12*INDEX(Curves!$C$2:$BV$2,AN$2-7+1)</f>
        <v/>
      </c>
      <c r="AO12" s="3">
        <f>$B12*INDEX(Curves!$C$2:$BV$2,AO$2-7+1)</f>
        <v/>
      </c>
      <c r="AP12" s="3">
        <f>$B12*INDEX(Curves!$C$2:$BV$2,AP$2-7+1)</f>
        <v/>
      </c>
      <c r="AQ12" s="3">
        <f>$B12*INDEX(Curves!$C$2:$BV$2,AQ$2-7+1)</f>
        <v/>
      </c>
      <c r="AR12" s="3">
        <f>$B12*INDEX(Curves!$C$2:$BV$2,AR$2-7+1)</f>
        <v/>
      </c>
      <c r="AS12" s="3">
        <f>$B12*INDEX(Curves!$C$2:$BV$2,AS$2-7+1)</f>
        <v/>
      </c>
      <c r="AT12" s="3">
        <f>$B12*INDEX(Curves!$C$2:$BV$2,AT$2-7+1)</f>
        <v/>
      </c>
      <c r="AU12" s="3">
        <f>$B12*INDEX(Curves!$C$2:$BV$2,AU$2-7+1)</f>
        <v/>
      </c>
      <c r="AV12" s="3">
        <f>$B12*INDEX(Curves!$C$2:$BV$2,AV$2-7+1)</f>
        <v/>
      </c>
      <c r="AW12" s="3">
        <f>$B12*INDEX(Curves!$C$2:$BV$2,AW$2-7+1)</f>
        <v/>
      </c>
      <c r="AX12" s="3">
        <f>$B12*INDEX(Curves!$C$2:$BV$2,AX$2-7+1)</f>
        <v/>
      </c>
      <c r="AY12" s="3">
        <f>$B12*INDEX(Curves!$C$2:$BV$2,AY$2-7+1)</f>
        <v/>
      </c>
      <c r="AZ12" s="3">
        <f>$B12*INDEX(Curves!$C$2:$BV$2,AZ$2-7+1)</f>
        <v/>
      </c>
      <c r="BA12" s="3">
        <f>$B12*INDEX(Curves!$C$2:$BV$2,BA$2-7+1)</f>
        <v/>
      </c>
      <c r="BB12" s="3">
        <f>$B12*INDEX(Curves!$C$2:$BV$2,BB$2-7+1)</f>
        <v/>
      </c>
      <c r="BC12" s="3">
        <f>$B12*INDEX(Curves!$C$2:$BV$2,BC$2-7+1)</f>
        <v/>
      </c>
      <c r="BD12" s="3">
        <f>$B12*INDEX(Curves!$C$2:$BV$2,BD$2-7+1)</f>
        <v/>
      </c>
      <c r="BE12" s="3">
        <f>$B12*INDEX(Curves!$C$2:$BV$2,BE$2-7+1)</f>
        <v/>
      </c>
      <c r="BF12" s="3">
        <f>$B12*INDEX(Curves!$C$2:$BV$2,BF$2-7+1)</f>
        <v/>
      </c>
      <c r="BG12" s="3">
        <f>$B12*INDEX(Curves!$C$2:$BV$2,BG$2-7+1)</f>
        <v/>
      </c>
      <c r="BH12" s="3">
        <f>$B12*INDEX(Curves!$C$2:$BV$2,BH$2-7+1)</f>
        <v/>
      </c>
      <c r="BI12" s="3">
        <f>$B12*INDEX(Curves!$C$2:$BV$2,BI$2-7+1)</f>
        <v/>
      </c>
      <c r="BJ12" s="3">
        <f>$B12*INDEX(Curves!$C$2:$BV$2,BJ$2-7+1)</f>
        <v/>
      </c>
      <c r="BK12" s="3">
        <f>$B12*INDEX(Curves!$C$2:$BV$2,BK$2-7+1)</f>
        <v/>
      </c>
      <c r="BL12" s="3">
        <f>$B12*INDEX(Curves!$C$2:$BV$2,BL$2-7+1)</f>
        <v/>
      </c>
      <c r="BM12" s="3">
        <f>$B12*INDEX(Curves!$C$2:$BV$2,BM$2-7+1)</f>
        <v/>
      </c>
      <c r="BN12" s="3">
        <f>$B12*INDEX(Curves!$C$2:$BV$2,BN$2-7+1)</f>
        <v/>
      </c>
      <c r="BO12" s="3">
        <f>$B12*INDEX(Curves!$C$2:$BV$2,BO$2-7+1)</f>
        <v/>
      </c>
      <c r="BP12" s="3">
        <f>$B12*INDEX(Curves!$C$2:$BV$2,BP$2-7+1)</f>
        <v/>
      </c>
      <c r="BQ12" s="3">
        <f>$B12*INDEX(Curves!$C$2:$BV$2,BQ$2-7+1)</f>
        <v/>
      </c>
      <c r="BR12" s="3">
        <f>$B12*INDEX(Curves!$C$2:$BV$2,BR$2-7+1)</f>
        <v/>
      </c>
      <c r="BS12" s="3">
        <f>$B12*INDEX(Curves!$C$2:$BV$2,BS$2-7+1)</f>
        <v/>
      </c>
      <c r="BT12" s="3">
        <f>$B12*INDEX(Curves!$C$2:$BV$2,BT$2-7+1)</f>
        <v/>
      </c>
      <c r="BU12" s="3">
        <f>$B12*INDEX(Curves!$C$2:$BV$2,BU$2-7+1)</f>
        <v/>
      </c>
      <c r="BV12" s="3">
        <f>$B12*INDEX(Curves!$C$2:$BV$2,BV$2-7+1)</f>
        <v/>
      </c>
    </row>
    <row r="13">
      <c r="A13" t="inlineStr">
        <is>
          <t>cohort 2025-09</t>
        </is>
      </c>
      <c r="B13" s="3">
        <f>INDEX(Adds!$C$12:$BV$12,9)</f>
        <v/>
      </c>
      <c r="K13" s="3">
        <f>$B13*INDEX(Curves!$C$2:$BV$2,K$2-8+1)</f>
        <v/>
      </c>
      <c r="L13" s="3">
        <f>$B13*INDEX(Curves!$C$2:$BV$2,L$2-8+1)</f>
        <v/>
      </c>
      <c r="M13" s="3">
        <f>$B13*INDEX(Curves!$C$2:$BV$2,M$2-8+1)</f>
        <v/>
      </c>
      <c r="N13" s="3">
        <f>$B13*INDEX(Curves!$C$2:$BV$2,N$2-8+1)</f>
        <v/>
      </c>
      <c r="O13" s="3">
        <f>$B13*INDEX(Curves!$C$2:$BV$2,O$2-8+1)</f>
        <v/>
      </c>
      <c r="P13" s="3">
        <f>$B13*INDEX(Curves!$C$2:$BV$2,P$2-8+1)</f>
        <v/>
      </c>
      <c r="Q13" s="3">
        <f>$B13*INDEX(Curves!$C$2:$BV$2,Q$2-8+1)</f>
        <v/>
      </c>
      <c r="R13" s="3">
        <f>$B13*INDEX(Curves!$C$2:$BV$2,R$2-8+1)</f>
        <v/>
      </c>
      <c r="S13" s="3">
        <f>$B13*INDEX(Curves!$C$2:$BV$2,S$2-8+1)</f>
        <v/>
      </c>
      <c r="T13" s="3">
        <f>$B13*INDEX(Curves!$C$2:$BV$2,T$2-8+1)</f>
        <v/>
      </c>
      <c r="U13" s="3">
        <f>$B13*INDEX(Curves!$C$2:$BV$2,U$2-8+1)</f>
        <v/>
      </c>
      <c r="V13" s="3">
        <f>$B13*INDEX(Curves!$C$2:$BV$2,V$2-8+1)</f>
        <v/>
      </c>
      <c r="W13" s="3">
        <f>$B13*INDEX(Curves!$C$2:$BV$2,W$2-8+1)</f>
        <v/>
      </c>
      <c r="X13" s="3">
        <f>$B13*INDEX(Curves!$C$2:$BV$2,X$2-8+1)</f>
        <v/>
      </c>
      <c r="Y13" s="3">
        <f>$B13*INDEX(Curves!$C$2:$BV$2,Y$2-8+1)</f>
        <v/>
      </c>
      <c r="Z13" s="3">
        <f>$B13*INDEX(Curves!$C$2:$BV$2,Z$2-8+1)</f>
        <v/>
      </c>
      <c r="AA13" s="3">
        <f>$B13*INDEX(Curves!$C$2:$BV$2,AA$2-8+1)</f>
        <v/>
      </c>
      <c r="AB13" s="3">
        <f>$B13*INDEX(Curves!$C$2:$BV$2,AB$2-8+1)</f>
        <v/>
      </c>
      <c r="AC13" s="3">
        <f>$B13*INDEX(Curves!$C$2:$BV$2,AC$2-8+1)</f>
        <v/>
      </c>
      <c r="AD13" s="3">
        <f>$B13*INDEX(Curves!$C$2:$BV$2,AD$2-8+1)</f>
        <v/>
      </c>
      <c r="AE13" s="3">
        <f>$B13*INDEX(Curves!$C$2:$BV$2,AE$2-8+1)</f>
        <v/>
      </c>
      <c r="AF13" s="3">
        <f>$B13*INDEX(Curves!$C$2:$BV$2,AF$2-8+1)</f>
        <v/>
      </c>
      <c r="AG13" s="3">
        <f>$B13*INDEX(Curves!$C$2:$BV$2,AG$2-8+1)</f>
        <v/>
      </c>
      <c r="AH13" s="3">
        <f>$B13*INDEX(Curves!$C$2:$BV$2,AH$2-8+1)</f>
        <v/>
      </c>
      <c r="AI13" s="3">
        <f>$B13*INDEX(Curves!$C$2:$BV$2,AI$2-8+1)</f>
        <v/>
      </c>
      <c r="AJ13" s="3">
        <f>$B13*INDEX(Curves!$C$2:$BV$2,AJ$2-8+1)</f>
        <v/>
      </c>
      <c r="AK13" s="3">
        <f>$B13*INDEX(Curves!$C$2:$BV$2,AK$2-8+1)</f>
        <v/>
      </c>
      <c r="AL13" s="3">
        <f>$B13*INDEX(Curves!$C$2:$BV$2,AL$2-8+1)</f>
        <v/>
      </c>
      <c r="AM13" s="3">
        <f>$B13*INDEX(Curves!$C$2:$BV$2,AM$2-8+1)</f>
        <v/>
      </c>
      <c r="AN13" s="3">
        <f>$B13*INDEX(Curves!$C$2:$BV$2,AN$2-8+1)</f>
        <v/>
      </c>
      <c r="AO13" s="3">
        <f>$B13*INDEX(Curves!$C$2:$BV$2,AO$2-8+1)</f>
        <v/>
      </c>
      <c r="AP13" s="3">
        <f>$B13*INDEX(Curves!$C$2:$BV$2,AP$2-8+1)</f>
        <v/>
      </c>
      <c r="AQ13" s="3">
        <f>$B13*INDEX(Curves!$C$2:$BV$2,AQ$2-8+1)</f>
        <v/>
      </c>
      <c r="AR13" s="3">
        <f>$B13*INDEX(Curves!$C$2:$BV$2,AR$2-8+1)</f>
        <v/>
      </c>
      <c r="AS13" s="3">
        <f>$B13*INDEX(Curves!$C$2:$BV$2,AS$2-8+1)</f>
        <v/>
      </c>
      <c r="AT13" s="3">
        <f>$B13*INDEX(Curves!$C$2:$BV$2,AT$2-8+1)</f>
        <v/>
      </c>
      <c r="AU13" s="3">
        <f>$B13*INDEX(Curves!$C$2:$BV$2,AU$2-8+1)</f>
        <v/>
      </c>
      <c r="AV13" s="3">
        <f>$B13*INDEX(Curves!$C$2:$BV$2,AV$2-8+1)</f>
        <v/>
      </c>
      <c r="AW13" s="3">
        <f>$B13*INDEX(Curves!$C$2:$BV$2,AW$2-8+1)</f>
        <v/>
      </c>
      <c r="AX13" s="3">
        <f>$B13*INDEX(Curves!$C$2:$BV$2,AX$2-8+1)</f>
        <v/>
      </c>
      <c r="AY13" s="3">
        <f>$B13*INDEX(Curves!$C$2:$BV$2,AY$2-8+1)</f>
        <v/>
      </c>
      <c r="AZ13" s="3">
        <f>$B13*INDEX(Curves!$C$2:$BV$2,AZ$2-8+1)</f>
        <v/>
      </c>
      <c r="BA13" s="3">
        <f>$B13*INDEX(Curves!$C$2:$BV$2,BA$2-8+1)</f>
        <v/>
      </c>
      <c r="BB13" s="3">
        <f>$B13*INDEX(Curves!$C$2:$BV$2,BB$2-8+1)</f>
        <v/>
      </c>
      <c r="BC13" s="3">
        <f>$B13*INDEX(Curves!$C$2:$BV$2,BC$2-8+1)</f>
        <v/>
      </c>
      <c r="BD13" s="3">
        <f>$B13*INDEX(Curves!$C$2:$BV$2,BD$2-8+1)</f>
        <v/>
      </c>
      <c r="BE13" s="3">
        <f>$B13*INDEX(Curves!$C$2:$BV$2,BE$2-8+1)</f>
        <v/>
      </c>
      <c r="BF13" s="3">
        <f>$B13*INDEX(Curves!$C$2:$BV$2,BF$2-8+1)</f>
        <v/>
      </c>
      <c r="BG13" s="3">
        <f>$B13*INDEX(Curves!$C$2:$BV$2,BG$2-8+1)</f>
        <v/>
      </c>
      <c r="BH13" s="3">
        <f>$B13*INDEX(Curves!$C$2:$BV$2,BH$2-8+1)</f>
        <v/>
      </c>
      <c r="BI13" s="3">
        <f>$B13*INDEX(Curves!$C$2:$BV$2,BI$2-8+1)</f>
        <v/>
      </c>
      <c r="BJ13" s="3">
        <f>$B13*INDEX(Curves!$C$2:$BV$2,BJ$2-8+1)</f>
        <v/>
      </c>
      <c r="BK13" s="3">
        <f>$B13*INDEX(Curves!$C$2:$BV$2,BK$2-8+1)</f>
        <v/>
      </c>
      <c r="BL13" s="3">
        <f>$B13*INDEX(Curves!$C$2:$BV$2,BL$2-8+1)</f>
        <v/>
      </c>
      <c r="BM13" s="3">
        <f>$B13*INDEX(Curves!$C$2:$BV$2,BM$2-8+1)</f>
        <v/>
      </c>
      <c r="BN13" s="3">
        <f>$B13*INDEX(Curves!$C$2:$BV$2,BN$2-8+1)</f>
        <v/>
      </c>
      <c r="BO13" s="3">
        <f>$B13*INDEX(Curves!$C$2:$BV$2,BO$2-8+1)</f>
        <v/>
      </c>
      <c r="BP13" s="3">
        <f>$B13*INDEX(Curves!$C$2:$BV$2,BP$2-8+1)</f>
        <v/>
      </c>
      <c r="BQ13" s="3">
        <f>$B13*INDEX(Curves!$C$2:$BV$2,BQ$2-8+1)</f>
        <v/>
      </c>
      <c r="BR13" s="3">
        <f>$B13*INDEX(Curves!$C$2:$BV$2,BR$2-8+1)</f>
        <v/>
      </c>
      <c r="BS13" s="3">
        <f>$B13*INDEX(Curves!$C$2:$BV$2,BS$2-8+1)</f>
        <v/>
      </c>
      <c r="BT13" s="3">
        <f>$B13*INDEX(Curves!$C$2:$BV$2,BT$2-8+1)</f>
        <v/>
      </c>
      <c r="BU13" s="3">
        <f>$B13*INDEX(Curves!$C$2:$BV$2,BU$2-8+1)</f>
        <v/>
      </c>
      <c r="BV13" s="3">
        <f>$B13*INDEX(Curves!$C$2:$BV$2,BV$2-8+1)</f>
        <v/>
      </c>
    </row>
    <row r="14">
      <c r="A14" t="inlineStr">
        <is>
          <t>cohort 2025-10</t>
        </is>
      </c>
      <c r="B14" s="3">
        <f>INDEX(Adds!$C$12:$BV$12,10)</f>
        <v/>
      </c>
      <c r="L14" s="3">
        <f>$B14*INDEX(Curves!$C$2:$BV$2,L$2-9+1)</f>
        <v/>
      </c>
      <c r="M14" s="3">
        <f>$B14*INDEX(Curves!$C$2:$BV$2,M$2-9+1)</f>
        <v/>
      </c>
      <c r="N14" s="3">
        <f>$B14*INDEX(Curves!$C$2:$BV$2,N$2-9+1)</f>
        <v/>
      </c>
      <c r="O14" s="3">
        <f>$B14*INDEX(Curves!$C$2:$BV$2,O$2-9+1)</f>
        <v/>
      </c>
      <c r="P14" s="3">
        <f>$B14*INDEX(Curves!$C$2:$BV$2,P$2-9+1)</f>
        <v/>
      </c>
      <c r="Q14" s="3">
        <f>$B14*INDEX(Curves!$C$2:$BV$2,Q$2-9+1)</f>
        <v/>
      </c>
      <c r="R14" s="3">
        <f>$B14*INDEX(Curves!$C$2:$BV$2,R$2-9+1)</f>
        <v/>
      </c>
      <c r="S14" s="3">
        <f>$B14*INDEX(Curves!$C$2:$BV$2,S$2-9+1)</f>
        <v/>
      </c>
      <c r="T14" s="3">
        <f>$B14*INDEX(Curves!$C$2:$BV$2,T$2-9+1)</f>
        <v/>
      </c>
      <c r="U14" s="3">
        <f>$B14*INDEX(Curves!$C$2:$BV$2,U$2-9+1)</f>
        <v/>
      </c>
      <c r="V14" s="3">
        <f>$B14*INDEX(Curves!$C$2:$BV$2,V$2-9+1)</f>
        <v/>
      </c>
      <c r="W14" s="3">
        <f>$B14*INDEX(Curves!$C$2:$BV$2,W$2-9+1)</f>
        <v/>
      </c>
      <c r="X14" s="3">
        <f>$B14*INDEX(Curves!$C$2:$BV$2,X$2-9+1)</f>
        <v/>
      </c>
      <c r="Y14" s="3">
        <f>$B14*INDEX(Curves!$C$2:$BV$2,Y$2-9+1)</f>
        <v/>
      </c>
      <c r="Z14" s="3">
        <f>$B14*INDEX(Curves!$C$2:$BV$2,Z$2-9+1)</f>
        <v/>
      </c>
      <c r="AA14" s="3">
        <f>$B14*INDEX(Curves!$C$2:$BV$2,AA$2-9+1)</f>
        <v/>
      </c>
      <c r="AB14" s="3">
        <f>$B14*INDEX(Curves!$C$2:$BV$2,AB$2-9+1)</f>
        <v/>
      </c>
      <c r="AC14" s="3">
        <f>$B14*INDEX(Curves!$C$2:$BV$2,AC$2-9+1)</f>
        <v/>
      </c>
      <c r="AD14" s="3">
        <f>$B14*INDEX(Curves!$C$2:$BV$2,AD$2-9+1)</f>
        <v/>
      </c>
      <c r="AE14" s="3">
        <f>$B14*INDEX(Curves!$C$2:$BV$2,AE$2-9+1)</f>
        <v/>
      </c>
      <c r="AF14" s="3">
        <f>$B14*INDEX(Curves!$C$2:$BV$2,AF$2-9+1)</f>
        <v/>
      </c>
      <c r="AG14" s="3">
        <f>$B14*INDEX(Curves!$C$2:$BV$2,AG$2-9+1)</f>
        <v/>
      </c>
      <c r="AH14" s="3">
        <f>$B14*INDEX(Curves!$C$2:$BV$2,AH$2-9+1)</f>
        <v/>
      </c>
      <c r="AI14" s="3">
        <f>$B14*INDEX(Curves!$C$2:$BV$2,AI$2-9+1)</f>
        <v/>
      </c>
      <c r="AJ14" s="3">
        <f>$B14*INDEX(Curves!$C$2:$BV$2,AJ$2-9+1)</f>
        <v/>
      </c>
      <c r="AK14" s="3">
        <f>$B14*INDEX(Curves!$C$2:$BV$2,AK$2-9+1)</f>
        <v/>
      </c>
      <c r="AL14" s="3">
        <f>$B14*INDEX(Curves!$C$2:$BV$2,AL$2-9+1)</f>
        <v/>
      </c>
      <c r="AM14" s="3">
        <f>$B14*INDEX(Curves!$C$2:$BV$2,AM$2-9+1)</f>
        <v/>
      </c>
      <c r="AN14" s="3">
        <f>$B14*INDEX(Curves!$C$2:$BV$2,AN$2-9+1)</f>
        <v/>
      </c>
      <c r="AO14" s="3">
        <f>$B14*INDEX(Curves!$C$2:$BV$2,AO$2-9+1)</f>
        <v/>
      </c>
      <c r="AP14" s="3">
        <f>$B14*INDEX(Curves!$C$2:$BV$2,AP$2-9+1)</f>
        <v/>
      </c>
      <c r="AQ14" s="3">
        <f>$B14*INDEX(Curves!$C$2:$BV$2,AQ$2-9+1)</f>
        <v/>
      </c>
      <c r="AR14" s="3">
        <f>$B14*INDEX(Curves!$C$2:$BV$2,AR$2-9+1)</f>
        <v/>
      </c>
      <c r="AS14" s="3">
        <f>$B14*INDEX(Curves!$C$2:$BV$2,AS$2-9+1)</f>
        <v/>
      </c>
      <c r="AT14" s="3">
        <f>$B14*INDEX(Curves!$C$2:$BV$2,AT$2-9+1)</f>
        <v/>
      </c>
      <c r="AU14" s="3">
        <f>$B14*INDEX(Curves!$C$2:$BV$2,AU$2-9+1)</f>
        <v/>
      </c>
      <c r="AV14" s="3">
        <f>$B14*INDEX(Curves!$C$2:$BV$2,AV$2-9+1)</f>
        <v/>
      </c>
      <c r="AW14" s="3">
        <f>$B14*INDEX(Curves!$C$2:$BV$2,AW$2-9+1)</f>
        <v/>
      </c>
      <c r="AX14" s="3">
        <f>$B14*INDEX(Curves!$C$2:$BV$2,AX$2-9+1)</f>
        <v/>
      </c>
      <c r="AY14" s="3">
        <f>$B14*INDEX(Curves!$C$2:$BV$2,AY$2-9+1)</f>
        <v/>
      </c>
      <c r="AZ14" s="3">
        <f>$B14*INDEX(Curves!$C$2:$BV$2,AZ$2-9+1)</f>
        <v/>
      </c>
      <c r="BA14" s="3">
        <f>$B14*INDEX(Curves!$C$2:$BV$2,BA$2-9+1)</f>
        <v/>
      </c>
      <c r="BB14" s="3">
        <f>$B14*INDEX(Curves!$C$2:$BV$2,BB$2-9+1)</f>
        <v/>
      </c>
      <c r="BC14" s="3">
        <f>$B14*INDEX(Curves!$C$2:$BV$2,BC$2-9+1)</f>
        <v/>
      </c>
      <c r="BD14" s="3">
        <f>$B14*INDEX(Curves!$C$2:$BV$2,BD$2-9+1)</f>
        <v/>
      </c>
      <c r="BE14" s="3">
        <f>$B14*INDEX(Curves!$C$2:$BV$2,BE$2-9+1)</f>
        <v/>
      </c>
      <c r="BF14" s="3">
        <f>$B14*INDEX(Curves!$C$2:$BV$2,BF$2-9+1)</f>
        <v/>
      </c>
      <c r="BG14" s="3">
        <f>$B14*INDEX(Curves!$C$2:$BV$2,BG$2-9+1)</f>
        <v/>
      </c>
      <c r="BH14" s="3">
        <f>$B14*INDEX(Curves!$C$2:$BV$2,BH$2-9+1)</f>
        <v/>
      </c>
      <c r="BI14" s="3">
        <f>$B14*INDEX(Curves!$C$2:$BV$2,BI$2-9+1)</f>
        <v/>
      </c>
      <c r="BJ14" s="3">
        <f>$B14*INDEX(Curves!$C$2:$BV$2,BJ$2-9+1)</f>
        <v/>
      </c>
      <c r="BK14" s="3">
        <f>$B14*INDEX(Curves!$C$2:$BV$2,BK$2-9+1)</f>
        <v/>
      </c>
      <c r="BL14" s="3">
        <f>$B14*INDEX(Curves!$C$2:$BV$2,BL$2-9+1)</f>
        <v/>
      </c>
      <c r="BM14" s="3">
        <f>$B14*INDEX(Curves!$C$2:$BV$2,BM$2-9+1)</f>
        <v/>
      </c>
      <c r="BN14" s="3">
        <f>$B14*INDEX(Curves!$C$2:$BV$2,BN$2-9+1)</f>
        <v/>
      </c>
      <c r="BO14" s="3">
        <f>$B14*INDEX(Curves!$C$2:$BV$2,BO$2-9+1)</f>
        <v/>
      </c>
      <c r="BP14" s="3">
        <f>$B14*INDEX(Curves!$C$2:$BV$2,BP$2-9+1)</f>
        <v/>
      </c>
      <c r="BQ14" s="3">
        <f>$B14*INDEX(Curves!$C$2:$BV$2,BQ$2-9+1)</f>
        <v/>
      </c>
      <c r="BR14" s="3">
        <f>$B14*INDEX(Curves!$C$2:$BV$2,BR$2-9+1)</f>
        <v/>
      </c>
      <c r="BS14" s="3">
        <f>$B14*INDEX(Curves!$C$2:$BV$2,BS$2-9+1)</f>
        <v/>
      </c>
      <c r="BT14" s="3">
        <f>$B14*INDEX(Curves!$C$2:$BV$2,BT$2-9+1)</f>
        <v/>
      </c>
      <c r="BU14" s="3">
        <f>$B14*INDEX(Curves!$C$2:$BV$2,BU$2-9+1)</f>
        <v/>
      </c>
      <c r="BV14" s="3">
        <f>$B14*INDEX(Curves!$C$2:$BV$2,BV$2-9+1)</f>
        <v/>
      </c>
    </row>
    <row r="15">
      <c r="A15" t="inlineStr">
        <is>
          <t>cohort 2025-11</t>
        </is>
      </c>
      <c r="B15" s="3">
        <f>INDEX(Adds!$C$12:$BV$12,11)</f>
        <v/>
      </c>
      <c r="M15" s="3">
        <f>$B15*INDEX(Curves!$C$2:$BV$2,M$2-10+1)</f>
        <v/>
      </c>
      <c r="N15" s="3">
        <f>$B15*INDEX(Curves!$C$2:$BV$2,N$2-10+1)</f>
        <v/>
      </c>
      <c r="O15" s="3">
        <f>$B15*INDEX(Curves!$C$2:$BV$2,O$2-10+1)</f>
        <v/>
      </c>
      <c r="P15" s="3">
        <f>$B15*INDEX(Curves!$C$2:$BV$2,P$2-10+1)</f>
        <v/>
      </c>
      <c r="Q15" s="3">
        <f>$B15*INDEX(Curves!$C$2:$BV$2,Q$2-10+1)</f>
        <v/>
      </c>
      <c r="R15" s="3">
        <f>$B15*INDEX(Curves!$C$2:$BV$2,R$2-10+1)</f>
        <v/>
      </c>
      <c r="S15" s="3">
        <f>$B15*INDEX(Curves!$C$2:$BV$2,S$2-10+1)</f>
        <v/>
      </c>
      <c r="T15" s="3">
        <f>$B15*INDEX(Curves!$C$2:$BV$2,T$2-10+1)</f>
        <v/>
      </c>
      <c r="U15" s="3">
        <f>$B15*INDEX(Curves!$C$2:$BV$2,U$2-10+1)</f>
        <v/>
      </c>
      <c r="V15" s="3">
        <f>$B15*INDEX(Curves!$C$2:$BV$2,V$2-10+1)</f>
        <v/>
      </c>
      <c r="W15" s="3">
        <f>$B15*INDEX(Curves!$C$2:$BV$2,W$2-10+1)</f>
        <v/>
      </c>
      <c r="X15" s="3">
        <f>$B15*INDEX(Curves!$C$2:$BV$2,X$2-10+1)</f>
        <v/>
      </c>
      <c r="Y15" s="3">
        <f>$B15*INDEX(Curves!$C$2:$BV$2,Y$2-10+1)</f>
        <v/>
      </c>
      <c r="Z15" s="3">
        <f>$B15*INDEX(Curves!$C$2:$BV$2,Z$2-10+1)</f>
        <v/>
      </c>
      <c r="AA15" s="3">
        <f>$B15*INDEX(Curves!$C$2:$BV$2,AA$2-10+1)</f>
        <v/>
      </c>
      <c r="AB15" s="3">
        <f>$B15*INDEX(Curves!$C$2:$BV$2,AB$2-10+1)</f>
        <v/>
      </c>
      <c r="AC15" s="3">
        <f>$B15*INDEX(Curves!$C$2:$BV$2,AC$2-10+1)</f>
        <v/>
      </c>
      <c r="AD15" s="3">
        <f>$B15*INDEX(Curves!$C$2:$BV$2,AD$2-10+1)</f>
        <v/>
      </c>
      <c r="AE15" s="3">
        <f>$B15*INDEX(Curves!$C$2:$BV$2,AE$2-10+1)</f>
        <v/>
      </c>
      <c r="AF15" s="3">
        <f>$B15*INDEX(Curves!$C$2:$BV$2,AF$2-10+1)</f>
        <v/>
      </c>
      <c r="AG15" s="3">
        <f>$B15*INDEX(Curves!$C$2:$BV$2,AG$2-10+1)</f>
        <v/>
      </c>
      <c r="AH15" s="3">
        <f>$B15*INDEX(Curves!$C$2:$BV$2,AH$2-10+1)</f>
        <v/>
      </c>
      <c r="AI15" s="3">
        <f>$B15*INDEX(Curves!$C$2:$BV$2,AI$2-10+1)</f>
        <v/>
      </c>
      <c r="AJ15" s="3">
        <f>$B15*INDEX(Curves!$C$2:$BV$2,AJ$2-10+1)</f>
        <v/>
      </c>
      <c r="AK15" s="3">
        <f>$B15*INDEX(Curves!$C$2:$BV$2,AK$2-10+1)</f>
        <v/>
      </c>
      <c r="AL15" s="3">
        <f>$B15*INDEX(Curves!$C$2:$BV$2,AL$2-10+1)</f>
        <v/>
      </c>
      <c r="AM15" s="3">
        <f>$B15*INDEX(Curves!$C$2:$BV$2,AM$2-10+1)</f>
        <v/>
      </c>
      <c r="AN15" s="3">
        <f>$B15*INDEX(Curves!$C$2:$BV$2,AN$2-10+1)</f>
        <v/>
      </c>
      <c r="AO15" s="3">
        <f>$B15*INDEX(Curves!$C$2:$BV$2,AO$2-10+1)</f>
        <v/>
      </c>
      <c r="AP15" s="3">
        <f>$B15*INDEX(Curves!$C$2:$BV$2,AP$2-10+1)</f>
        <v/>
      </c>
      <c r="AQ15" s="3">
        <f>$B15*INDEX(Curves!$C$2:$BV$2,AQ$2-10+1)</f>
        <v/>
      </c>
      <c r="AR15" s="3">
        <f>$B15*INDEX(Curves!$C$2:$BV$2,AR$2-10+1)</f>
        <v/>
      </c>
      <c r="AS15" s="3">
        <f>$B15*INDEX(Curves!$C$2:$BV$2,AS$2-10+1)</f>
        <v/>
      </c>
      <c r="AT15" s="3">
        <f>$B15*INDEX(Curves!$C$2:$BV$2,AT$2-10+1)</f>
        <v/>
      </c>
      <c r="AU15" s="3">
        <f>$B15*INDEX(Curves!$C$2:$BV$2,AU$2-10+1)</f>
        <v/>
      </c>
      <c r="AV15" s="3">
        <f>$B15*INDEX(Curves!$C$2:$BV$2,AV$2-10+1)</f>
        <v/>
      </c>
      <c r="AW15" s="3">
        <f>$B15*INDEX(Curves!$C$2:$BV$2,AW$2-10+1)</f>
        <v/>
      </c>
      <c r="AX15" s="3">
        <f>$B15*INDEX(Curves!$C$2:$BV$2,AX$2-10+1)</f>
        <v/>
      </c>
      <c r="AY15" s="3">
        <f>$B15*INDEX(Curves!$C$2:$BV$2,AY$2-10+1)</f>
        <v/>
      </c>
      <c r="AZ15" s="3">
        <f>$B15*INDEX(Curves!$C$2:$BV$2,AZ$2-10+1)</f>
        <v/>
      </c>
      <c r="BA15" s="3">
        <f>$B15*INDEX(Curves!$C$2:$BV$2,BA$2-10+1)</f>
        <v/>
      </c>
      <c r="BB15" s="3">
        <f>$B15*INDEX(Curves!$C$2:$BV$2,BB$2-10+1)</f>
        <v/>
      </c>
      <c r="BC15" s="3">
        <f>$B15*INDEX(Curves!$C$2:$BV$2,BC$2-10+1)</f>
        <v/>
      </c>
      <c r="BD15" s="3">
        <f>$B15*INDEX(Curves!$C$2:$BV$2,BD$2-10+1)</f>
        <v/>
      </c>
      <c r="BE15" s="3">
        <f>$B15*INDEX(Curves!$C$2:$BV$2,BE$2-10+1)</f>
        <v/>
      </c>
      <c r="BF15" s="3">
        <f>$B15*INDEX(Curves!$C$2:$BV$2,BF$2-10+1)</f>
        <v/>
      </c>
      <c r="BG15" s="3">
        <f>$B15*INDEX(Curves!$C$2:$BV$2,BG$2-10+1)</f>
        <v/>
      </c>
      <c r="BH15" s="3">
        <f>$B15*INDEX(Curves!$C$2:$BV$2,BH$2-10+1)</f>
        <v/>
      </c>
      <c r="BI15" s="3">
        <f>$B15*INDEX(Curves!$C$2:$BV$2,BI$2-10+1)</f>
        <v/>
      </c>
      <c r="BJ15" s="3">
        <f>$B15*INDEX(Curves!$C$2:$BV$2,BJ$2-10+1)</f>
        <v/>
      </c>
      <c r="BK15" s="3">
        <f>$B15*INDEX(Curves!$C$2:$BV$2,BK$2-10+1)</f>
        <v/>
      </c>
      <c r="BL15" s="3">
        <f>$B15*INDEX(Curves!$C$2:$BV$2,BL$2-10+1)</f>
        <v/>
      </c>
      <c r="BM15" s="3">
        <f>$B15*INDEX(Curves!$C$2:$BV$2,BM$2-10+1)</f>
        <v/>
      </c>
      <c r="BN15" s="3">
        <f>$B15*INDEX(Curves!$C$2:$BV$2,BN$2-10+1)</f>
        <v/>
      </c>
      <c r="BO15" s="3">
        <f>$B15*INDEX(Curves!$C$2:$BV$2,BO$2-10+1)</f>
        <v/>
      </c>
      <c r="BP15" s="3">
        <f>$B15*INDEX(Curves!$C$2:$BV$2,BP$2-10+1)</f>
        <v/>
      </c>
      <c r="BQ15" s="3">
        <f>$B15*INDEX(Curves!$C$2:$BV$2,BQ$2-10+1)</f>
        <v/>
      </c>
      <c r="BR15" s="3">
        <f>$B15*INDEX(Curves!$C$2:$BV$2,BR$2-10+1)</f>
        <v/>
      </c>
      <c r="BS15" s="3">
        <f>$B15*INDEX(Curves!$C$2:$BV$2,BS$2-10+1)</f>
        <v/>
      </c>
      <c r="BT15" s="3">
        <f>$B15*INDEX(Curves!$C$2:$BV$2,BT$2-10+1)</f>
        <v/>
      </c>
      <c r="BU15" s="3">
        <f>$B15*INDEX(Curves!$C$2:$BV$2,BU$2-10+1)</f>
        <v/>
      </c>
      <c r="BV15" s="3">
        <f>$B15*INDEX(Curves!$C$2:$BV$2,BV$2-10+1)</f>
        <v/>
      </c>
    </row>
    <row r="16">
      <c r="A16" t="inlineStr">
        <is>
          <t>cohort 2025-12</t>
        </is>
      </c>
      <c r="B16" s="3">
        <f>INDEX(Adds!$C$12:$BV$12,12)</f>
        <v/>
      </c>
      <c r="N16" s="3">
        <f>$B16*INDEX(Curves!$C$2:$BV$2,N$2-11+1)</f>
        <v/>
      </c>
      <c r="O16" s="3">
        <f>$B16*INDEX(Curves!$C$2:$BV$2,O$2-11+1)</f>
        <v/>
      </c>
      <c r="P16" s="3">
        <f>$B16*INDEX(Curves!$C$2:$BV$2,P$2-11+1)</f>
        <v/>
      </c>
      <c r="Q16" s="3">
        <f>$B16*INDEX(Curves!$C$2:$BV$2,Q$2-11+1)</f>
        <v/>
      </c>
      <c r="R16" s="3">
        <f>$B16*INDEX(Curves!$C$2:$BV$2,R$2-11+1)</f>
        <v/>
      </c>
      <c r="S16" s="3">
        <f>$B16*INDEX(Curves!$C$2:$BV$2,S$2-11+1)</f>
        <v/>
      </c>
      <c r="T16" s="3">
        <f>$B16*INDEX(Curves!$C$2:$BV$2,T$2-11+1)</f>
        <v/>
      </c>
      <c r="U16" s="3">
        <f>$B16*INDEX(Curves!$C$2:$BV$2,U$2-11+1)</f>
        <v/>
      </c>
      <c r="V16" s="3">
        <f>$B16*INDEX(Curves!$C$2:$BV$2,V$2-11+1)</f>
        <v/>
      </c>
      <c r="W16" s="3">
        <f>$B16*INDEX(Curves!$C$2:$BV$2,W$2-11+1)</f>
        <v/>
      </c>
      <c r="X16" s="3">
        <f>$B16*INDEX(Curves!$C$2:$BV$2,X$2-11+1)</f>
        <v/>
      </c>
      <c r="Y16" s="3">
        <f>$B16*INDEX(Curves!$C$2:$BV$2,Y$2-11+1)</f>
        <v/>
      </c>
      <c r="Z16" s="3">
        <f>$B16*INDEX(Curves!$C$2:$BV$2,Z$2-11+1)</f>
        <v/>
      </c>
      <c r="AA16" s="3">
        <f>$B16*INDEX(Curves!$C$2:$BV$2,AA$2-11+1)</f>
        <v/>
      </c>
      <c r="AB16" s="3">
        <f>$B16*INDEX(Curves!$C$2:$BV$2,AB$2-11+1)</f>
        <v/>
      </c>
      <c r="AC16" s="3">
        <f>$B16*INDEX(Curves!$C$2:$BV$2,AC$2-11+1)</f>
        <v/>
      </c>
      <c r="AD16" s="3">
        <f>$B16*INDEX(Curves!$C$2:$BV$2,AD$2-11+1)</f>
        <v/>
      </c>
      <c r="AE16" s="3">
        <f>$B16*INDEX(Curves!$C$2:$BV$2,AE$2-11+1)</f>
        <v/>
      </c>
      <c r="AF16" s="3">
        <f>$B16*INDEX(Curves!$C$2:$BV$2,AF$2-11+1)</f>
        <v/>
      </c>
      <c r="AG16" s="3">
        <f>$B16*INDEX(Curves!$C$2:$BV$2,AG$2-11+1)</f>
        <v/>
      </c>
      <c r="AH16" s="3">
        <f>$B16*INDEX(Curves!$C$2:$BV$2,AH$2-11+1)</f>
        <v/>
      </c>
      <c r="AI16" s="3">
        <f>$B16*INDEX(Curves!$C$2:$BV$2,AI$2-11+1)</f>
        <v/>
      </c>
      <c r="AJ16" s="3">
        <f>$B16*INDEX(Curves!$C$2:$BV$2,AJ$2-11+1)</f>
        <v/>
      </c>
      <c r="AK16" s="3">
        <f>$B16*INDEX(Curves!$C$2:$BV$2,AK$2-11+1)</f>
        <v/>
      </c>
      <c r="AL16" s="3">
        <f>$B16*INDEX(Curves!$C$2:$BV$2,AL$2-11+1)</f>
        <v/>
      </c>
      <c r="AM16" s="3">
        <f>$B16*INDEX(Curves!$C$2:$BV$2,AM$2-11+1)</f>
        <v/>
      </c>
      <c r="AN16" s="3">
        <f>$B16*INDEX(Curves!$C$2:$BV$2,AN$2-11+1)</f>
        <v/>
      </c>
      <c r="AO16" s="3">
        <f>$B16*INDEX(Curves!$C$2:$BV$2,AO$2-11+1)</f>
        <v/>
      </c>
      <c r="AP16" s="3">
        <f>$B16*INDEX(Curves!$C$2:$BV$2,AP$2-11+1)</f>
        <v/>
      </c>
      <c r="AQ16" s="3">
        <f>$B16*INDEX(Curves!$C$2:$BV$2,AQ$2-11+1)</f>
        <v/>
      </c>
      <c r="AR16" s="3">
        <f>$B16*INDEX(Curves!$C$2:$BV$2,AR$2-11+1)</f>
        <v/>
      </c>
      <c r="AS16" s="3">
        <f>$B16*INDEX(Curves!$C$2:$BV$2,AS$2-11+1)</f>
        <v/>
      </c>
      <c r="AT16" s="3">
        <f>$B16*INDEX(Curves!$C$2:$BV$2,AT$2-11+1)</f>
        <v/>
      </c>
      <c r="AU16" s="3">
        <f>$B16*INDEX(Curves!$C$2:$BV$2,AU$2-11+1)</f>
        <v/>
      </c>
      <c r="AV16" s="3">
        <f>$B16*INDEX(Curves!$C$2:$BV$2,AV$2-11+1)</f>
        <v/>
      </c>
      <c r="AW16" s="3">
        <f>$B16*INDEX(Curves!$C$2:$BV$2,AW$2-11+1)</f>
        <v/>
      </c>
      <c r="AX16" s="3">
        <f>$B16*INDEX(Curves!$C$2:$BV$2,AX$2-11+1)</f>
        <v/>
      </c>
      <c r="AY16" s="3">
        <f>$B16*INDEX(Curves!$C$2:$BV$2,AY$2-11+1)</f>
        <v/>
      </c>
      <c r="AZ16" s="3">
        <f>$B16*INDEX(Curves!$C$2:$BV$2,AZ$2-11+1)</f>
        <v/>
      </c>
      <c r="BA16" s="3">
        <f>$B16*INDEX(Curves!$C$2:$BV$2,BA$2-11+1)</f>
        <v/>
      </c>
      <c r="BB16" s="3">
        <f>$B16*INDEX(Curves!$C$2:$BV$2,BB$2-11+1)</f>
        <v/>
      </c>
      <c r="BC16" s="3">
        <f>$B16*INDEX(Curves!$C$2:$BV$2,BC$2-11+1)</f>
        <v/>
      </c>
      <c r="BD16" s="3">
        <f>$B16*INDEX(Curves!$C$2:$BV$2,BD$2-11+1)</f>
        <v/>
      </c>
      <c r="BE16" s="3">
        <f>$B16*INDEX(Curves!$C$2:$BV$2,BE$2-11+1)</f>
        <v/>
      </c>
      <c r="BF16" s="3">
        <f>$B16*INDEX(Curves!$C$2:$BV$2,BF$2-11+1)</f>
        <v/>
      </c>
      <c r="BG16" s="3">
        <f>$B16*INDEX(Curves!$C$2:$BV$2,BG$2-11+1)</f>
        <v/>
      </c>
      <c r="BH16" s="3">
        <f>$B16*INDEX(Curves!$C$2:$BV$2,BH$2-11+1)</f>
        <v/>
      </c>
      <c r="BI16" s="3">
        <f>$B16*INDEX(Curves!$C$2:$BV$2,BI$2-11+1)</f>
        <v/>
      </c>
      <c r="BJ16" s="3">
        <f>$B16*INDEX(Curves!$C$2:$BV$2,BJ$2-11+1)</f>
        <v/>
      </c>
      <c r="BK16" s="3">
        <f>$B16*INDEX(Curves!$C$2:$BV$2,BK$2-11+1)</f>
        <v/>
      </c>
      <c r="BL16" s="3">
        <f>$B16*INDEX(Curves!$C$2:$BV$2,BL$2-11+1)</f>
        <v/>
      </c>
      <c r="BM16" s="3">
        <f>$B16*INDEX(Curves!$C$2:$BV$2,BM$2-11+1)</f>
        <v/>
      </c>
      <c r="BN16" s="3">
        <f>$B16*INDEX(Curves!$C$2:$BV$2,BN$2-11+1)</f>
        <v/>
      </c>
      <c r="BO16" s="3">
        <f>$B16*INDEX(Curves!$C$2:$BV$2,BO$2-11+1)</f>
        <v/>
      </c>
      <c r="BP16" s="3">
        <f>$B16*INDEX(Curves!$C$2:$BV$2,BP$2-11+1)</f>
        <v/>
      </c>
      <c r="BQ16" s="3">
        <f>$B16*INDEX(Curves!$C$2:$BV$2,BQ$2-11+1)</f>
        <v/>
      </c>
      <c r="BR16" s="3">
        <f>$B16*INDEX(Curves!$C$2:$BV$2,BR$2-11+1)</f>
        <v/>
      </c>
      <c r="BS16" s="3">
        <f>$B16*INDEX(Curves!$C$2:$BV$2,BS$2-11+1)</f>
        <v/>
      </c>
      <c r="BT16" s="3">
        <f>$B16*INDEX(Curves!$C$2:$BV$2,BT$2-11+1)</f>
        <v/>
      </c>
      <c r="BU16" s="3">
        <f>$B16*INDEX(Curves!$C$2:$BV$2,BU$2-11+1)</f>
        <v/>
      </c>
      <c r="BV16" s="3">
        <f>$B16*INDEX(Curves!$C$2:$BV$2,BV$2-11+1)</f>
        <v/>
      </c>
    </row>
    <row r="17">
      <c r="A17" t="inlineStr">
        <is>
          <t>cohort 2026-01</t>
        </is>
      </c>
      <c r="B17" s="3">
        <f>INDEX(Adds!$C$12:$BV$12,13)</f>
        <v/>
      </c>
      <c r="O17" s="3">
        <f>$B17*INDEX(Curves!$C$2:$BV$2,O$2-12+1)</f>
        <v/>
      </c>
      <c r="P17" s="3">
        <f>$B17*INDEX(Curves!$C$2:$BV$2,P$2-12+1)</f>
        <v/>
      </c>
      <c r="Q17" s="3">
        <f>$B17*INDEX(Curves!$C$2:$BV$2,Q$2-12+1)</f>
        <v/>
      </c>
      <c r="R17" s="3">
        <f>$B17*INDEX(Curves!$C$2:$BV$2,R$2-12+1)</f>
        <v/>
      </c>
      <c r="S17" s="3">
        <f>$B17*INDEX(Curves!$C$2:$BV$2,S$2-12+1)</f>
        <v/>
      </c>
      <c r="T17" s="3">
        <f>$B17*INDEX(Curves!$C$2:$BV$2,T$2-12+1)</f>
        <v/>
      </c>
      <c r="U17" s="3">
        <f>$B17*INDEX(Curves!$C$2:$BV$2,U$2-12+1)</f>
        <v/>
      </c>
      <c r="V17" s="3">
        <f>$B17*INDEX(Curves!$C$2:$BV$2,V$2-12+1)</f>
        <v/>
      </c>
      <c r="W17" s="3">
        <f>$B17*INDEX(Curves!$C$2:$BV$2,W$2-12+1)</f>
        <v/>
      </c>
      <c r="X17" s="3">
        <f>$B17*INDEX(Curves!$C$2:$BV$2,X$2-12+1)</f>
        <v/>
      </c>
      <c r="Y17" s="3">
        <f>$B17*INDEX(Curves!$C$2:$BV$2,Y$2-12+1)</f>
        <v/>
      </c>
      <c r="Z17" s="3">
        <f>$B17*INDEX(Curves!$C$2:$BV$2,Z$2-12+1)</f>
        <v/>
      </c>
      <c r="AA17" s="3">
        <f>$B17*INDEX(Curves!$C$2:$BV$2,AA$2-12+1)</f>
        <v/>
      </c>
      <c r="AB17" s="3">
        <f>$B17*INDEX(Curves!$C$2:$BV$2,AB$2-12+1)</f>
        <v/>
      </c>
      <c r="AC17" s="3">
        <f>$B17*INDEX(Curves!$C$2:$BV$2,AC$2-12+1)</f>
        <v/>
      </c>
      <c r="AD17" s="3">
        <f>$B17*INDEX(Curves!$C$2:$BV$2,AD$2-12+1)</f>
        <v/>
      </c>
      <c r="AE17" s="3">
        <f>$B17*INDEX(Curves!$C$2:$BV$2,AE$2-12+1)</f>
        <v/>
      </c>
      <c r="AF17" s="3">
        <f>$B17*INDEX(Curves!$C$2:$BV$2,AF$2-12+1)</f>
        <v/>
      </c>
      <c r="AG17" s="3">
        <f>$B17*INDEX(Curves!$C$2:$BV$2,AG$2-12+1)</f>
        <v/>
      </c>
      <c r="AH17" s="3">
        <f>$B17*INDEX(Curves!$C$2:$BV$2,AH$2-12+1)</f>
        <v/>
      </c>
      <c r="AI17" s="3">
        <f>$B17*INDEX(Curves!$C$2:$BV$2,AI$2-12+1)</f>
        <v/>
      </c>
      <c r="AJ17" s="3">
        <f>$B17*INDEX(Curves!$C$2:$BV$2,AJ$2-12+1)</f>
        <v/>
      </c>
      <c r="AK17" s="3">
        <f>$B17*INDEX(Curves!$C$2:$BV$2,AK$2-12+1)</f>
        <v/>
      </c>
      <c r="AL17" s="3">
        <f>$B17*INDEX(Curves!$C$2:$BV$2,AL$2-12+1)</f>
        <v/>
      </c>
      <c r="AM17" s="3">
        <f>$B17*INDEX(Curves!$C$2:$BV$2,AM$2-12+1)</f>
        <v/>
      </c>
      <c r="AN17" s="3">
        <f>$B17*INDEX(Curves!$C$2:$BV$2,AN$2-12+1)</f>
        <v/>
      </c>
      <c r="AO17" s="3">
        <f>$B17*INDEX(Curves!$C$2:$BV$2,AO$2-12+1)</f>
        <v/>
      </c>
      <c r="AP17" s="3">
        <f>$B17*INDEX(Curves!$C$2:$BV$2,AP$2-12+1)</f>
        <v/>
      </c>
      <c r="AQ17" s="3">
        <f>$B17*INDEX(Curves!$C$2:$BV$2,AQ$2-12+1)</f>
        <v/>
      </c>
      <c r="AR17" s="3">
        <f>$B17*INDEX(Curves!$C$2:$BV$2,AR$2-12+1)</f>
        <v/>
      </c>
      <c r="AS17" s="3">
        <f>$B17*INDEX(Curves!$C$2:$BV$2,AS$2-12+1)</f>
        <v/>
      </c>
      <c r="AT17" s="3">
        <f>$B17*INDEX(Curves!$C$2:$BV$2,AT$2-12+1)</f>
        <v/>
      </c>
      <c r="AU17" s="3">
        <f>$B17*INDEX(Curves!$C$2:$BV$2,AU$2-12+1)</f>
        <v/>
      </c>
      <c r="AV17" s="3">
        <f>$B17*INDEX(Curves!$C$2:$BV$2,AV$2-12+1)</f>
        <v/>
      </c>
      <c r="AW17" s="3">
        <f>$B17*INDEX(Curves!$C$2:$BV$2,AW$2-12+1)</f>
        <v/>
      </c>
      <c r="AX17" s="3">
        <f>$B17*INDEX(Curves!$C$2:$BV$2,AX$2-12+1)</f>
        <v/>
      </c>
      <c r="AY17" s="3">
        <f>$B17*INDEX(Curves!$C$2:$BV$2,AY$2-12+1)</f>
        <v/>
      </c>
      <c r="AZ17" s="3">
        <f>$B17*INDEX(Curves!$C$2:$BV$2,AZ$2-12+1)</f>
        <v/>
      </c>
      <c r="BA17" s="3">
        <f>$B17*INDEX(Curves!$C$2:$BV$2,BA$2-12+1)</f>
        <v/>
      </c>
      <c r="BB17" s="3">
        <f>$B17*INDEX(Curves!$C$2:$BV$2,BB$2-12+1)</f>
        <v/>
      </c>
      <c r="BC17" s="3">
        <f>$B17*INDEX(Curves!$C$2:$BV$2,BC$2-12+1)</f>
        <v/>
      </c>
      <c r="BD17" s="3">
        <f>$B17*INDEX(Curves!$C$2:$BV$2,BD$2-12+1)</f>
        <v/>
      </c>
      <c r="BE17" s="3">
        <f>$B17*INDEX(Curves!$C$2:$BV$2,BE$2-12+1)</f>
        <v/>
      </c>
      <c r="BF17" s="3">
        <f>$B17*INDEX(Curves!$C$2:$BV$2,BF$2-12+1)</f>
        <v/>
      </c>
      <c r="BG17" s="3">
        <f>$B17*INDEX(Curves!$C$2:$BV$2,BG$2-12+1)</f>
        <v/>
      </c>
      <c r="BH17" s="3">
        <f>$B17*INDEX(Curves!$C$2:$BV$2,BH$2-12+1)</f>
        <v/>
      </c>
      <c r="BI17" s="3">
        <f>$B17*INDEX(Curves!$C$2:$BV$2,BI$2-12+1)</f>
        <v/>
      </c>
      <c r="BJ17" s="3">
        <f>$B17*INDEX(Curves!$C$2:$BV$2,BJ$2-12+1)</f>
        <v/>
      </c>
      <c r="BK17" s="3">
        <f>$B17*INDEX(Curves!$C$2:$BV$2,BK$2-12+1)</f>
        <v/>
      </c>
      <c r="BL17" s="3">
        <f>$B17*INDEX(Curves!$C$2:$BV$2,BL$2-12+1)</f>
        <v/>
      </c>
      <c r="BM17" s="3">
        <f>$B17*INDEX(Curves!$C$2:$BV$2,BM$2-12+1)</f>
        <v/>
      </c>
      <c r="BN17" s="3">
        <f>$B17*INDEX(Curves!$C$2:$BV$2,BN$2-12+1)</f>
        <v/>
      </c>
      <c r="BO17" s="3">
        <f>$B17*INDEX(Curves!$C$2:$BV$2,BO$2-12+1)</f>
        <v/>
      </c>
      <c r="BP17" s="3">
        <f>$B17*INDEX(Curves!$C$2:$BV$2,BP$2-12+1)</f>
        <v/>
      </c>
      <c r="BQ17" s="3">
        <f>$B17*INDEX(Curves!$C$2:$BV$2,BQ$2-12+1)</f>
        <v/>
      </c>
      <c r="BR17" s="3">
        <f>$B17*INDEX(Curves!$C$2:$BV$2,BR$2-12+1)</f>
        <v/>
      </c>
      <c r="BS17" s="3">
        <f>$B17*INDEX(Curves!$C$2:$BV$2,BS$2-12+1)</f>
        <v/>
      </c>
      <c r="BT17" s="3">
        <f>$B17*INDEX(Curves!$C$2:$BV$2,BT$2-12+1)</f>
        <v/>
      </c>
      <c r="BU17" s="3">
        <f>$B17*INDEX(Curves!$C$2:$BV$2,BU$2-12+1)</f>
        <v/>
      </c>
      <c r="BV17" s="3">
        <f>$B17*INDEX(Curves!$C$2:$BV$2,BV$2-12+1)</f>
        <v/>
      </c>
    </row>
    <row r="18">
      <c r="A18" t="inlineStr">
        <is>
          <t>cohort 2026-02</t>
        </is>
      </c>
      <c r="B18" s="3">
        <f>INDEX(Adds!$C$12:$BV$12,14)</f>
        <v/>
      </c>
      <c r="P18" s="3">
        <f>$B18*INDEX(Curves!$C$2:$BV$2,P$2-13+1)</f>
        <v/>
      </c>
      <c r="Q18" s="3">
        <f>$B18*INDEX(Curves!$C$2:$BV$2,Q$2-13+1)</f>
        <v/>
      </c>
      <c r="R18" s="3">
        <f>$B18*INDEX(Curves!$C$2:$BV$2,R$2-13+1)</f>
        <v/>
      </c>
      <c r="S18" s="3">
        <f>$B18*INDEX(Curves!$C$2:$BV$2,S$2-13+1)</f>
        <v/>
      </c>
      <c r="T18" s="3">
        <f>$B18*INDEX(Curves!$C$2:$BV$2,T$2-13+1)</f>
        <v/>
      </c>
      <c r="U18" s="3">
        <f>$B18*INDEX(Curves!$C$2:$BV$2,U$2-13+1)</f>
        <v/>
      </c>
      <c r="V18" s="3">
        <f>$B18*INDEX(Curves!$C$2:$BV$2,V$2-13+1)</f>
        <v/>
      </c>
      <c r="W18" s="3">
        <f>$B18*INDEX(Curves!$C$2:$BV$2,W$2-13+1)</f>
        <v/>
      </c>
      <c r="X18" s="3">
        <f>$B18*INDEX(Curves!$C$2:$BV$2,X$2-13+1)</f>
        <v/>
      </c>
      <c r="Y18" s="3">
        <f>$B18*INDEX(Curves!$C$2:$BV$2,Y$2-13+1)</f>
        <v/>
      </c>
      <c r="Z18" s="3">
        <f>$B18*INDEX(Curves!$C$2:$BV$2,Z$2-13+1)</f>
        <v/>
      </c>
      <c r="AA18" s="3">
        <f>$B18*INDEX(Curves!$C$2:$BV$2,AA$2-13+1)</f>
        <v/>
      </c>
      <c r="AB18" s="3">
        <f>$B18*INDEX(Curves!$C$2:$BV$2,AB$2-13+1)</f>
        <v/>
      </c>
      <c r="AC18" s="3">
        <f>$B18*INDEX(Curves!$C$2:$BV$2,AC$2-13+1)</f>
        <v/>
      </c>
      <c r="AD18" s="3">
        <f>$B18*INDEX(Curves!$C$2:$BV$2,AD$2-13+1)</f>
        <v/>
      </c>
      <c r="AE18" s="3">
        <f>$B18*INDEX(Curves!$C$2:$BV$2,AE$2-13+1)</f>
        <v/>
      </c>
      <c r="AF18" s="3">
        <f>$B18*INDEX(Curves!$C$2:$BV$2,AF$2-13+1)</f>
        <v/>
      </c>
      <c r="AG18" s="3">
        <f>$B18*INDEX(Curves!$C$2:$BV$2,AG$2-13+1)</f>
        <v/>
      </c>
      <c r="AH18" s="3">
        <f>$B18*INDEX(Curves!$C$2:$BV$2,AH$2-13+1)</f>
        <v/>
      </c>
      <c r="AI18" s="3">
        <f>$B18*INDEX(Curves!$C$2:$BV$2,AI$2-13+1)</f>
        <v/>
      </c>
      <c r="AJ18" s="3">
        <f>$B18*INDEX(Curves!$C$2:$BV$2,AJ$2-13+1)</f>
        <v/>
      </c>
      <c r="AK18" s="3">
        <f>$B18*INDEX(Curves!$C$2:$BV$2,AK$2-13+1)</f>
        <v/>
      </c>
      <c r="AL18" s="3">
        <f>$B18*INDEX(Curves!$C$2:$BV$2,AL$2-13+1)</f>
        <v/>
      </c>
      <c r="AM18" s="3">
        <f>$B18*INDEX(Curves!$C$2:$BV$2,AM$2-13+1)</f>
        <v/>
      </c>
      <c r="AN18" s="3">
        <f>$B18*INDEX(Curves!$C$2:$BV$2,AN$2-13+1)</f>
        <v/>
      </c>
      <c r="AO18" s="3">
        <f>$B18*INDEX(Curves!$C$2:$BV$2,AO$2-13+1)</f>
        <v/>
      </c>
      <c r="AP18" s="3">
        <f>$B18*INDEX(Curves!$C$2:$BV$2,AP$2-13+1)</f>
        <v/>
      </c>
      <c r="AQ18" s="3">
        <f>$B18*INDEX(Curves!$C$2:$BV$2,AQ$2-13+1)</f>
        <v/>
      </c>
      <c r="AR18" s="3">
        <f>$B18*INDEX(Curves!$C$2:$BV$2,AR$2-13+1)</f>
        <v/>
      </c>
      <c r="AS18" s="3">
        <f>$B18*INDEX(Curves!$C$2:$BV$2,AS$2-13+1)</f>
        <v/>
      </c>
      <c r="AT18" s="3">
        <f>$B18*INDEX(Curves!$C$2:$BV$2,AT$2-13+1)</f>
        <v/>
      </c>
      <c r="AU18" s="3">
        <f>$B18*INDEX(Curves!$C$2:$BV$2,AU$2-13+1)</f>
        <v/>
      </c>
      <c r="AV18" s="3">
        <f>$B18*INDEX(Curves!$C$2:$BV$2,AV$2-13+1)</f>
        <v/>
      </c>
      <c r="AW18" s="3">
        <f>$B18*INDEX(Curves!$C$2:$BV$2,AW$2-13+1)</f>
        <v/>
      </c>
      <c r="AX18" s="3">
        <f>$B18*INDEX(Curves!$C$2:$BV$2,AX$2-13+1)</f>
        <v/>
      </c>
      <c r="AY18" s="3">
        <f>$B18*INDEX(Curves!$C$2:$BV$2,AY$2-13+1)</f>
        <v/>
      </c>
      <c r="AZ18" s="3">
        <f>$B18*INDEX(Curves!$C$2:$BV$2,AZ$2-13+1)</f>
        <v/>
      </c>
      <c r="BA18" s="3">
        <f>$B18*INDEX(Curves!$C$2:$BV$2,BA$2-13+1)</f>
        <v/>
      </c>
      <c r="BB18" s="3">
        <f>$B18*INDEX(Curves!$C$2:$BV$2,BB$2-13+1)</f>
        <v/>
      </c>
      <c r="BC18" s="3">
        <f>$B18*INDEX(Curves!$C$2:$BV$2,BC$2-13+1)</f>
        <v/>
      </c>
      <c r="BD18" s="3">
        <f>$B18*INDEX(Curves!$C$2:$BV$2,BD$2-13+1)</f>
        <v/>
      </c>
      <c r="BE18" s="3">
        <f>$B18*INDEX(Curves!$C$2:$BV$2,BE$2-13+1)</f>
        <v/>
      </c>
      <c r="BF18" s="3">
        <f>$B18*INDEX(Curves!$C$2:$BV$2,BF$2-13+1)</f>
        <v/>
      </c>
      <c r="BG18" s="3">
        <f>$B18*INDEX(Curves!$C$2:$BV$2,BG$2-13+1)</f>
        <v/>
      </c>
      <c r="BH18" s="3">
        <f>$B18*INDEX(Curves!$C$2:$BV$2,BH$2-13+1)</f>
        <v/>
      </c>
      <c r="BI18" s="3">
        <f>$B18*INDEX(Curves!$C$2:$BV$2,BI$2-13+1)</f>
        <v/>
      </c>
      <c r="BJ18" s="3">
        <f>$B18*INDEX(Curves!$C$2:$BV$2,BJ$2-13+1)</f>
        <v/>
      </c>
      <c r="BK18" s="3">
        <f>$B18*INDEX(Curves!$C$2:$BV$2,BK$2-13+1)</f>
        <v/>
      </c>
      <c r="BL18" s="3">
        <f>$B18*INDEX(Curves!$C$2:$BV$2,BL$2-13+1)</f>
        <v/>
      </c>
      <c r="BM18" s="3">
        <f>$B18*INDEX(Curves!$C$2:$BV$2,BM$2-13+1)</f>
        <v/>
      </c>
      <c r="BN18" s="3">
        <f>$B18*INDEX(Curves!$C$2:$BV$2,BN$2-13+1)</f>
        <v/>
      </c>
      <c r="BO18" s="3">
        <f>$B18*INDEX(Curves!$C$2:$BV$2,BO$2-13+1)</f>
        <v/>
      </c>
      <c r="BP18" s="3">
        <f>$B18*INDEX(Curves!$C$2:$BV$2,BP$2-13+1)</f>
        <v/>
      </c>
      <c r="BQ18" s="3">
        <f>$B18*INDEX(Curves!$C$2:$BV$2,BQ$2-13+1)</f>
        <v/>
      </c>
      <c r="BR18" s="3">
        <f>$B18*INDEX(Curves!$C$2:$BV$2,BR$2-13+1)</f>
        <v/>
      </c>
      <c r="BS18" s="3">
        <f>$B18*INDEX(Curves!$C$2:$BV$2,BS$2-13+1)</f>
        <v/>
      </c>
      <c r="BT18" s="3">
        <f>$B18*INDEX(Curves!$C$2:$BV$2,BT$2-13+1)</f>
        <v/>
      </c>
      <c r="BU18" s="3">
        <f>$B18*INDEX(Curves!$C$2:$BV$2,BU$2-13+1)</f>
        <v/>
      </c>
      <c r="BV18" s="3">
        <f>$B18*INDEX(Curves!$C$2:$BV$2,BV$2-13+1)</f>
        <v/>
      </c>
    </row>
    <row r="19">
      <c r="A19" t="inlineStr">
        <is>
          <t>cohort 2026-03</t>
        </is>
      </c>
      <c r="B19" s="3">
        <f>INDEX(Adds!$C$12:$BV$12,15)</f>
        <v/>
      </c>
      <c r="Q19" s="3">
        <f>$B19*INDEX(Curves!$C$2:$BV$2,Q$2-14+1)</f>
        <v/>
      </c>
      <c r="R19" s="3">
        <f>$B19*INDEX(Curves!$C$2:$BV$2,R$2-14+1)</f>
        <v/>
      </c>
      <c r="S19" s="3">
        <f>$B19*INDEX(Curves!$C$2:$BV$2,S$2-14+1)</f>
        <v/>
      </c>
      <c r="T19" s="3">
        <f>$B19*INDEX(Curves!$C$2:$BV$2,T$2-14+1)</f>
        <v/>
      </c>
      <c r="U19" s="3">
        <f>$B19*INDEX(Curves!$C$2:$BV$2,U$2-14+1)</f>
        <v/>
      </c>
      <c r="V19" s="3">
        <f>$B19*INDEX(Curves!$C$2:$BV$2,V$2-14+1)</f>
        <v/>
      </c>
      <c r="W19" s="3">
        <f>$B19*INDEX(Curves!$C$2:$BV$2,W$2-14+1)</f>
        <v/>
      </c>
      <c r="X19" s="3">
        <f>$B19*INDEX(Curves!$C$2:$BV$2,X$2-14+1)</f>
        <v/>
      </c>
      <c r="Y19" s="3">
        <f>$B19*INDEX(Curves!$C$2:$BV$2,Y$2-14+1)</f>
        <v/>
      </c>
      <c r="Z19" s="3">
        <f>$B19*INDEX(Curves!$C$2:$BV$2,Z$2-14+1)</f>
        <v/>
      </c>
      <c r="AA19" s="3">
        <f>$B19*INDEX(Curves!$C$2:$BV$2,AA$2-14+1)</f>
        <v/>
      </c>
      <c r="AB19" s="3">
        <f>$B19*INDEX(Curves!$C$2:$BV$2,AB$2-14+1)</f>
        <v/>
      </c>
      <c r="AC19" s="3">
        <f>$B19*INDEX(Curves!$C$2:$BV$2,AC$2-14+1)</f>
        <v/>
      </c>
      <c r="AD19" s="3">
        <f>$B19*INDEX(Curves!$C$2:$BV$2,AD$2-14+1)</f>
        <v/>
      </c>
      <c r="AE19" s="3">
        <f>$B19*INDEX(Curves!$C$2:$BV$2,AE$2-14+1)</f>
        <v/>
      </c>
      <c r="AF19" s="3">
        <f>$B19*INDEX(Curves!$C$2:$BV$2,AF$2-14+1)</f>
        <v/>
      </c>
      <c r="AG19" s="3">
        <f>$B19*INDEX(Curves!$C$2:$BV$2,AG$2-14+1)</f>
        <v/>
      </c>
      <c r="AH19" s="3">
        <f>$B19*INDEX(Curves!$C$2:$BV$2,AH$2-14+1)</f>
        <v/>
      </c>
      <c r="AI19" s="3">
        <f>$B19*INDEX(Curves!$C$2:$BV$2,AI$2-14+1)</f>
        <v/>
      </c>
      <c r="AJ19" s="3">
        <f>$B19*INDEX(Curves!$C$2:$BV$2,AJ$2-14+1)</f>
        <v/>
      </c>
      <c r="AK19" s="3">
        <f>$B19*INDEX(Curves!$C$2:$BV$2,AK$2-14+1)</f>
        <v/>
      </c>
      <c r="AL19" s="3">
        <f>$B19*INDEX(Curves!$C$2:$BV$2,AL$2-14+1)</f>
        <v/>
      </c>
      <c r="AM19" s="3">
        <f>$B19*INDEX(Curves!$C$2:$BV$2,AM$2-14+1)</f>
        <v/>
      </c>
      <c r="AN19" s="3">
        <f>$B19*INDEX(Curves!$C$2:$BV$2,AN$2-14+1)</f>
        <v/>
      </c>
      <c r="AO19" s="3">
        <f>$B19*INDEX(Curves!$C$2:$BV$2,AO$2-14+1)</f>
        <v/>
      </c>
      <c r="AP19" s="3">
        <f>$B19*INDEX(Curves!$C$2:$BV$2,AP$2-14+1)</f>
        <v/>
      </c>
      <c r="AQ19" s="3">
        <f>$B19*INDEX(Curves!$C$2:$BV$2,AQ$2-14+1)</f>
        <v/>
      </c>
      <c r="AR19" s="3">
        <f>$B19*INDEX(Curves!$C$2:$BV$2,AR$2-14+1)</f>
        <v/>
      </c>
      <c r="AS19" s="3">
        <f>$B19*INDEX(Curves!$C$2:$BV$2,AS$2-14+1)</f>
        <v/>
      </c>
      <c r="AT19" s="3">
        <f>$B19*INDEX(Curves!$C$2:$BV$2,AT$2-14+1)</f>
        <v/>
      </c>
      <c r="AU19" s="3">
        <f>$B19*INDEX(Curves!$C$2:$BV$2,AU$2-14+1)</f>
        <v/>
      </c>
      <c r="AV19" s="3">
        <f>$B19*INDEX(Curves!$C$2:$BV$2,AV$2-14+1)</f>
        <v/>
      </c>
      <c r="AW19" s="3">
        <f>$B19*INDEX(Curves!$C$2:$BV$2,AW$2-14+1)</f>
        <v/>
      </c>
      <c r="AX19" s="3">
        <f>$B19*INDEX(Curves!$C$2:$BV$2,AX$2-14+1)</f>
        <v/>
      </c>
      <c r="AY19" s="3">
        <f>$B19*INDEX(Curves!$C$2:$BV$2,AY$2-14+1)</f>
        <v/>
      </c>
      <c r="AZ19" s="3">
        <f>$B19*INDEX(Curves!$C$2:$BV$2,AZ$2-14+1)</f>
        <v/>
      </c>
      <c r="BA19" s="3">
        <f>$B19*INDEX(Curves!$C$2:$BV$2,BA$2-14+1)</f>
        <v/>
      </c>
      <c r="BB19" s="3">
        <f>$B19*INDEX(Curves!$C$2:$BV$2,BB$2-14+1)</f>
        <v/>
      </c>
      <c r="BC19" s="3">
        <f>$B19*INDEX(Curves!$C$2:$BV$2,BC$2-14+1)</f>
        <v/>
      </c>
      <c r="BD19" s="3">
        <f>$B19*INDEX(Curves!$C$2:$BV$2,BD$2-14+1)</f>
        <v/>
      </c>
      <c r="BE19" s="3">
        <f>$B19*INDEX(Curves!$C$2:$BV$2,BE$2-14+1)</f>
        <v/>
      </c>
      <c r="BF19" s="3">
        <f>$B19*INDEX(Curves!$C$2:$BV$2,BF$2-14+1)</f>
        <v/>
      </c>
      <c r="BG19" s="3">
        <f>$B19*INDEX(Curves!$C$2:$BV$2,BG$2-14+1)</f>
        <v/>
      </c>
      <c r="BH19" s="3">
        <f>$B19*INDEX(Curves!$C$2:$BV$2,BH$2-14+1)</f>
        <v/>
      </c>
      <c r="BI19" s="3">
        <f>$B19*INDEX(Curves!$C$2:$BV$2,BI$2-14+1)</f>
        <v/>
      </c>
      <c r="BJ19" s="3">
        <f>$B19*INDEX(Curves!$C$2:$BV$2,BJ$2-14+1)</f>
        <v/>
      </c>
      <c r="BK19" s="3">
        <f>$B19*INDEX(Curves!$C$2:$BV$2,BK$2-14+1)</f>
        <v/>
      </c>
      <c r="BL19" s="3">
        <f>$B19*INDEX(Curves!$C$2:$BV$2,BL$2-14+1)</f>
        <v/>
      </c>
      <c r="BM19" s="3">
        <f>$B19*INDEX(Curves!$C$2:$BV$2,BM$2-14+1)</f>
        <v/>
      </c>
      <c r="BN19" s="3">
        <f>$B19*INDEX(Curves!$C$2:$BV$2,BN$2-14+1)</f>
        <v/>
      </c>
      <c r="BO19" s="3">
        <f>$B19*INDEX(Curves!$C$2:$BV$2,BO$2-14+1)</f>
        <v/>
      </c>
      <c r="BP19" s="3">
        <f>$B19*INDEX(Curves!$C$2:$BV$2,BP$2-14+1)</f>
        <v/>
      </c>
      <c r="BQ19" s="3">
        <f>$B19*INDEX(Curves!$C$2:$BV$2,BQ$2-14+1)</f>
        <v/>
      </c>
      <c r="BR19" s="3">
        <f>$B19*INDEX(Curves!$C$2:$BV$2,BR$2-14+1)</f>
        <v/>
      </c>
      <c r="BS19" s="3">
        <f>$B19*INDEX(Curves!$C$2:$BV$2,BS$2-14+1)</f>
        <v/>
      </c>
      <c r="BT19" s="3">
        <f>$B19*INDEX(Curves!$C$2:$BV$2,BT$2-14+1)</f>
        <v/>
      </c>
      <c r="BU19" s="3">
        <f>$B19*INDEX(Curves!$C$2:$BV$2,BU$2-14+1)</f>
        <v/>
      </c>
      <c r="BV19" s="3">
        <f>$B19*INDEX(Curves!$C$2:$BV$2,BV$2-14+1)</f>
        <v/>
      </c>
    </row>
    <row r="20">
      <c r="A20" t="inlineStr">
        <is>
          <t>cohort 2026-04</t>
        </is>
      </c>
      <c r="B20" s="3">
        <f>INDEX(Adds!$C$12:$BV$12,16)</f>
        <v/>
      </c>
      <c r="R20" s="3">
        <f>$B20*INDEX(Curves!$C$2:$BV$2,R$2-15+1)</f>
        <v/>
      </c>
      <c r="S20" s="3">
        <f>$B20*INDEX(Curves!$C$2:$BV$2,S$2-15+1)</f>
        <v/>
      </c>
      <c r="T20" s="3">
        <f>$B20*INDEX(Curves!$C$2:$BV$2,T$2-15+1)</f>
        <v/>
      </c>
      <c r="U20" s="3">
        <f>$B20*INDEX(Curves!$C$2:$BV$2,U$2-15+1)</f>
        <v/>
      </c>
      <c r="V20" s="3">
        <f>$B20*INDEX(Curves!$C$2:$BV$2,V$2-15+1)</f>
        <v/>
      </c>
      <c r="W20" s="3">
        <f>$B20*INDEX(Curves!$C$2:$BV$2,W$2-15+1)</f>
        <v/>
      </c>
      <c r="X20" s="3">
        <f>$B20*INDEX(Curves!$C$2:$BV$2,X$2-15+1)</f>
        <v/>
      </c>
      <c r="Y20" s="3">
        <f>$B20*INDEX(Curves!$C$2:$BV$2,Y$2-15+1)</f>
        <v/>
      </c>
      <c r="Z20" s="3">
        <f>$B20*INDEX(Curves!$C$2:$BV$2,Z$2-15+1)</f>
        <v/>
      </c>
      <c r="AA20" s="3">
        <f>$B20*INDEX(Curves!$C$2:$BV$2,AA$2-15+1)</f>
        <v/>
      </c>
      <c r="AB20" s="3">
        <f>$B20*INDEX(Curves!$C$2:$BV$2,AB$2-15+1)</f>
        <v/>
      </c>
      <c r="AC20" s="3">
        <f>$B20*INDEX(Curves!$C$2:$BV$2,AC$2-15+1)</f>
        <v/>
      </c>
      <c r="AD20" s="3">
        <f>$B20*INDEX(Curves!$C$2:$BV$2,AD$2-15+1)</f>
        <v/>
      </c>
      <c r="AE20" s="3">
        <f>$B20*INDEX(Curves!$C$2:$BV$2,AE$2-15+1)</f>
        <v/>
      </c>
      <c r="AF20" s="3">
        <f>$B20*INDEX(Curves!$C$2:$BV$2,AF$2-15+1)</f>
        <v/>
      </c>
      <c r="AG20" s="3">
        <f>$B20*INDEX(Curves!$C$2:$BV$2,AG$2-15+1)</f>
        <v/>
      </c>
      <c r="AH20" s="3">
        <f>$B20*INDEX(Curves!$C$2:$BV$2,AH$2-15+1)</f>
        <v/>
      </c>
      <c r="AI20" s="3">
        <f>$B20*INDEX(Curves!$C$2:$BV$2,AI$2-15+1)</f>
        <v/>
      </c>
      <c r="AJ20" s="3">
        <f>$B20*INDEX(Curves!$C$2:$BV$2,AJ$2-15+1)</f>
        <v/>
      </c>
      <c r="AK20" s="3">
        <f>$B20*INDEX(Curves!$C$2:$BV$2,AK$2-15+1)</f>
        <v/>
      </c>
      <c r="AL20" s="3">
        <f>$B20*INDEX(Curves!$C$2:$BV$2,AL$2-15+1)</f>
        <v/>
      </c>
      <c r="AM20" s="3">
        <f>$B20*INDEX(Curves!$C$2:$BV$2,AM$2-15+1)</f>
        <v/>
      </c>
      <c r="AN20" s="3">
        <f>$B20*INDEX(Curves!$C$2:$BV$2,AN$2-15+1)</f>
        <v/>
      </c>
      <c r="AO20" s="3">
        <f>$B20*INDEX(Curves!$C$2:$BV$2,AO$2-15+1)</f>
        <v/>
      </c>
      <c r="AP20" s="3">
        <f>$B20*INDEX(Curves!$C$2:$BV$2,AP$2-15+1)</f>
        <v/>
      </c>
      <c r="AQ20" s="3">
        <f>$B20*INDEX(Curves!$C$2:$BV$2,AQ$2-15+1)</f>
        <v/>
      </c>
      <c r="AR20" s="3">
        <f>$B20*INDEX(Curves!$C$2:$BV$2,AR$2-15+1)</f>
        <v/>
      </c>
      <c r="AS20" s="3">
        <f>$B20*INDEX(Curves!$C$2:$BV$2,AS$2-15+1)</f>
        <v/>
      </c>
      <c r="AT20" s="3">
        <f>$B20*INDEX(Curves!$C$2:$BV$2,AT$2-15+1)</f>
        <v/>
      </c>
      <c r="AU20" s="3">
        <f>$B20*INDEX(Curves!$C$2:$BV$2,AU$2-15+1)</f>
        <v/>
      </c>
      <c r="AV20" s="3">
        <f>$B20*INDEX(Curves!$C$2:$BV$2,AV$2-15+1)</f>
        <v/>
      </c>
      <c r="AW20" s="3">
        <f>$B20*INDEX(Curves!$C$2:$BV$2,AW$2-15+1)</f>
        <v/>
      </c>
      <c r="AX20" s="3">
        <f>$B20*INDEX(Curves!$C$2:$BV$2,AX$2-15+1)</f>
        <v/>
      </c>
      <c r="AY20" s="3">
        <f>$B20*INDEX(Curves!$C$2:$BV$2,AY$2-15+1)</f>
        <v/>
      </c>
      <c r="AZ20" s="3">
        <f>$B20*INDEX(Curves!$C$2:$BV$2,AZ$2-15+1)</f>
        <v/>
      </c>
      <c r="BA20" s="3">
        <f>$B20*INDEX(Curves!$C$2:$BV$2,BA$2-15+1)</f>
        <v/>
      </c>
      <c r="BB20" s="3">
        <f>$B20*INDEX(Curves!$C$2:$BV$2,BB$2-15+1)</f>
        <v/>
      </c>
      <c r="BC20" s="3">
        <f>$B20*INDEX(Curves!$C$2:$BV$2,BC$2-15+1)</f>
        <v/>
      </c>
      <c r="BD20" s="3">
        <f>$B20*INDEX(Curves!$C$2:$BV$2,BD$2-15+1)</f>
        <v/>
      </c>
      <c r="BE20" s="3">
        <f>$B20*INDEX(Curves!$C$2:$BV$2,BE$2-15+1)</f>
        <v/>
      </c>
      <c r="BF20" s="3">
        <f>$B20*INDEX(Curves!$C$2:$BV$2,BF$2-15+1)</f>
        <v/>
      </c>
      <c r="BG20" s="3">
        <f>$B20*INDEX(Curves!$C$2:$BV$2,BG$2-15+1)</f>
        <v/>
      </c>
      <c r="BH20" s="3">
        <f>$B20*INDEX(Curves!$C$2:$BV$2,BH$2-15+1)</f>
        <v/>
      </c>
      <c r="BI20" s="3">
        <f>$B20*INDEX(Curves!$C$2:$BV$2,BI$2-15+1)</f>
        <v/>
      </c>
      <c r="BJ20" s="3">
        <f>$B20*INDEX(Curves!$C$2:$BV$2,BJ$2-15+1)</f>
        <v/>
      </c>
      <c r="BK20" s="3">
        <f>$B20*INDEX(Curves!$C$2:$BV$2,BK$2-15+1)</f>
        <v/>
      </c>
      <c r="BL20" s="3">
        <f>$B20*INDEX(Curves!$C$2:$BV$2,BL$2-15+1)</f>
        <v/>
      </c>
      <c r="BM20" s="3">
        <f>$B20*INDEX(Curves!$C$2:$BV$2,BM$2-15+1)</f>
        <v/>
      </c>
      <c r="BN20" s="3">
        <f>$B20*INDEX(Curves!$C$2:$BV$2,BN$2-15+1)</f>
        <v/>
      </c>
      <c r="BO20" s="3">
        <f>$B20*INDEX(Curves!$C$2:$BV$2,BO$2-15+1)</f>
        <v/>
      </c>
      <c r="BP20" s="3">
        <f>$B20*INDEX(Curves!$C$2:$BV$2,BP$2-15+1)</f>
        <v/>
      </c>
      <c r="BQ20" s="3">
        <f>$B20*INDEX(Curves!$C$2:$BV$2,BQ$2-15+1)</f>
        <v/>
      </c>
      <c r="BR20" s="3">
        <f>$B20*INDEX(Curves!$C$2:$BV$2,BR$2-15+1)</f>
        <v/>
      </c>
      <c r="BS20" s="3">
        <f>$B20*INDEX(Curves!$C$2:$BV$2,BS$2-15+1)</f>
        <v/>
      </c>
      <c r="BT20" s="3">
        <f>$B20*INDEX(Curves!$C$2:$BV$2,BT$2-15+1)</f>
        <v/>
      </c>
      <c r="BU20" s="3">
        <f>$B20*INDEX(Curves!$C$2:$BV$2,BU$2-15+1)</f>
        <v/>
      </c>
      <c r="BV20" s="3">
        <f>$B20*INDEX(Curves!$C$2:$BV$2,BV$2-15+1)</f>
        <v/>
      </c>
    </row>
    <row r="21">
      <c r="A21" t="inlineStr">
        <is>
          <t>cohort 2026-05</t>
        </is>
      </c>
      <c r="B21" s="3">
        <f>INDEX(Adds!$C$12:$BV$12,17)</f>
        <v/>
      </c>
      <c r="S21" s="3">
        <f>$B21*INDEX(Curves!$C$2:$BV$2,S$2-16+1)</f>
        <v/>
      </c>
      <c r="T21" s="3">
        <f>$B21*INDEX(Curves!$C$2:$BV$2,T$2-16+1)</f>
        <v/>
      </c>
      <c r="U21" s="3">
        <f>$B21*INDEX(Curves!$C$2:$BV$2,U$2-16+1)</f>
        <v/>
      </c>
      <c r="V21" s="3">
        <f>$B21*INDEX(Curves!$C$2:$BV$2,V$2-16+1)</f>
        <v/>
      </c>
      <c r="W21" s="3">
        <f>$B21*INDEX(Curves!$C$2:$BV$2,W$2-16+1)</f>
        <v/>
      </c>
      <c r="X21" s="3">
        <f>$B21*INDEX(Curves!$C$2:$BV$2,X$2-16+1)</f>
        <v/>
      </c>
      <c r="Y21" s="3">
        <f>$B21*INDEX(Curves!$C$2:$BV$2,Y$2-16+1)</f>
        <v/>
      </c>
      <c r="Z21" s="3">
        <f>$B21*INDEX(Curves!$C$2:$BV$2,Z$2-16+1)</f>
        <v/>
      </c>
      <c r="AA21" s="3">
        <f>$B21*INDEX(Curves!$C$2:$BV$2,AA$2-16+1)</f>
        <v/>
      </c>
      <c r="AB21" s="3">
        <f>$B21*INDEX(Curves!$C$2:$BV$2,AB$2-16+1)</f>
        <v/>
      </c>
      <c r="AC21" s="3">
        <f>$B21*INDEX(Curves!$C$2:$BV$2,AC$2-16+1)</f>
        <v/>
      </c>
      <c r="AD21" s="3">
        <f>$B21*INDEX(Curves!$C$2:$BV$2,AD$2-16+1)</f>
        <v/>
      </c>
      <c r="AE21" s="3">
        <f>$B21*INDEX(Curves!$C$2:$BV$2,AE$2-16+1)</f>
        <v/>
      </c>
      <c r="AF21" s="3">
        <f>$B21*INDEX(Curves!$C$2:$BV$2,AF$2-16+1)</f>
        <v/>
      </c>
      <c r="AG21" s="3">
        <f>$B21*INDEX(Curves!$C$2:$BV$2,AG$2-16+1)</f>
        <v/>
      </c>
      <c r="AH21" s="3">
        <f>$B21*INDEX(Curves!$C$2:$BV$2,AH$2-16+1)</f>
        <v/>
      </c>
      <c r="AI21" s="3">
        <f>$B21*INDEX(Curves!$C$2:$BV$2,AI$2-16+1)</f>
        <v/>
      </c>
      <c r="AJ21" s="3">
        <f>$B21*INDEX(Curves!$C$2:$BV$2,AJ$2-16+1)</f>
        <v/>
      </c>
      <c r="AK21" s="3">
        <f>$B21*INDEX(Curves!$C$2:$BV$2,AK$2-16+1)</f>
        <v/>
      </c>
      <c r="AL21" s="3">
        <f>$B21*INDEX(Curves!$C$2:$BV$2,AL$2-16+1)</f>
        <v/>
      </c>
      <c r="AM21" s="3">
        <f>$B21*INDEX(Curves!$C$2:$BV$2,AM$2-16+1)</f>
        <v/>
      </c>
      <c r="AN21" s="3">
        <f>$B21*INDEX(Curves!$C$2:$BV$2,AN$2-16+1)</f>
        <v/>
      </c>
      <c r="AO21" s="3">
        <f>$B21*INDEX(Curves!$C$2:$BV$2,AO$2-16+1)</f>
        <v/>
      </c>
      <c r="AP21" s="3">
        <f>$B21*INDEX(Curves!$C$2:$BV$2,AP$2-16+1)</f>
        <v/>
      </c>
      <c r="AQ21" s="3">
        <f>$B21*INDEX(Curves!$C$2:$BV$2,AQ$2-16+1)</f>
        <v/>
      </c>
      <c r="AR21" s="3">
        <f>$B21*INDEX(Curves!$C$2:$BV$2,AR$2-16+1)</f>
        <v/>
      </c>
      <c r="AS21" s="3">
        <f>$B21*INDEX(Curves!$C$2:$BV$2,AS$2-16+1)</f>
        <v/>
      </c>
      <c r="AT21" s="3">
        <f>$B21*INDEX(Curves!$C$2:$BV$2,AT$2-16+1)</f>
        <v/>
      </c>
      <c r="AU21" s="3">
        <f>$B21*INDEX(Curves!$C$2:$BV$2,AU$2-16+1)</f>
        <v/>
      </c>
      <c r="AV21" s="3">
        <f>$B21*INDEX(Curves!$C$2:$BV$2,AV$2-16+1)</f>
        <v/>
      </c>
      <c r="AW21" s="3">
        <f>$B21*INDEX(Curves!$C$2:$BV$2,AW$2-16+1)</f>
        <v/>
      </c>
      <c r="AX21" s="3">
        <f>$B21*INDEX(Curves!$C$2:$BV$2,AX$2-16+1)</f>
        <v/>
      </c>
      <c r="AY21" s="3">
        <f>$B21*INDEX(Curves!$C$2:$BV$2,AY$2-16+1)</f>
        <v/>
      </c>
      <c r="AZ21" s="3">
        <f>$B21*INDEX(Curves!$C$2:$BV$2,AZ$2-16+1)</f>
        <v/>
      </c>
      <c r="BA21" s="3">
        <f>$B21*INDEX(Curves!$C$2:$BV$2,BA$2-16+1)</f>
        <v/>
      </c>
      <c r="BB21" s="3">
        <f>$B21*INDEX(Curves!$C$2:$BV$2,BB$2-16+1)</f>
        <v/>
      </c>
      <c r="BC21" s="3">
        <f>$B21*INDEX(Curves!$C$2:$BV$2,BC$2-16+1)</f>
        <v/>
      </c>
      <c r="BD21" s="3">
        <f>$B21*INDEX(Curves!$C$2:$BV$2,BD$2-16+1)</f>
        <v/>
      </c>
      <c r="BE21" s="3">
        <f>$B21*INDEX(Curves!$C$2:$BV$2,BE$2-16+1)</f>
        <v/>
      </c>
      <c r="BF21" s="3">
        <f>$B21*INDEX(Curves!$C$2:$BV$2,BF$2-16+1)</f>
        <v/>
      </c>
      <c r="BG21" s="3">
        <f>$B21*INDEX(Curves!$C$2:$BV$2,BG$2-16+1)</f>
        <v/>
      </c>
      <c r="BH21" s="3">
        <f>$B21*INDEX(Curves!$C$2:$BV$2,BH$2-16+1)</f>
        <v/>
      </c>
      <c r="BI21" s="3">
        <f>$B21*INDEX(Curves!$C$2:$BV$2,BI$2-16+1)</f>
        <v/>
      </c>
      <c r="BJ21" s="3">
        <f>$B21*INDEX(Curves!$C$2:$BV$2,BJ$2-16+1)</f>
        <v/>
      </c>
      <c r="BK21" s="3">
        <f>$B21*INDEX(Curves!$C$2:$BV$2,BK$2-16+1)</f>
        <v/>
      </c>
      <c r="BL21" s="3">
        <f>$B21*INDEX(Curves!$C$2:$BV$2,BL$2-16+1)</f>
        <v/>
      </c>
      <c r="BM21" s="3">
        <f>$B21*INDEX(Curves!$C$2:$BV$2,BM$2-16+1)</f>
        <v/>
      </c>
      <c r="BN21" s="3">
        <f>$B21*INDEX(Curves!$C$2:$BV$2,BN$2-16+1)</f>
        <v/>
      </c>
      <c r="BO21" s="3">
        <f>$B21*INDEX(Curves!$C$2:$BV$2,BO$2-16+1)</f>
        <v/>
      </c>
      <c r="BP21" s="3">
        <f>$B21*INDEX(Curves!$C$2:$BV$2,BP$2-16+1)</f>
        <v/>
      </c>
      <c r="BQ21" s="3">
        <f>$B21*INDEX(Curves!$C$2:$BV$2,BQ$2-16+1)</f>
        <v/>
      </c>
      <c r="BR21" s="3">
        <f>$B21*INDEX(Curves!$C$2:$BV$2,BR$2-16+1)</f>
        <v/>
      </c>
      <c r="BS21" s="3">
        <f>$B21*INDEX(Curves!$C$2:$BV$2,BS$2-16+1)</f>
        <v/>
      </c>
      <c r="BT21" s="3">
        <f>$B21*INDEX(Curves!$C$2:$BV$2,BT$2-16+1)</f>
        <v/>
      </c>
      <c r="BU21" s="3">
        <f>$B21*INDEX(Curves!$C$2:$BV$2,BU$2-16+1)</f>
        <v/>
      </c>
      <c r="BV21" s="3">
        <f>$B21*INDEX(Curves!$C$2:$BV$2,BV$2-16+1)</f>
        <v/>
      </c>
    </row>
    <row r="22">
      <c r="A22" t="inlineStr">
        <is>
          <t>cohort 2026-06</t>
        </is>
      </c>
      <c r="B22" s="3">
        <f>INDEX(Adds!$C$12:$BV$12,18)</f>
        <v/>
      </c>
      <c r="T22" s="3">
        <f>$B22*INDEX(Curves!$C$2:$BV$2,T$2-17+1)</f>
        <v/>
      </c>
      <c r="U22" s="3">
        <f>$B22*INDEX(Curves!$C$2:$BV$2,U$2-17+1)</f>
        <v/>
      </c>
      <c r="V22" s="3">
        <f>$B22*INDEX(Curves!$C$2:$BV$2,V$2-17+1)</f>
        <v/>
      </c>
      <c r="W22" s="3">
        <f>$B22*INDEX(Curves!$C$2:$BV$2,W$2-17+1)</f>
        <v/>
      </c>
      <c r="X22" s="3">
        <f>$B22*INDEX(Curves!$C$2:$BV$2,X$2-17+1)</f>
        <v/>
      </c>
      <c r="Y22" s="3">
        <f>$B22*INDEX(Curves!$C$2:$BV$2,Y$2-17+1)</f>
        <v/>
      </c>
      <c r="Z22" s="3">
        <f>$B22*INDEX(Curves!$C$2:$BV$2,Z$2-17+1)</f>
        <v/>
      </c>
      <c r="AA22" s="3">
        <f>$B22*INDEX(Curves!$C$2:$BV$2,AA$2-17+1)</f>
        <v/>
      </c>
      <c r="AB22" s="3">
        <f>$B22*INDEX(Curves!$C$2:$BV$2,AB$2-17+1)</f>
        <v/>
      </c>
      <c r="AC22" s="3">
        <f>$B22*INDEX(Curves!$C$2:$BV$2,AC$2-17+1)</f>
        <v/>
      </c>
      <c r="AD22" s="3">
        <f>$B22*INDEX(Curves!$C$2:$BV$2,AD$2-17+1)</f>
        <v/>
      </c>
      <c r="AE22" s="3">
        <f>$B22*INDEX(Curves!$C$2:$BV$2,AE$2-17+1)</f>
        <v/>
      </c>
      <c r="AF22" s="3">
        <f>$B22*INDEX(Curves!$C$2:$BV$2,AF$2-17+1)</f>
        <v/>
      </c>
      <c r="AG22" s="3">
        <f>$B22*INDEX(Curves!$C$2:$BV$2,AG$2-17+1)</f>
        <v/>
      </c>
      <c r="AH22" s="3">
        <f>$B22*INDEX(Curves!$C$2:$BV$2,AH$2-17+1)</f>
        <v/>
      </c>
      <c r="AI22" s="3">
        <f>$B22*INDEX(Curves!$C$2:$BV$2,AI$2-17+1)</f>
        <v/>
      </c>
      <c r="AJ22" s="3">
        <f>$B22*INDEX(Curves!$C$2:$BV$2,AJ$2-17+1)</f>
        <v/>
      </c>
      <c r="AK22" s="3">
        <f>$B22*INDEX(Curves!$C$2:$BV$2,AK$2-17+1)</f>
        <v/>
      </c>
      <c r="AL22" s="3">
        <f>$B22*INDEX(Curves!$C$2:$BV$2,AL$2-17+1)</f>
        <v/>
      </c>
      <c r="AM22" s="3">
        <f>$B22*INDEX(Curves!$C$2:$BV$2,AM$2-17+1)</f>
        <v/>
      </c>
      <c r="AN22" s="3">
        <f>$B22*INDEX(Curves!$C$2:$BV$2,AN$2-17+1)</f>
        <v/>
      </c>
      <c r="AO22" s="3">
        <f>$B22*INDEX(Curves!$C$2:$BV$2,AO$2-17+1)</f>
        <v/>
      </c>
      <c r="AP22" s="3">
        <f>$B22*INDEX(Curves!$C$2:$BV$2,AP$2-17+1)</f>
        <v/>
      </c>
      <c r="AQ22" s="3">
        <f>$B22*INDEX(Curves!$C$2:$BV$2,AQ$2-17+1)</f>
        <v/>
      </c>
      <c r="AR22" s="3">
        <f>$B22*INDEX(Curves!$C$2:$BV$2,AR$2-17+1)</f>
        <v/>
      </c>
      <c r="AS22" s="3">
        <f>$B22*INDEX(Curves!$C$2:$BV$2,AS$2-17+1)</f>
        <v/>
      </c>
      <c r="AT22" s="3">
        <f>$B22*INDEX(Curves!$C$2:$BV$2,AT$2-17+1)</f>
        <v/>
      </c>
      <c r="AU22" s="3">
        <f>$B22*INDEX(Curves!$C$2:$BV$2,AU$2-17+1)</f>
        <v/>
      </c>
      <c r="AV22" s="3">
        <f>$B22*INDEX(Curves!$C$2:$BV$2,AV$2-17+1)</f>
        <v/>
      </c>
      <c r="AW22" s="3">
        <f>$B22*INDEX(Curves!$C$2:$BV$2,AW$2-17+1)</f>
        <v/>
      </c>
      <c r="AX22" s="3">
        <f>$B22*INDEX(Curves!$C$2:$BV$2,AX$2-17+1)</f>
        <v/>
      </c>
      <c r="AY22" s="3">
        <f>$B22*INDEX(Curves!$C$2:$BV$2,AY$2-17+1)</f>
        <v/>
      </c>
      <c r="AZ22" s="3">
        <f>$B22*INDEX(Curves!$C$2:$BV$2,AZ$2-17+1)</f>
        <v/>
      </c>
      <c r="BA22" s="3">
        <f>$B22*INDEX(Curves!$C$2:$BV$2,BA$2-17+1)</f>
        <v/>
      </c>
      <c r="BB22" s="3">
        <f>$B22*INDEX(Curves!$C$2:$BV$2,BB$2-17+1)</f>
        <v/>
      </c>
      <c r="BC22" s="3">
        <f>$B22*INDEX(Curves!$C$2:$BV$2,BC$2-17+1)</f>
        <v/>
      </c>
      <c r="BD22" s="3">
        <f>$B22*INDEX(Curves!$C$2:$BV$2,BD$2-17+1)</f>
        <v/>
      </c>
      <c r="BE22" s="3">
        <f>$B22*INDEX(Curves!$C$2:$BV$2,BE$2-17+1)</f>
        <v/>
      </c>
      <c r="BF22" s="3">
        <f>$B22*INDEX(Curves!$C$2:$BV$2,BF$2-17+1)</f>
        <v/>
      </c>
      <c r="BG22" s="3">
        <f>$B22*INDEX(Curves!$C$2:$BV$2,BG$2-17+1)</f>
        <v/>
      </c>
      <c r="BH22" s="3">
        <f>$B22*INDEX(Curves!$C$2:$BV$2,BH$2-17+1)</f>
        <v/>
      </c>
      <c r="BI22" s="3">
        <f>$B22*INDEX(Curves!$C$2:$BV$2,BI$2-17+1)</f>
        <v/>
      </c>
      <c r="BJ22" s="3">
        <f>$B22*INDEX(Curves!$C$2:$BV$2,BJ$2-17+1)</f>
        <v/>
      </c>
      <c r="BK22" s="3">
        <f>$B22*INDEX(Curves!$C$2:$BV$2,BK$2-17+1)</f>
        <v/>
      </c>
      <c r="BL22" s="3">
        <f>$B22*INDEX(Curves!$C$2:$BV$2,BL$2-17+1)</f>
        <v/>
      </c>
      <c r="BM22" s="3">
        <f>$B22*INDEX(Curves!$C$2:$BV$2,BM$2-17+1)</f>
        <v/>
      </c>
      <c r="BN22" s="3">
        <f>$B22*INDEX(Curves!$C$2:$BV$2,BN$2-17+1)</f>
        <v/>
      </c>
      <c r="BO22" s="3">
        <f>$B22*INDEX(Curves!$C$2:$BV$2,BO$2-17+1)</f>
        <v/>
      </c>
      <c r="BP22" s="3">
        <f>$B22*INDEX(Curves!$C$2:$BV$2,BP$2-17+1)</f>
        <v/>
      </c>
      <c r="BQ22" s="3">
        <f>$B22*INDEX(Curves!$C$2:$BV$2,BQ$2-17+1)</f>
        <v/>
      </c>
      <c r="BR22" s="3">
        <f>$B22*INDEX(Curves!$C$2:$BV$2,BR$2-17+1)</f>
        <v/>
      </c>
      <c r="BS22" s="3">
        <f>$B22*INDEX(Curves!$C$2:$BV$2,BS$2-17+1)</f>
        <v/>
      </c>
      <c r="BT22" s="3">
        <f>$B22*INDEX(Curves!$C$2:$BV$2,BT$2-17+1)</f>
        <v/>
      </c>
      <c r="BU22" s="3">
        <f>$B22*INDEX(Curves!$C$2:$BV$2,BU$2-17+1)</f>
        <v/>
      </c>
      <c r="BV22" s="3">
        <f>$B22*INDEX(Curves!$C$2:$BV$2,BV$2-17+1)</f>
        <v/>
      </c>
    </row>
    <row r="23">
      <c r="A23" t="inlineStr">
        <is>
          <t>cohort 2026-07</t>
        </is>
      </c>
      <c r="B23" s="3">
        <f>INDEX(Adds!$C$12:$BV$12,19)</f>
        <v/>
      </c>
      <c r="U23" s="3">
        <f>$B23*INDEX(Curves!$C$2:$BV$2,U$2-18+1)</f>
        <v/>
      </c>
      <c r="V23" s="3">
        <f>$B23*INDEX(Curves!$C$2:$BV$2,V$2-18+1)</f>
        <v/>
      </c>
      <c r="W23" s="3">
        <f>$B23*INDEX(Curves!$C$2:$BV$2,W$2-18+1)</f>
        <v/>
      </c>
      <c r="X23" s="3">
        <f>$B23*INDEX(Curves!$C$2:$BV$2,X$2-18+1)</f>
        <v/>
      </c>
      <c r="Y23" s="3">
        <f>$B23*INDEX(Curves!$C$2:$BV$2,Y$2-18+1)</f>
        <v/>
      </c>
      <c r="Z23" s="3">
        <f>$B23*INDEX(Curves!$C$2:$BV$2,Z$2-18+1)</f>
        <v/>
      </c>
      <c r="AA23" s="3">
        <f>$B23*INDEX(Curves!$C$2:$BV$2,AA$2-18+1)</f>
        <v/>
      </c>
      <c r="AB23" s="3">
        <f>$B23*INDEX(Curves!$C$2:$BV$2,AB$2-18+1)</f>
        <v/>
      </c>
      <c r="AC23" s="3">
        <f>$B23*INDEX(Curves!$C$2:$BV$2,AC$2-18+1)</f>
        <v/>
      </c>
      <c r="AD23" s="3">
        <f>$B23*INDEX(Curves!$C$2:$BV$2,AD$2-18+1)</f>
        <v/>
      </c>
      <c r="AE23" s="3">
        <f>$B23*INDEX(Curves!$C$2:$BV$2,AE$2-18+1)</f>
        <v/>
      </c>
      <c r="AF23" s="3">
        <f>$B23*INDEX(Curves!$C$2:$BV$2,AF$2-18+1)</f>
        <v/>
      </c>
      <c r="AG23" s="3">
        <f>$B23*INDEX(Curves!$C$2:$BV$2,AG$2-18+1)</f>
        <v/>
      </c>
      <c r="AH23" s="3">
        <f>$B23*INDEX(Curves!$C$2:$BV$2,AH$2-18+1)</f>
        <v/>
      </c>
      <c r="AI23" s="3">
        <f>$B23*INDEX(Curves!$C$2:$BV$2,AI$2-18+1)</f>
        <v/>
      </c>
      <c r="AJ23" s="3">
        <f>$B23*INDEX(Curves!$C$2:$BV$2,AJ$2-18+1)</f>
        <v/>
      </c>
      <c r="AK23" s="3">
        <f>$B23*INDEX(Curves!$C$2:$BV$2,AK$2-18+1)</f>
        <v/>
      </c>
      <c r="AL23" s="3">
        <f>$B23*INDEX(Curves!$C$2:$BV$2,AL$2-18+1)</f>
        <v/>
      </c>
      <c r="AM23" s="3">
        <f>$B23*INDEX(Curves!$C$2:$BV$2,AM$2-18+1)</f>
        <v/>
      </c>
      <c r="AN23" s="3">
        <f>$B23*INDEX(Curves!$C$2:$BV$2,AN$2-18+1)</f>
        <v/>
      </c>
      <c r="AO23" s="3">
        <f>$B23*INDEX(Curves!$C$2:$BV$2,AO$2-18+1)</f>
        <v/>
      </c>
      <c r="AP23" s="3">
        <f>$B23*INDEX(Curves!$C$2:$BV$2,AP$2-18+1)</f>
        <v/>
      </c>
      <c r="AQ23" s="3">
        <f>$B23*INDEX(Curves!$C$2:$BV$2,AQ$2-18+1)</f>
        <v/>
      </c>
      <c r="AR23" s="3">
        <f>$B23*INDEX(Curves!$C$2:$BV$2,AR$2-18+1)</f>
        <v/>
      </c>
      <c r="AS23" s="3">
        <f>$B23*INDEX(Curves!$C$2:$BV$2,AS$2-18+1)</f>
        <v/>
      </c>
      <c r="AT23" s="3">
        <f>$B23*INDEX(Curves!$C$2:$BV$2,AT$2-18+1)</f>
        <v/>
      </c>
      <c r="AU23" s="3">
        <f>$B23*INDEX(Curves!$C$2:$BV$2,AU$2-18+1)</f>
        <v/>
      </c>
      <c r="AV23" s="3">
        <f>$B23*INDEX(Curves!$C$2:$BV$2,AV$2-18+1)</f>
        <v/>
      </c>
      <c r="AW23" s="3">
        <f>$B23*INDEX(Curves!$C$2:$BV$2,AW$2-18+1)</f>
        <v/>
      </c>
      <c r="AX23" s="3">
        <f>$B23*INDEX(Curves!$C$2:$BV$2,AX$2-18+1)</f>
        <v/>
      </c>
      <c r="AY23" s="3">
        <f>$B23*INDEX(Curves!$C$2:$BV$2,AY$2-18+1)</f>
        <v/>
      </c>
      <c r="AZ23" s="3">
        <f>$B23*INDEX(Curves!$C$2:$BV$2,AZ$2-18+1)</f>
        <v/>
      </c>
      <c r="BA23" s="3">
        <f>$B23*INDEX(Curves!$C$2:$BV$2,BA$2-18+1)</f>
        <v/>
      </c>
      <c r="BB23" s="3">
        <f>$B23*INDEX(Curves!$C$2:$BV$2,BB$2-18+1)</f>
        <v/>
      </c>
      <c r="BC23" s="3">
        <f>$B23*INDEX(Curves!$C$2:$BV$2,BC$2-18+1)</f>
        <v/>
      </c>
      <c r="BD23" s="3">
        <f>$B23*INDEX(Curves!$C$2:$BV$2,BD$2-18+1)</f>
        <v/>
      </c>
      <c r="BE23" s="3">
        <f>$B23*INDEX(Curves!$C$2:$BV$2,BE$2-18+1)</f>
        <v/>
      </c>
      <c r="BF23" s="3">
        <f>$B23*INDEX(Curves!$C$2:$BV$2,BF$2-18+1)</f>
        <v/>
      </c>
      <c r="BG23" s="3">
        <f>$B23*INDEX(Curves!$C$2:$BV$2,BG$2-18+1)</f>
        <v/>
      </c>
      <c r="BH23" s="3">
        <f>$B23*INDEX(Curves!$C$2:$BV$2,BH$2-18+1)</f>
        <v/>
      </c>
      <c r="BI23" s="3">
        <f>$B23*INDEX(Curves!$C$2:$BV$2,BI$2-18+1)</f>
        <v/>
      </c>
      <c r="BJ23" s="3">
        <f>$B23*INDEX(Curves!$C$2:$BV$2,BJ$2-18+1)</f>
        <v/>
      </c>
      <c r="BK23" s="3">
        <f>$B23*INDEX(Curves!$C$2:$BV$2,BK$2-18+1)</f>
        <v/>
      </c>
      <c r="BL23" s="3">
        <f>$B23*INDEX(Curves!$C$2:$BV$2,BL$2-18+1)</f>
        <v/>
      </c>
      <c r="BM23" s="3">
        <f>$B23*INDEX(Curves!$C$2:$BV$2,BM$2-18+1)</f>
        <v/>
      </c>
      <c r="BN23" s="3">
        <f>$B23*INDEX(Curves!$C$2:$BV$2,BN$2-18+1)</f>
        <v/>
      </c>
      <c r="BO23" s="3">
        <f>$B23*INDEX(Curves!$C$2:$BV$2,BO$2-18+1)</f>
        <v/>
      </c>
      <c r="BP23" s="3">
        <f>$B23*INDEX(Curves!$C$2:$BV$2,BP$2-18+1)</f>
        <v/>
      </c>
      <c r="BQ23" s="3">
        <f>$B23*INDEX(Curves!$C$2:$BV$2,BQ$2-18+1)</f>
        <v/>
      </c>
      <c r="BR23" s="3">
        <f>$B23*INDEX(Curves!$C$2:$BV$2,BR$2-18+1)</f>
        <v/>
      </c>
      <c r="BS23" s="3">
        <f>$B23*INDEX(Curves!$C$2:$BV$2,BS$2-18+1)</f>
        <v/>
      </c>
      <c r="BT23" s="3">
        <f>$B23*INDEX(Curves!$C$2:$BV$2,BT$2-18+1)</f>
        <v/>
      </c>
      <c r="BU23" s="3">
        <f>$B23*INDEX(Curves!$C$2:$BV$2,BU$2-18+1)</f>
        <v/>
      </c>
      <c r="BV23" s="3">
        <f>$B23*INDEX(Curves!$C$2:$BV$2,BV$2-18+1)</f>
        <v/>
      </c>
    </row>
    <row r="24">
      <c r="A24" t="inlineStr">
        <is>
          <t>cohort 2026-08</t>
        </is>
      </c>
      <c r="B24" s="3">
        <f>INDEX(Adds!$C$12:$BV$12,20)</f>
        <v/>
      </c>
      <c r="V24" s="3">
        <f>$B24*INDEX(Curves!$C$2:$BV$2,V$2-19+1)</f>
        <v/>
      </c>
      <c r="W24" s="3">
        <f>$B24*INDEX(Curves!$C$2:$BV$2,W$2-19+1)</f>
        <v/>
      </c>
      <c r="X24" s="3">
        <f>$B24*INDEX(Curves!$C$2:$BV$2,X$2-19+1)</f>
        <v/>
      </c>
      <c r="Y24" s="3">
        <f>$B24*INDEX(Curves!$C$2:$BV$2,Y$2-19+1)</f>
        <v/>
      </c>
      <c r="Z24" s="3">
        <f>$B24*INDEX(Curves!$C$2:$BV$2,Z$2-19+1)</f>
        <v/>
      </c>
      <c r="AA24" s="3">
        <f>$B24*INDEX(Curves!$C$2:$BV$2,AA$2-19+1)</f>
        <v/>
      </c>
      <c r="AB24" s="3">
        <f>$B24*INDEX(Curves!$C$2:$BV$2,AB$2-19+1)</f>
        <v/>
      </c>
      <c r="AC24" s="3">
        <f>$B24*INDEX(Curves!$C$2:$BV$2,AC$2-19+1)</f>
        <v/>
      </c>
      <c r="AD24" s="3">
        <f>$B24*INDEX(Curves!$C$2:$BV$2,AD$2-19+1)</f>
        <v/>
      </c>
      <c r="AE24" s="3">
        <f>$B24*INDEX(Curves!$C$2:$BV$2,AE$2-19+1)</f>
        <v/>
      </c>
      <c r="AF24" s="3">
        <f>$B24*INDEX(Curves!$C$2:$BV$2,AF$2-19+1)</f>
        <v/>
      </c>
      <c r="AG24" s="3">
        <f>$B24*INDEX(Curves!$C$2:$BV$2,AG$2-19+1)</f>
        <v/>
      </c>
      <c r="AH24" s="3">
        <f>$B24*INDEX(Curves!$C$2:$BV$2,AH$2-19+1)</f>
        <v/>
      </c>
      <c r="AI24" s="3">
        <f>$B24*INDEX(Curves!$C$2:$BV$2,AI$2-19+1)</f>
        <v/>
      </c>
      <c r="AJ24" s="3">
        <f>$B24*INDEX(Curves!$C$2:$BV$2,AJ$2-19+1)</f>
        <v/>
      </c>
      <c r="AK24" s="3">
        <f>$B24*INDEX(Curves!$C$2:$BV$2,AK$2-19+1)</f>
        <v/>
      </c>
      <c r="AL24" s="3">
        <f>$B24*INDEX(Curves!$C$2:$BV$2,AL$2-19+1)</f>
        <v/>
      </c>
      <c r="AM24" s="3">
        <f>$B24*INDEX(Curves!$C$2:$BV$2,AM$2-19+1)</f>
        <v/>
      </c>
      <c r="AN24" s="3">
        <f>$B24*INDEX(Curves!$C$2:$BV$2,AN$2-19+1)</f>
        <v/>
      </c>
      <c r="AO24" s="3">
        <f>$B24*INDEX(Curves!$C$2:$BV$2,AO$2-19+1)</f>
        <v/>
      </c>
      <c r="AP24" s="3">
        <f>$B24*INDEX(Curves!$C$2:$BV$2,AP$2-19+1)</f>
        <v/>
      </c>
      <c r="AQ24" s="3">
        <f>$B24*INDEX(Curves!$C$2:$BV$2,AQ$2-19+1)</f>
        <v/>
      </c>
      <c r="AR24" s="3">
        <f>$B24*INDEX(Curves!$C$2:$BV$2,AR$2-19+1)</f>
        <v/>
      </c>
      <c r="AS24" s="3">
        <f>$B24*INDEX(Curves!$C$2:$BV$2,AS$2-19+1)</f>
        <v/>
      </c>
      <c r="AT24" s="3">
        <f>$B24*INDEX(Curves!$C$2:$BV$2,AT$2-19+1)</f>
        <v/>
      </c>
      <c r="AU24" s="3">
        <f>$B24*INDEX(Curves!$C$2:$BV$2,AU$2-19+1)</f>
        <v/>
      </c>
      <c r="AV24" s="3">
        <f>$B24*INDEX(Curves!$C$2:$BV$2,AV$2-19+1)</f>
        <v/>
      </c>
      <c r="AW24" s="3">
        <f>$B24*INDEX(Curves!$C$2:$BV$2,AW$2-19+1)</f>
        <v/>
      </c>
      <c r="AX24" s="3">
        <f>$B24*INDEX(Curves!$C$2:$BV$2,AX$2-19+1)</f>
        <v/>
      </c>
      <c r="AY24" s="3">
        <f>$B24*INDEX(Curves!$C$2:$BV$2,AY$2-19+1)</f>
        <v/>
      </c>
      <c r="AZ24" s="3">
        <f>$B24*INDEX(Curves!$C$2:$BV$2,AZ$2-19+1)</f>
        <v/>
      </c>
      <c r="BA24" s="3">
        <f>$B24*INDEX(Curves!$C$2:$BV$2,BA$2-19+1)</f>
        <v/>
      </c>
      <c r="BB24" s="3">
        <f>$B24*INDEX(Curves!$C$2:$BV$2,BB$2-19+1)</f>
        <v/>
      </c>
      <c r="BC24" s="3">
        <f>$B24*INDEX(Curves!$C$2:$BV$2,BC$2-19+1)</f>
        <v/>
      </c>
      <c r="BD24" s="3">
        <f>$B24*INDEX(Curves!$C$2:$BV$2,BD$2-19+1)</f>
        <v/>
      </c>
      <c r="BE24" s="3">
        <f>$B24*INDEX(Curves!$C$2:$BV$2,BE$2-19+1)</f>
        <v/>
      </c>
      <c r="BF24" s="3">
        <f>$B24*INDEX(Curves!$C$2:$BV$2,BF$2-19+1)</f>
        <v/>
      </c>
      <c r="BG24" s="3">
        <f>$B24*INDEX(Curves!$C$2:$BV$2,BG$2-19+1)</f>
        <v/>
      </c>
      <c r="BH24" s="3">
        <f>$B24*INDEX(Curves!$C$2:$BV$2,BH$2-19+1)</f>
        <v/>
      </c>
      <c r="BI24" s="3">
        <f>$B24*INDEX(Curves!$C$2:$BV$2,BI$2-19+1)</f>
        <v/>
      </c>
      <c r="BJ24" s="3">
        <f>$B24*INDEX(Curves!$C$2:$BV$2,BJ$2-19+1)</f>
        <v/>
      </c>
      <c r="BK24" s="3">
        <f>$B24*INDEX(Curves!$C$2:$BV$2,BK$2-19+1)</f>
        <v/>
      </c>
      <c r="BL24" s="3">
        <f>$B24*INDEX(Curves!$C$2:$BV$2,BL$2-19+1)</f>
        <v/>
      </c>
      <c r="BM24" s="3">
        <f>$B24*INDEX(Curves!$C$2:$BV$2,BM$2-19+1)</f>
        <v/>
      </c>
      <c r="BN24" s="3">
        <f>$B24*INDEX(Curves!$C$2:$BV$2,BN$2-19+1)</f>
        <v/>
      </c>
      <c r="BO24" s="3">
        <f>$B24*INDEX(Curves!$C$2:$BV$2,BO$2-19+1)</f>
        <v/>
      </c>
      <c r="BP24" s="3">
        <f>$B24*INDEX(Curves!$C$2:$BV$2,BP$2-19+1)</f>
        <v/>
      </c>
      <c r="BQ24" s="3">
        <f>$B24*INDEX(Curves!$C$2:$BV$2,BQ$2-19+1)</f>
        <v/>
      </c>
      <c r="BR24" s="3">
        <f>$B24*INDEX(Curves!$C$2:$BV$2,BR$2-19+1)</f>
        <v/>
      </c>
      <c r="BS24" s="3">
        <f>$B24*INDEX(Curves!$C$2:$BV$2,BS$2-19+1)</f>
        <v/>
      </c>
      <c r="BT24" s="3">
        <f>$B24*INDEX(Curves!$C$2:$BV$2,BT$2-19+1)</f>
        <v/>
      </c>
      <c r="BU24" s="3">
        <f>$B24*INDEX(Curves!$C$2:$BV$2,BU$2-19+1)</f>
        <v/>
      </c>
      <c r="BV24" s="3">
        <f>$B24*INDEX(Curves!$C$2:$BV$2,BV$2-19+1)</f>
        <v/>
      </c>
    </row>
    <row r="25">
      <c r="A25" t="inlineStr">
        <is>
          <t>cohort 2026-09</t>
        </is>
      </c>
      <c r="B25" s="3">
        <f>INDEX(Adds!$C$12:$BV$12,21)</f>
        <v/>
      </c>
      <c r="W25" s="3">
        <f>$B25*INDEX(Curves!$C$2:$BV$2,W$2-20+1)</f>
        <v/>
      </c>
      <c r="X25" s="3">
        <f>$B25*INDEX(Curves!$C$2:$BV$2,X$2-20+1)</f>
        <v/>
      </c>
      <c r="Y25" s="3">
        <f>$B25*INDEX(Curves!$C$2:$BV$2,Y$2-20+1)</f>
        <v/>
      </c>
      <c r="Z25" s="3">
        <f>$B25*INDEX(Curves!$C$2:$BV$2,Z$2-20+1)</f>
        <v/>
      </c>
      <c r="AA25" s="3">
        <f>$B25*INDEX(Curves!$C$2:$BV$2,AA$2-20+1)</f>
        <v/>
      </c>
      <c r="AB25" s="3">
        <f>$B25*INDEX(Curves!$C$2:$BV$2,AB$2-20+1)</f>
        <v/>
      </c>
      <c r="AC25" s="3">
        <f>$B25*INDEX(Curves!$C$2:$BV$2,AC$2-20+1)</f>
        <v/>
      </c>
      <c r="AD25" s="3">
        <f>$B25*INDEX(Curves!$C$2:$BV$2,AD$2-20+1)</f>
        <v/>
      </c>
      <c r="AE25" s="3">
        <f>$B25*INDEX(Curves!$C$2:$BV$2,AE$2-20+1)</f>
        <v/>
      </c>
      <c r="AF25" s="3">
        <f>$B25*INDEX(Curves!$C$2:$BV$2,AF$2-20+1)</f>
        <v/>
      </c>
      <c r="AG25" s="3">
        <f>$B25*INDEX(Curves!$C$2:$BV$2,AG$2-20+1)</f>
        <v/>
      </c>
      <c r="AH25" s="3">
        <f>$B25*INDEX(Curves!$C$2:$BV$2,AH$2-20+1)</f>
        <v/>
      </c>
      <c r="AI25" s="3">
        <f>$B25*INDEX(Curves!$C$2:$BV$2,AI$2-20+1)</f>
        <v/>
      </c>
      <c r="AJ25" s="3">
        <f>$B25*INDEX(Curves!$C$2:$BV$2,AJ$2-20+1)</f>
        <v/>
      </c>
      <c r="AK25" s="3">
        <f>$B25*INDEX(Curves!$C$2:$BV$2,AK$2-20+1)</f>
        <v/>
      </c>
      <c r="AL25" s="3">
        <f>$B25*INDEX(Curves!$C$2:$BV$2,AL$2-20+1)</f>
        <v/>
      </c>
      <c r="AM25" s="3">
        <f>$B25*INDEX(Curves!$C$2:$BV$2,AM$2-20+1)</f>
        <v/>
      </c>
      <c r="AN25" s="3">
        <f>$B25*INDEX(Curves!$C$2:$BV$2,AN$2-20+1)</f>
        <v/>
      </c>
      <c r="AO25" s="3">
        <f>$B25*INDEX(Curves!$C$2:$BV$2,AO$2-20+1)</f>
        <v/>
      </c>
      <c r="AP25" s="3">
        <f>$B25*INDEX(Curves!$C$2:$BV$2,AP$2-20+1)</f>
        <v/>
      </c>
      <c r="AQ25" s="3">
        <f>$B25*INDEX(Curves!$C$2:$BV$2,AQ$2-20+1)</f>
        <v/>
      </c>
      <c r="AR25" s="3">
        <f>$B25*INDEX(Curves!$C$2:$BV$2,AR$2-20+1)</f>
        <v/>
      </c>
      <c r="AS25" s="3">
        <f>$B25*INDEX(Curves!$C$2:$BV$2,AS$2-20+1)</f>
        <v/>
      </c>
      <c r="AT25" s="3">
        <f>$B25*INDEX(Curves!$C$2:$BV$2,AT$2-20+1)</f>
        <v/>
      </c>
      <c r="AU25" s="3">
        <f>$B25*INDEX(Curves!$C$2:$BV$2,AU$2-20+1)</f>
        <v/>
      </c>
      <c r="AV25" s="3">
        <f>$B25*INDEX(Curves!$C$2:$BV$2,AV$2-20+1)</f>
        <v/>
      </c>
      <c r="AW25" s="3">
        <f>$B25*INDEX(Curves!$C$2:$BV$2,AW$2-20+1)</f>
        <v/>
      </c>
      <c r="AX25" s="3">
        <f>$B25*INDEX(Curves!$C$2:$BV$2,AX$2-20+1)</f>
        <v/>
      </c>
      <c r="AY25" s="3">
        <f>$B25*INDEX(Curves!$C$2:$BV$2,AY$2-20+1)</f>
        <v/>
      </c>
      <c r="AZ25" s="3">
        <f>$B25*INDEX(Curves!$C$2:$BV$2,AZ$2-20+1)</f>
        <v/>
      </c>
      <c r="BA25" s="3">
        <f>$B25*INDEX(Curves!$C$2:$BV$2,BA$2-20+1)</f>
        <v/>
      </c>
      <c r="BB25" s="3">
        <f>$B25*INDEX(Curves!$C$2:$BV$2,BB$2-20+1)</f>
        <v/>
      </c>
      <c r="BC25" s="3">
        <f>$B25*INDEX(Curves!$C$2:$BV$2,BC$2-20+1)</f>
        <v/>
      </c>
      <c r="BD25" s="3">
        <f>$B25*INDEX(Curves!$C$2:$BV$2,BD$2-20+1)</f>
        <v/>
      </c>
      <c r="BE25" s="3">
        <f>$B25*INDEX(Curves!$C$2:$BV$2,BE$2-20+1)</f>
        <v/>
      </c>
      <c r="BF25" s="3">
        <f>$B25*INDEX(Curves!$C$2:$BV$2,BF$2-20+1)</f>
        <v/>
      </c>
      <c r="BG25" s="3">
        <f>$B25*INDEX(Curves!$C$2:$BV$2,BG$2-20+1)</f>
        <v/>
      </c>
      <c r="BH25" s="3">
        <f>$B25*INDEX(Curves!$C$2:$BV$2,BH$2-20+1)</f>
        <v/>
      </c>
      <c r="BI25" s="3">
        <f>$B25*INDEX(Curves!$C$2:$BV$2,BI$2-20+1)</f>
        <v/>
      </c>
      <c r="BJ25" s="3">
        <f>$B25*INDEX(Curves!$C$2:$BV$2,BJ$2-20+1)</f>
        <v/>
      </c>
      <c r="BK25" s="3">
        <f>$B25*INDEX(Curves!$C$2:$BV$2,BK$2-20+1)</f>
        <v/>
      </c>
      <c r="BL25" s="3">
        <f>$B25*INDEX(Curves!$C$2:$BV$2,BL$2-20+1)</f>
        <v/>
      </c>
      <c r="BM25" s="3">
        <f>$B25*INDEX(Curves!$C$2:$BV$2,BM$2-20+1)</f>
        <v/>
      </c>
      <c r="BN25" s="3">
        <f>$B25*INDEX(Curves!$C$2:$BV$2,BN$2-20+1)</f>
        <v/>
      </c>
      <c r="BO25" s="3">
        <f>$B25*INDEX(Curves!$C$2:$BV$2,BO$2-20+1)</f>
        <v/>
      </c>
      <c r="BP25" s="3">
        <f>$B25*INDEX(Curves!$C$2:$BV$2,BP$2-20+1)</f>
        <v/>
      </c>
      <c r="BQ25" s="3">
        <f>$B25*INDEX(Curves!$C$2:$BV$2,BQ$2-20+1)</f>
        <v/>
      </c>
      <c r="BR25" s="3">
        <f>$B25*INDEX(Curves!$C$2:$BV$2,BR$2-20+1)</f>
        <v/>
      </c>
      <c r="BS25" s="3">
        <f>$B25*INDEX(Curves!$C$2:$BV$2,BS$2-20+1)</f>
        <v/>
      </c>
      <c r="BT25" s="3">
        <f>$B25*INDEX(Curves!$C$2:$BV$2,BT$2-20+1)</f>
        <v/>
      </c>
      <c r="BU25" s="3">
        <f>$B25*INDEX(Curves!$C$2:$BV$2,BU$2-20+1)</f>
        <v/>
      </c>
      <c r="BV25" s="3">
        <f>$B25*INDEX(Curves!$C$2:$BV$2,BV$2-20+1)</f>
        <v/>
      </c>
    </row>
    <row r="26">
      <c r="A26" t="inlineStr">
        <is>
          <t>cohort 2026-10</t>
        </is>
      </c>
      <c r="B26" s="3">
        <f>INDEX(Adds!$C$12:$BV$12,22)</f>
        <v/>
      </c>
      <c r="X26" s="3">
        <f>$B26*INDEX(Curves!$C$2:$BV$2,X$2-21+1)</f>
        <v/>
      </c>
      <c r="Y26" s="3">
        <f>$B26*INDEX(Curves!$C$2:$BV$2,Y$2-21+1)</f>
        <v/>
      </c>
      <c r="Z26" s="3">
        <f>$B26*INDEX(Curves!$C$2:$BV$2,Z$2-21+1)</f>
        <v/>
      </c>
      <c r="AA26" s="3">
        <f>$B26*INDEX(Curves!$C$2:$BV$2,AA$2-21+1)</f>
        <v/>
      </c>
      <c r="AB26" s="3">
        <f>$B26*INDEX(Curves!$C$2:$BV$2,AB$2-21+1)</f>
        <v/>
      </c>
      <c r="AC26" s="3">
        <f>$B26*INDEX(Curves!$C$2:$BV$2,AC$2-21+1)</f>
        <v/>
      </c>
      <c r="AD26" s="3">
        <f>$B26*INDEX(Curves!$C$2:$BV$2,AD$2-21+1)</f>
        <v/>
      </c>
      <c r="AE26" s="3">
        <f>$B26*INDEX(Curves!$C$2:$BV$2,AE$2-21+1)</f>
        <v/>
      </c>
      <c r="AF26" s="3">
        <f>$B26*INDEX(Curves!$C$2:$BV$2,AF$2-21+1)</f>
        <v/>
      </c>
      <c r="AG26" s="3">
        <f>$B26*INDEX(Curves!$C$2:$BV$2,AG$2-21+1)</f>
        <v/>
      </c>
      <c r="AH26" s="3">
        <f>$B26*INDEX(Curves!$C$2:$BV$2,AH$2-21+1)</f>
        <v/>
      </c>
      <c r="AI26" s="3">
        <f>$B26*INDEX(Curves!$C$2:$BV$2,AI$2-21+1)</f>
        <v/>
      </c>
      <c r="AJ26" s="3">
        <f>$B26*INDEX(Curves!$C$2:$BV$2,AJ$2-21+1)</f>
        <v/>
      </c>
      <c r="AK26" s="3">
        <f>$B26*INDEX(Curves!$C$2:$BV$2,AK$2-21+1)</f>
        <v/>
      </c>
      <c r="AL26" s="3">
        <f>$B26*INDEX(Curves!$C$2:$BV$2,AL$2-21+1)</f>
        <v/>
      </c>
      <c r="AM26" s="3">
        <f>$B26*INDEX(Curves!$C$2:$BV$2,AM$2-21+1)</f>
        <v/>
      </c>
      <c r="AN26" s="3">
        <f>$B26*INDEX(Curves!$C$2:$BV$2,AN$2-21+1)</f>
        <v/>
      </c>
      <c r="AO26" s="3">
        <f>$B26*INDEX(Curves!$C$2:$BV$2,AO$2-21+1)</f>
        <v/>
      </c>
      <c r="AP26" s="3">
        <f>$B26*INDEX(Curves!$C$2:$BV$2,AP$2-21+1)</f>
        <v/>
      </c>
      <c r="AQ26" s="3">
        <f>$B26*INDEX(Curves!$C$2:$BV$2,AQ$2-21+1)</f>
        <v/>
      </c>
      <c r="AR26" s="3">
        <f>$B26*INDEX(Curves!$C$2:$BV$2,AR$2-21+1)</f>
        <v/>
      </c>
      <c r="AS26" s="3">
        <f>$B26*INDEX(Curves!$C$2:$BV$2,AS$2-21+1)</f>
        <v/>
      </c>
      <c r="AT26" s="3">
        <f>$B26*INDEX(Curves!$C$2:$BV$2,AT$2-21+1)</f>
        <v/>
      </c>
      <c r="AU26" s="3">
        <f>$B26*INDEX(Curves!$C$2:$BV$2,AU$2-21+1)</f>
        <v/>
      </c>
      <c r="AV26" s="3">
        <f>$B26*INDEX(Curves!$C$2:$BV$2,AV$2-21+1)</f>
        <v/>
      </c>
      <c r="AW26" s="3">
        <f>$B26*INDEX(Curves!$C$2:$BV$2,AW$2-21+1)</f>
        <v/>
      </c>
      <c r="AX26" s="3">
        <f>$B26*INDEX(Curves!$C$2:$BV$2,AX$2-21+1)</f>
        <v/>
      </c>
      <c r="AY26" s="3">
        <f>$B26*INDEX(Curves!$C$2:$BV$2,AY$2-21+1)</f>
        <v/>
      </c>
      <c r="AZ26" s="3">
        <f>$B26*INDEX(Curves!$C$2:$BV$2,AZ$2-21+1)</f>
        <v/>
      </c>
      <c r="BA26" s="3">
        <f>$B26*INDEX(Curves!$C$2:$BV$2,BA$2-21+1)</f>
        <v/>
      </c>
      <c r="BB26" s="3">
        <f>$B26*INDEX(Curves!$C$2:$BV$2,BB$2-21+1)</f>
        <v/>
      </c>
      <c r="BC26" s="3">
        <f>$B26*INDEX(Curves!$C$2:$BV$2,BC$2-21+1)</f>
        <v/>
      </c>
      <c r="BD26" s="3">
        <f>$B26*INDEX(Curves!$C$2:$BV$2,BD$2-21+1)</f>
        <v/>
      </c>
      <c r="BE26" s="3">
        <f>$B26*INDEX(Curves!$C$2:$BV$2,BE$2-21+1)</f>
        <v/>
      </c>
      <c r="BF26" s="3">
        <f>$B26*INDEX(Curves!$C$2:$BV$2,BF$2-21+1)</f>
        <v/>
      </c>
      <c r="BG26" s="3">
        <f>$B26*INDEX(Curves!$C$2:$BV$2,BG$2-21+1)</f>
        <v/>
      </c>
      <c r="BH26" s="3">
        <f>$B26*INDEX(Curves!$C$2:$BV$2,BH$2-21+1)</f>
        <v/>
      </c>
      <c r="BI26" s="3">
        <f>$B26*INDEX(Curves!$C$2:$BV$2,BI$2-21+1)</f>
        <v/>
      </c>
      <c r="BJ26" s="3">
        <f>$B26*INDEX(Curves!$C$2:$BV$2,BJ$2-21+1)</f>
        <v/>
      </c>
      <c r="BK26" s="3">
        <f>$B26*INDEX(Curves!$C$2:$BV$2,BK$2-21+1)</f>
        <v/>
      </c>
      <c r="BL26" s="3">
        <f>$B26*INDEX(Curves!$C$2:$BV$2,BL$2-21+1)</f>
        <v/>
      </c>
      <c r="BM26" s="3">
        <f>$B26*INDEX(Curves!$C$2:$BV$2,BM$2-21+1)</f>
        <v/>
      </c>
      <c r="BN26" s="3">
        <f>$B26*INDEX(Curves!$C$2:$BV$2,BN$2-21+1)</f>
        <v/>
      </c>
      <c r="BO26" s="3">
        <f>$B26*INDEX(Curves!$C$2:$BV$2,BO$2-21+1)</f>
        <v/>
      </c>
      <c r="BP26" s="3">
        <f>$B26*INDEX(Curves!$C$2:$BV$2,BP$2-21+1)</f>
        <v/>
      </c>
      <c r="BQ26" s="3">
        <f>$B26*INDEX(Curves!$C$2:$BV$2,BQ$2-21+1)</f>
        <v/>
      </c>
      <c r="BR26" s="3">
        <f>$B26*INDEX(Curves!$C$2:$BV$2,BR$2-21+1)</f>
        <v/>
      </c>
      <c r="BS26" s="3">
        <f>$B26*INDEX(Curves!$C$2:$BV$2,BS$2-21+1)</f>
        <v/>
      </c>
      <c r="BT26" s="3">
        <f>$B26*INDEX(Curves!$C$2:$BV$2,BT$2-21+1)</f>
        <v/>
      </c>
      <c r="BU26" s="3">
        <f>$B26*INDEX(Curves!$C$2:$BV$2,BU$2-21+1)</f>
        <v/>
      </c>
      <c r="BV26" s="3">
        <f>$B26*INDEX(Curves!$C$2:$BV$2,BV$2-21+1)</f>
        <v/>
      </c>
    </row>
    <row r="27">
      <c r="A27" t="inlineStr">
        <is>
          <t>cohort 2026-11</t>
        </is>
      </c>
      <c r="B27" s="3">
        <f>INDEX(Adds!$C$12:$BV$12,23)</f>
        <v/>
      </c>
      <c r="Y27" s="3">
        <f>$B27*INDEX(Curves!$C$2:$BV$2,Y$2-22+1)</f>
        <v/>
      </c>
      <c r="Z27" s="3">
        <f>$B27*INDEX(Curves!$C$2:$BV$2,Z$2-22+1)</f>
        <v/>
      </c>
      <c r="AA27" s="3">
        <f>$B27*INDEX(Curves!$C$2:$BV$2,AA$2-22+1)</f>
        <v/>
      </c>
      <c r="AB27" s="3">
        <f>$B27*INDEX(Curves!$C$2:$BV$2,AB$2-22+1)</f>
        <v/>
      </c>
      <c r="AC27" s="3">
        <f>$B27*INDEX(Curves!$C$2:$BV$2,AC$2-22+1)</f>
        <v/>
      </c>
      <c r="AD27" s="3">
        <f>$B27*INDEX(Curves!$C$2:$BV$2,AD$2-22+1)</f>
        <v/>
      </c>
      <c r="AE27" s="3">
        <f>$B27*INDEX(Curves!$C$2:$BV$2,AE$2-22+1)</f>
        <v/>
      </c>
      <c r="AF27" s="3">
        <f>$B27*INDEX(Curves!$C$2:$BV$2,AF$2-22+1)</f>
        <v/>
      </c>
      <c r="AG27" s="3">
        <f>$B27*INDEX(Curves!$C$2:$BV$2,AG$2-22+1)</f>
        <v/>
      </c>
      <c r="AH27" s="3">
        <f>$B27*INDEX(Curves!$C$2:$BV$2,AH$2-22+1)</f>
        <v/>
      </c>
      <c r="AI27" s="3">
        <f>$B27*INDEX(Curves!$C$2:$BV$2,AI$2-22+1)</f>
        <v/>
      </c>
      <c r="AJ27" s="3">
        <f>$B27*INDEX(Curves!$C$2:$BV$2,AJ$2-22+1)</f>
        <v/>
      </c>
      <c r="AK27" s="3">
        <f>$B27*INDEX(Curves!$C$2:$BV$2,AK$2-22+1)</f>
        <v/>
      </c>
      <c r="AL27" s="3">
        <f>$B27*INDEX(Curves!$C$2:$BV$2,AL$2-22+1)</f>
        <v/>
      </c>
      <c r="AM27" s="3">
        <f>$B27*INDEX(Curves!$C$2:$BV$2,AM$2-22+1)</f>
        <v/>
      </c>
      <c r="AN27" s="3">
        <f>$B27*INDEX(Curves!$C$2:$BV$2,AN$2-22+1)</f>
        <v/>
      </c>
      <c r="AO27" s="3">
        <f>$B27*INDEX(Curves!$C$2:$BV$2,AO$2-22+1)</f>
        <v/>
      </c>
      <c r="AP27" s="3">
        <f>$B27*INDEX(Curves!$C$2:$BV$2,AP$2-22+1)</f>
        <v/>
      </c>
      <c r="AQ27" s="3">
        <f>$B27*INDEX(Curves!$C$2:$BV$2,AQ$2-22+1)</f>
        <v/>
      </c>
      <c r="AR27" s="3">
        <f>$B27*INDEX(Curves!$C$2:$BV$2,AR$2-22+1)</f>
        <v/>
      </c>
      <c r="AS27" s="3">
        <f>$B27*INDEX(Curves!$C$2:$BV$2,AS$2-22+1)</f>
        <v/>
      </c>
      <c r="AT27" s="3">
        <f>$B27*INDEX(Curves!$C$2:$BV$2,AT$2-22+1)</f>
        <v/>
      </c>
      <c r="AU27" s="3">
        <f>$B27*INDEX(Curves!$C$2:$BV$2,AU$2-22+1)</f>
        <v/>
      </c>
      <c r="AV27" s="3">
        <f>$B27*INDEX(Curves!$C$2:$BV$2,AV$2-22+1)</f>
        <v/>
      </c>
      <c r="AW27" s="3">
        <f>$B27*INDEX(Curves!$C$2:$BV$2,AW$2-22+1)</f>
        <v/>
      </c>
      <c r="AX27" s="3">
        <f>$B27*INDEX(Curves!$C$2:$BV$2,AX$2-22+1)</f>
        <v/>
      </c>
      <c r="AY27" s="3">
        <f>$B27*INDEX(Curves!$C$2:$BV$2,AY$2-22+1)</f>
        <v/>
      </c>
      <c r="AZ27" s="3">
        <f>$B27*INDEX(Curves!$C$2:$BV$2,AZ$2-22+1)</f>
        <v/>
      </c>
      <c r="BA27" s="3">
        <f>$B27*INDEX(Curves!$C$2:$BV$2,BA$2-22+1)</f>
        <v/>
      </c>
      <c r="BB27" s="3">
        <f>$B27*INDEX(Curves!$C$2:$BV$2,BB$2-22+1)</f>
        <v/>
      </c>
      <c r="BC27" s="3">
        <f>$B27*INDEX(Curves!$C$2:$BV$2,BC$2-22+1)</f>
        <v/>
      </c>
      <c r="BD27" s="3">
        <f>$B27*INDEX(Curves!$C$2:$BV$2,BD$2-22+1)</f>
        <v/>
      </c>
      <c r="BE27" s="3">
        <f>$B27*INDEX(Curves!$C$2:$BV$2,BE$2-22+1)</f>
        <v/>
      </c>
      <c r="BF27" s="3">
        <f>$B27*INDEX(Curves!$C$2:$BV$2,BF$2-22+1)</f>
        <v/>
      </c>
      <c r="BG27" s="3">
        <f>$B27*INDEX(Curves!$C$2:$BV$2,BG$2-22+1)</f>
        <v/>
      </c>
      <c r="BH27" s="3">
        <f>$B27*INDEX(Curves!$C$2:$BV$2,BH$2-22+1)</f>
        <v/>
      </c>
      <c r="BI27" s="3">
        <f>$B27*INDEX(Curves!$C$2:$BV$2,BI$2-22+1)</f>
        <v/>
      </c>
      <c r="BJ27" s="3">
        <f>$B27*INDEX(Curves!$C$2:$BV$2,BJ$2-22+1)</f>
        <v/>
      </c>
      <c r="BK27" s="3">
        <f>$B27*INDEX(Curves!$C$2:$BV$2,BK$2-22+1)</f>
        <v/>
      </c>
      <c r="BL27" s="3">
        <f>$B27*INDEX(Curves!$C$2:$BV$2,BL$2-22+1)</f>
        <v/>
      </c>
      <c r="BM27" s="3">
        <f>$B27*INDEX(Curves!$C$2:$BV$2,BM$2-22+1)</f>
        <v/>
      </c>
      <c r="BN27" s="3">
        <f>$B27*INDEX(Curves!$C$2:$BV$2,BN$2-22+1)</f>
        <v/>
      </c>
      <c r="BO27" s="3">
        <f>$B27*INDEX(Curves!$C$2:$BV$2,BO$2-22+1)</f>
        <v/>
      </c>
      <c r="BP27" s="3">
        <f>$B27*INDEX(Curves!$C$2:$BV$2,BP$2-22+1)</f>
        <v/>
      </c>
      <c r="BQ27" s="3">
        <f>$B27*INDEX(Curves!$C$2:$BV$2,BQ$2-22+1)</f>
        <v/>
      </c>
      <c r="BR27" s="3">
        <f>$B27*INDEX(Curves!$C$2:$BV$2,BR$2-22+1)</f>
        <v/>
      </c>
      <c r="BS27" s="3">
        <f>$B27*INDEX(Curves!$C$2:$BV$2,BS$2-22+1)</f>
        <v/>
      </c>
      <c r="BT27" s="3">
        <f>$B27*INDEX(Curves!$C$2:$BV$2,BT$2-22+1)</f>
        <v/>
      </c>
      <c r="BU27" s="3">
        <f>$B27*INDEX(Curves!$C$2:$BV$2,BU$2-22+1)</f>
        <v/>
      </c>
      <c r="BV27" s="3">
        <f>$B27*INDEX(Curves!$C$2:$BV$2,BV$2-22+1)</f>
        <v/>
      </c>
    </row>
    <row r="28">
      <c r="A28" t="inlineStr">
        <is>
          <t>cohort 2026-12</t>
        </is>
      </c>
      <c r="B28" s="3">
        <f>INDEX(Adds!$C$12:$BV$12,24)</f>
        <v/>
      </c>
      <c r="Z28" s="3">
        <f>$B28*INDEX(Curves!$C$2:$BV$2,Z$2-23+1)</f>
        <v/>
      </c>
      <c r="AA28" s="3">
        <f>$B28*INDEX(Curves!$C$2:$BV$2,AA$2-23+1)</f>
        <v/>
      </c>
      <c r="AB28" s="3">
        <f>$B28*INDEX(Curves!$C$2:$BV$2,AB$2-23+1)</f>
        <v/>
      </c>
      <c r="AC28" s="3">
        <f>$B28*INDEX(Curves!$C$2:$BV$2,AC$2-23+1)</f>
        <v/>
      </c>
      <c r="AD28" s="3">
        <f>$B28*INDEX(Curves!$C$2:$BV$2,AD$2-23+1)</f>
        <v/>
      </c>
      <c r="AE28" s="3">
        <f>$B28*INDEX(Curves!$C$2:$BV$2,AE$2-23+1)</f>
        <v/>
      </c>
      <c r="AF28" s="3">
        <f>$B28*INDEX(Curves!$C$2:$BV$2,AF$2-23+1)</f>
        <v/>
      </c>
      <c r="AG28" s="3">
        <f>$B28*INDEX(Curves!$C$2:$BV$2,AG$2-23+1)</f>
        <v/>
      </c>
      <c r="AH28" s="3">
        <f>$B28*INDEX(Curves!$C$2:$BV$2,AH$2-23+1)</f>
        <v/>
      </c>
      <c r="AI28" s="3">
        <f>$B28*INDEX(Curves!$C$2:$BV$2,AI$2-23+1)</f>
        <v/>
      </c>
      <c r="AJ28" s="3">
        <f>$B28*INDEX(Curves!$C$2:$BV$2,AJ$2-23+1)</f>
        <v/>
      </c>
      <c r="AK28" s="3">
        <f>$B28*INDEX(Curves!$C$2:$BV$2,AK$2-23+1)</f>
        <v/>
      </c>
      <c r="AL28" s="3">
        <f>$B28*INDEX(Curves!$C$2:$BV$2,AL$2-23+1)</f>
        <v/>
      </c>
      <c r="AM28" s="3">
        <f>$B28*INDEX(Curves!$C$2:$BV$2,AM$2-23+1)</f>
        <v/>
      </c>
      <c r="AN28" s="3">
        <f>$B28*INDEX(Curves!$C$2:$BV$2,AN$2-23+1)</f>
        <v/>
      </c>
      <c r="AO28" s="3">
        <f>$B28*INDEX(Curves!$C$2:$BV$2,AO$2-23+1)</f>
        <v/>
      </c>
      <c r="AP28" s="3">
        <f>$B28*INDEX(Curves!$C$2:$BV$2,AP$2-23+1)</f>
        <v/>
      </c>
      <c r="AQ28" s="3">
        <f>$B28*INDEX(Curves!$C$2:$BV$2,AQ$2-23+1)</f>
        <v/>
      </c>
      <c r="AR28" s="3">
        <f>$B28*INDEX(Curves!$C$2:$BV$2,AR$2-23+1)</f>
        <v/>
      </c>
      <c r="AS28" s="3">
        <f>$B28*INDEX(Curves!$C$2:$BV$2,AS$2-23+1)</f>
        <v/>
      </c>
      <c r="AT28" s="3">
        <f>$B28*INDEX(Curves!$C$2:$BV$2,AT$2-23+1)</f>
        <v/>
      </c>
      <c r="AU28" s="3">
        <f>$B28*INDEX(Curves!$C$2:$BV$2,AU$2-23+1)</f>
        <v/>
      </c>
      <c r="AV28" s="3">
        <f>$B28*INDEX(Curves!$C$2:$BV$2,AV$2-23+1)</f>
        <v/>
      </c>
      <c r="AW28" s="3">
        <f>$B28*INDEX(Curves!$C$2:$BV$2,AW$2-23+1)</f>
        <v/>
      </c>
      <c r="AX28" s="3">
        <f>$B28*INDEX(Curves!$C$2:$BV$2,AX$2-23+1)</f>
        <v/>
      </c>
      <c r="AY28" s="3">
        <f>$B28*INDEX(Curves!$C$2:$BV$2,AY$2-23+1)</f>
        <v/>
      </c>
      <c r="AZ28" s="3">
        <f>$B28*INDEX(Curves!$C$2:$BV$2,AZ$2-23+1)</f>
        <v/>
      </c>
      <c r="BA28" s="3">
        <f>$B28*INDEX(Curves!$C$2:$BV$2,BA$2-23+1)</f>
        <v/>
      </c>
      <c r="BB28" s="3">
        <f>$B28*INDEX(Curves!$C$2:$BV$2,BB$2-23+1)</f>
        <v/>
      </c>
      <c r="BC28" s="3">
        <f>$B28*INDEX(Curves!$C$2:$BV$2,BC$2-23+1)</f>
        <v/>
      </c>
      <c r="BD28" s="3">
        <f>$B28*INDEX(Curves!$C$2:$BV$2,BD$2-23+1)</f>
        <v/>
      </c>
      <c r="BE28" s="3">
        <f>$B28*INDEX(Curves!$C$2:$BV$2,BE$2-23+1)</f>
        <v/>
      </c>
      <c r="BF28" s="3">
        <f>$B28*INDEX(Curves!$C$2:$BV$2,BF$2-23+1)</f>
        <v/>
      </c>
      <c r="BG28" s="3">
        <f>$B28*INDEX(Curves!$C$2:$BV$2,BG$2-23+1)</f>
        <v/>
      </c>
      <c r="BH28" s="3">
        <f>$B28*INDEX(Curves!$C$2:$BV$2,BH$2-23+1)</f>
        <v/>
      </c>
      <c r="BI28" s="3">
        <f>$B28*INDEX(Curves!$C$2:$BV$2,BI$2-23+1)</f>
        <v/>
      </c>
      <c r="BJ28" s="3">
        <f>$B28*INDEX(Curves!$C$2:$BV$2,BJ$2-23+1)</f>
        <v/>
      </c>
      <c r="BK28" s="3">
        <f>$B28*INDEX(Curves!$C$2:$BV$2,BK$2-23+1)</f>
        <v/>
      </c>
      <c r="BL28" s="3">
        <f>$B28*INDEX(Curves!$C$2:$BV$2,BL$2-23+1)</f>
        <v/>
      </c>
      <c r="BM28" s="3">
        <f>$B28*INDEX(Curves!$C$2:$BV$2,BM$2-23+1)</f>
        <v/>
      </c>
      <c r="BN28" s="3">
        <f>$B28*INDEX(Curves!$C$2:$BV$2,BN$2-23+1)</f>
        <v/>
      </c>
      <c r="BO28" s="3">
        <f>$B28*INDEX(Curves!$C$2:$BV$2,BO$2-23+1)</f>
        <v/>
      </c>
      <c r="BP28" s="3">
        <f>$B28*INDEX(Curves!$C$2:$BV$2,BP$2-23+1)</f>
        <v/>
      </c>
      <c r="BQ28" s="3">
        <f>$B28*INDEX(Curves!$C$2:$BV$2,BQ$2-23+1)</f>
        <v/>
      </c>
      <c r="BR28" s="3">
        <f>$B28*INDEX(Curves!$C$2:$BV$2,BR$2-23+1)</f>
        <v/>
      </c>
      <c r="BS28" s="3">
        <f>$B28*INDEX(Curves!$C$2:$BV$2,BS$2-23+1)</f>
        <v/>
      </c>
      <c r="BT28" s="3">
        <f>$B28*INDEX(Curves!$C$2:$BV$2,BT$2-23+1)</f>
        <v/>
      </c>
      <c r="BU28" s="3">
        <f>$B28*INDEX(Curves!$C$2:$BV$2,BU$2-23+1)</f>
        <v/>
      </c>
      <c r="BV28" s="3">
        <f>$B28*INDEX(Curves!$C$2:$BV$2,BV$2-23+1)</f>
        <v/>
      </c>
    </row>
    <row r="29">
      <c r="A29" t="inlineStr">
        <is>
          <t>cohort 2027-01</t>
        </is>
      </c>
      <c r="B29" s="3">
        <f>INDEX(Adds!$C$12:$BV$12,25)</f>
        <v/>
      </c>
      <c r="AA29" s="3">
        <f>$B29*INDEX(Curves!$C$2:$BV$2,AA$2-24+1)</f>
        <v/>
      </c>
      <c r="AB29" s="3">
        <f>$B29*INDEX(Curves!$C$2:$BV$2,AB$2-24+1)</f>
        <v/>
      </c>
      <c r="AC29" s="3">
        <f>$B29*INDEX(Curves!$C$2:$BV$2,AC$2-24+1)</f>
        <v/>
      </c>
      <c r="AD29" s="3">
        <f>$B29*INDEX(Curves!$C$2:$BV$2,AD$2-24+1)</f>
        <v/>
      </c>
      <c r="AE29" s="3">
        <f>$B29*INDEX(Curves!$C$2:$BV$2,AE$2-24+1)</f>
        <v/>
      </c>
      <c r="AF29" s="3">
        <f>$B29*INDEX(Curves!$C$2:$BV$2,AF$2-24+1)</f>
        <v/>
      </c>
      <c r="AG29" s="3">
        <f>$B29*INDEX(Curves!$C$2:$BV$2,AG$2-24+1)</f>
        <v/>
      </c>
      <c r="AH29" s="3">
        <f>$B29*INDEX(Curves!$C$2:$BV$2,AH$2-24+1)</f>
        <v/>
      </c>
      <c r="AI29" s="3">
        <f>$B29*INDEX(Curves!$C$2:$BV$2,AI$2-24+1)</f>
        <v/>
      </c>
      <c r="AJ29" s="3">
        <f>$B29*INDEX(Curves!$C$2:$BV$2,AJ$2-24+1)</f>
        <v/>
      </c>
      <c r="AK29" s="3">
        <f>$B29*INDEX(Curves!$C$2:$BV$2,AK$2-24+1)</f>
        <v/>
      </c>
      <c r="AL29" s="3">
        <f>$B29*INDEX(Curves!$C$2:$BV$2,AL$2-24+1)</f>
        <v/>
      </c>
      <c r="AM29" s="3">
        <f>$B29*INDEX(Curves!$C$2:$BV$2,AM$2-24+1)</f>
        <v/>
      </c>
      <c r="AN29" s="3">
        <f>$B29*INDEX(Curves!$C$2:$BV$2,AN$2-24+1)</f>
        <v/>
      </c>
      <c r="AO29" s="3">
        <f>$B29*INDEX(Curves!$C$2:$BV$2,AO$2-24+1)</f>
        <v/>
      </c>
      <c r="AP29" s="3">
        <f>$B29*INDEX(Curves!$C$2:$BV$2,AP$2-24+1)</f>
        <v/>
      </c>
      <c r="AQ29" s="3">
        <f>$B29*INDEX(Curves!$C$2:$BV$2,AQ$2-24+1)</f>
        <v/>
      </c>
      <c r="AR29" s="3">
        <f>$B29*INDEX(Curves!$C$2:$BV$2,AR$2-24+1)</f>
        <v/>
      </c>
      <c r="AS29" s="3">
        <f>$B29*INDEX(Curves!$C$2:$BV$2,AS$2-24+1)</f>
        <v/>
      </c>
      <c r="AT29" s="3">
        <f>$B29*INDEX(Curves!$C$2:$BV$2,AT$2-24+1)</f>
        <v/>
      </c>
      <c r="AU29" s="3">
        <f>$B29*INDEX(Curves!$C$2:$BV$2,AU$2-24+1)</f>
        <v/>
      </c>
      <c r="AV29" s="3">
        <f>$B29*INDEX(Curves!$C$2:$BV$2,AV$2-24+1)</f>
        <v/>
      </c>
      <c r="AW29" s="3">
        <f>$B29*INDEX(Curves!$C$2:$BV$2,AW$2-24+1)</f>
        <v/>
      </c>
      <c r="AX29" s="3">
        <f>$B29*INDEX(Curves!$C$2:$BV$2,AX$2-24+1)</f>
        <v/>
      </c>
      <c r="AY29" s="3">
        <f>$B29*INDEX(Curves!$C$2:$BV$2,AY$2-24+1)</f>
        <v/>
      </c>
      <c r="AZ29" s="3">
        <f>$B29*INDEX(Curves!$C$2:$BV$2,AZ$2-24+1)</f>
        <v/>
      </c>
      <c r="BA29" s="3">
        <f>$B29*INDEX(Curves!$C$2:$BV$2,BA$2-24+1)</f>
        <v/>
      </c>
      <c r="BB29" s="3">
        <f>$B29*INDEX(Curves!$C$2:$BV$2,BB$2-24+1)</f>
        <v/>
      </c>
      <c r="BC29" s="3">
        <f>$B29*INDEX(Curves!$C$2:$BV$2,BC$2-24+1)</f>
        <v/>
      </c>
      <c r="BD29" s="3">
        <f>$B29*INDEX(Curves!$C$2:$BV$2,BD$2-24+1)</f>
        <v/>
      </c>
      <c r="BE29" s="3">
        <f>$B29*INDEX(Curves!$C$2:$BV$2,BE$2-24+1)</f>
        <v/>
      </c>
      <c r="BF29" s="3">
        <f>$B29*INDEX(Curves!$C$2:$BV$2,BF$2-24+1)</f>
        <v/>
      </c>
      <c r="BG29" s="3">
        <f>$B29*INDEX(Curves!$C$2:$BV$2,BG$2-24+1)</f>
        <v/>
      </c>
      <c r="BH29" s="3">
        <f>$B29*INDEX(Curves!$C$2:$BV$2,BH$2-24+1)</f>
        <v/>
      </c>
      <c r="BI29" s="3">
        <f>$B29*INDEX(Curves!$C$2:$BV$2,BI$2-24+1)</f>
        <v/>
      </c>
      <c r="BJ29" s="3">
        <f>$B29*INDEX(Curves!$C$2:$BV$2,BJ$2-24+1)</f>
        <v/>
      </c>
      <c r="BK29" s="3">
        <f>$B29*INDEX(Curves!$C$2:$BV$2,BK$2-24+1)</f>
        <v/>
      </c>
      <c r="BL29" s="3">
        <f>$B29*INDEX(Curves!$C$2:$BV$2,BL$2-24+1)</f>
        <v/>
      </c>
      <c r="BM29" s="3">
        <f>$B29*INDEX(Curves!$C$2:$BV$2,BM$2-24+1)</f>
        <v/>
      </c>
      <c r="BN29" s="3">
        <f>$B29*INDEX(Curves!$C$2:$BV$2,BN$2-24+1)</f>
        <v/>
      </c>
      <c r="BO29" s="3">
        <f>$B29*INDEX(Curves!$C$2:$BV$2,BO$2-24+1)</f>
        <v/>
      </c>
      <c r="BP29" s="3">
        <f>$B29*INDEX(Curves!$C$2:$BV$2,BP$2-24+1)</f>
        <v/>
      </c>
      <c r="BQ29" s="3">
        <f>$B29*INDEX(Curves!$C$2:$BV$2,BQ$2-24+1)</f>
        <v/>
      </c>
      <c r="BR29" s="3">
        <f>$B29*INDEX(Curves!$C$2:$BV$2,BR$2-24+1)</f>
        <v/>
      </c>
      <c r="BS29" s="3">
        <f>$B29*INDEX(Curves!$C$2:$BV$2,BS$2-24+1)</f>
        <v/>
      </c>
      <c r="BT29" s="3">
        <f>$B29*INDEX(Curves!$C$2:$BV$2,BT$2-24+1)</f>
        <v/>
      </c>
      <c r="BU29" s="3">
        <f>$B29*INDEX(Curves!$C$2:$BV$2,BU$2-24+1)</f>
        <v/>
      </c>
      <c r="BV29" s="3">
        <f>$B29*INDEX(Curves!$C$2:$BV$2,BV$2-24+1)</f>
        <v/>
      </c>
    </row>
    <row r="30">
      <c r="A30" t="inlineStr">
        <is>
          <t>cohort 2027-02</t>
        </is>
      </c>
      <c r="B30" s="3">
        <f>INDEX(Adds!$C$12:$BV$12,26)</f>
        <v/>
      </c>
      <c r="AB30" s="3">
        <f>$B30*INDEX(Curves!$C$2:$BV$2,AB$2-25+1)</f>
        <v/>
      </c>
      <c r="AC30" s="3">
        <f>$B30*INDEX(Curves!$C$2:$BV$2,AC$2-25+1)</f>
        <v/>
      </c>
      <c r="AD30" s="3">
        <f>$B30*INDEX(Curves!$C$2:$BV$2,AD$2-25+1)</f>
        <v/>
      </c>
      <c r="AE30" s="3">
        <f>$B30*INDEX(Curves!$C$2:$BV$2,AE$2-25+1)</f>
        <v/>
      </c>
      <c r="AF30" s="3">
        <f>$B30*INDEX(Curves!$C$2:$BV$2,AF$2-25+1)</f>
        <v/>
      </c>
      <c r="AG30" s="3">
        <f>$B30*INDEX(Curves!$C$2:$BV$2,AG$2-25+1)</f>
        <v/>
      </c>
      <c r="AH30" s="3">
        <f>$B30*INDEX(Curves!$C$2:$BV$2,AH$2-25+1)</f>
        <v/>
      </c>
      <c r="AI30" s="3">
        <f>$B30*INDEX(Curves!$C$2:$BV$2,AI$2-25+1)</f>
        <v/>
      </c>
      <c r="AJ30" s="3">
        <f>$B30*INDEX(Curves!$C$2:$BV$2,AJ$2-25+1)</f>
        <v/>
      </c>
      <c r="AK30" s="3">
        <f>$B30*INDEX(Curves!$C$2:$BV$2,AK$2-25+1)</f>
        <v/>
      </c>
      <c r="AL30" s="3">
        <f>$B30*INDEX(Curves!$C$2:$BV$2,AL$2-25+1)</f>
        <v/>
      </c>
      <c r="AM30" s="3">
        <f>$B30*INDEX(Curves!$C$2:$BV$2,AM$2-25+1)</f>
        <v/>
      </c>
      <c r="AN30" s="3">
        <f>$B30*INDEX(Curves!$C$2:$BV$2,AN$2-25+1)</f>
        <v/>
      </c>
      <c r="AO30" s="3">
        <f>$B30*INDEX(Curves!$C$2:$BV$2,AO$2-25+1)</f>
        <v/>
      </c>
      <c r="AP30" s="3">
        <f>$B30*INDEX(Curves!$C$2:$BV$2,AP$2-25+1)</f>
        <v/>
      </c>
      <c r="AQ30" s="3">
        <f>$B30*INDEX(Curves!$C$2:$BV$2,AQ$2-25+1)</f>
        <v/>
      </c>
      <c r="AR30" s="3">
        <f>$B30*INDEX(Curves!$C$2:$BV$2,AR$2-25+1)</f>
        <v/>
      </c>
      <c r="AS30" s="3">
        <f>$B30*INDEX(Curves!$C$2:$BV$2,AS$2-25+1)</f>
        <v/>
      </c>
      <c r="AT30" s="3">
        <f>$B30*INDEX(Curves!$C$2:$BV$2,AT$2-25+1)</f>
        <v/>
      </c>
      <c r="AU30" s="3">
        <f>$B30*INDEX(Curves!$C$2:$BV$2,AU$2-25+1)</f>
        <v/>
      </c>
      <c r="AV30" s="3">
        <f>$B30*INDEX(Curves!$C$2:$BV$2,AV$2-25+1)</f>
        <v/>
      </c>
      <c r="AW30" s="3">
        <f>$B30*INDEX(Curves!$C$2:$BV$2,AW$2-25+1)</f>
        <v/>
      </c>
      <c r="AX30" s="3">
        <f>$B30*INDEX(Curves!$C$2:$BV$2,AX$2-25+1)</f>
        <v/>
      </c>
      <c r="AY30" s="3">
        <f>$B30*INDEX(Curves!$C$2:$BV$2,AY$2-25+1)</f>
        <v/>
      </c>
      <c r="AZ30" s="3">
        <f>$B30*INDEX(Curves!$C$2:$BV$2,AZ$2-25+1)</f>
        <v/>
      </c>
      <c r="BA30" s="3">
        <f>$B30*INDEX(Curves!$C$2:$BV$2,BA$2-25+1)</f>
        <v/>
      </c>
      <c r="BB30" s="3">
        <f>$B30*INDEX(Curves!$C$2:$BV$2,BB$2-25+1)</f>
        <v/>
      </c>
      <c r="BC30" s="3">
        <f>$B30*INDEX(Curves!$C$2:$BV$2,BC$2-25+1)</f>
        <v/>
      </c>
      <c r="BD30" s="3">
        <f>$B30*INDEX(Curves!$C$2:$BV$2,BD$2-25+1)</f>
        <v/>
      </c>
      <c r="BE30" s="3">
        <f>$B30*INDEX(Curves!$C$2:$BV$2,BE$2-25+1)</f>
        <v/>
      </c>
      <c r="BF30" s="3">
        <f>$B30*INDEX(Curves!$C$2:$BV$2,BF$2-25+1)</f>
        <v/>
      </c>
      <c r="BG30" s="3">
        <f>$B30*INDEX(Curves!$C$2:$BV$2,BG$2-25+1)</f>
        <v/>
      </c>
      <c r="BH30" s="3">
        <f>$B30*INDEX(Curves!$C$2:$BV$2,BH$2-25+1)</f>
        <v/>
      </c>
      <c r="BI30" s="3">
        <f>$B30*INDEX(Curves!$C$2:$BV$2,BI$2-25+1)</f>
        <v/>
      </c>
      <c r="BJ30" s="3">
        <f>$B30*INDEX(Curves!$C$2:$BV$2,BJ$2-25+1)</f>
        <v/>
      </c>
      <c r="BK30" s="3">
        <f>$B30*INDEX(Curves!$C$2:$BV$2,BK$2-25+1)</f>
        <v/>
      </c>
      <c r="BL30" s="3">
        <f>$B30*INDEX(Curves!$C$2:$BV$2,BL$2-25+1)</f>
        <v/>
      </c>
      <c r="BM30" s="3">
        <f>$B30*INDEX(Curves!$C$2:$BV$2,BM$2-25+1)</f>
        <v/>
      </c>
      <c r="BN30" s="3">
        <f>$B30*INDEX(Curves!$C$2:$BV$2,BN$2-25+1)</f>
        <v/>
      </c>
      <c r="BO30" s="3">
        <f>$B30*INDEX(Curves!$C$2:$BV$2,BO$2-25+1)</f>
        <v/>
      </c>
      <c r="BP30" s="3">
        <f>$B30*INDEX(Curves!$C$2:$BV$2,BP$2-25+1)</f>
        <v/>
      </c>
      <c r="BQ30" s="3">
        <f>$B30*INDEX(Curves!$C$2:$BV$2,BQ$2-25+1)</f>
        <v/>
      </c>
      <c r="BR30" s="3">
        <f>$B30*INDEX(Curves!$C$2:$BV$2,BR$2-25+1)</f>
        <v/>
      </c>
      <c r="BS30" s="3">
        <f>$B30*INDEX(Curves!$C$2:$BV$2,BS$2-25+1)</f>
        <v/>
      </c>
      <c r="BT30" s="3">
        <f>$B30*INDEX(Curves!$C$2:$BV$2,BT$2-25+1)</f>
        <v/>
      </c>
      <c r="BU30" s="3">
        <f>$B30*INDEX(Curves!$C$2:$BV$2,BU$2-25+1)</f>
        <v/>
      </c>
      <c r="BV30" s="3">
        <f>$B30*INDEX(Curves!$C$2:$BV$2,BV$2-25+1)</f>
        <v/>
      </c>
    </row>
    <row r="31">
      <c r="A31" t="inlineStr">
        <is>
          <t>cohort 2027-03</t>
        </is>
      </c>
      <c r="B31" s="3">
        <f>INDEX(Adds!$C$12:$BV$12,27)</f>
        <v/>
      </c>
      <c r="AC31" s="3">
        <f>$B31*INDEX(Curves!$C$2:$BV$2,AC$2-26+1)</f>
        <v/>
      </c>
      <c r="AD31" s="3">
        <f>$B31*INDEX(Curves!$C$2:$BV$2,AD$2-26+1)</f>
        <v/>
      </c>
      <c r="AE31" s="3">
        <f>$B31*INDEX(Curves!$C$2:$BV$2,AE$2-26+1)</f>
        <v/>
      </c>
      <c r="AF31" s="3">
        <f>$B31*INDEX(Curves!$C$2:$BV$2,AF$2-26+1)</f>
        <v/>
      </c>
      <c r="AG31" s="3">
        <f>$B31*INDEX(Curves!$C$2:$BV$2,AG$2-26+1)</f>
        <v/>
      </c>
      <c r="AH31" s="3">
        <f>$B31*INDEX(Curves!$C$2:$BV$2,AH$2-26+1)</f>
        <v/>
      </c>
      <c r="AI31" s="3">
        <f>$B31*INDEX(Curves!$C$2:$BV$2,AI$2-26+1)</f>
        <v/>
      </c>
      <c r="AJ31" s="3">
        <f>$B31*INDEX(Curves!$C$2:$BV$2,AJ$2-26+1)</f>
        <v/>
      </c>
      <c r="AK31" s="3">
        <f>$B31*INDEX(Curves!$C$2:$BV$2,AK$2-26+1)</f>
        <v/>
      </c>
      <c r="AL31" s="3">
        <f>$B31*INDEX(Curves!$C$2:$BV$2,AL$2-26+1)</f>
        <v/>
      </c>
      <c r="AM31" s="3">
        <f>$B31*INDEX(Curves!$C$2:$BV$2,AM$2-26+1)</f>
        <v/>
      </c>
      <c r="AN31" s="3">
        <f>$B31*INDEX(Curves!$C$2:$BV$2,AN$2-26+1)</f>
        <v/>
      </c>
      <c r="AO31" s="3">
        <f>$B31*INDEX(Curves!$C$2:$BV$2,AO$2-26+1)</f>
        <v/>
      </c>
      <c r="AP31" s="3">
        <f>$B31*INDEX(Curves!$C$2:$BV$2,AP$2-26+1)</f>
        <v/>
      </c>
      <c r="AQ31" s="3">
        <f>$B31*INDEX(Curves!$C$2:$BV$2,AQ$2-26+1)</f>
        <v/>
      </c>
      <c r="AR31" s="3">
        <f>$B31*INDEX(Curves!$C$2:$BV$2,AR$2-26+1)</f>
        <v/>
      </c>
      <c r="AS31" s="3">
        <f>$B31*INDEX(Curves!$C$2:$BV$2,AS$2-26+1)</f>
        <v/>
      </c>
      <c r="AT31" s="3">
        <f>$B31*INDEX(Curves!$C$2:$BV$2,AT$2-26+1)</f>
        <v/>
      </c>
      <c r="AU31" s="3">
        <f>$B31*INDEX(Curves!$C$2:$BV$2,AU$2-26+1)</f>
        <v/>
      </c>
      <c r="AV31" s="3">
        <f>$B31*INDEX(Curves!$C$2:$BV$2,AV$2-26+1)</f>
        <v/>
      </c>
      <c r="AW31" s="3">
        <f>$B31*INDEX(Curves!$C$2:$BV$2,AW$2-26+1)</f>
        <v/>
      </c>
      <c r="AX31" s="3">
        <f>$B31*INDEX(Curves!$C$2:$BV$2,AX$2-26+1)</f>
        <v/>
      </c>
      <c r="AY31" s="3">
        <f>$B31*INDEX(Curves!$C$2:$BV$2,AY$2-26+1)</f>
        <v/>
      </c>
      <c r="AZ31" s="3">
        <f>$B31*INDEX(Curves!$C$2:$BV$2,AZ$2-26+1)</f>
        <v/>
      </c>
      <c r="BA31" s="3">
        <f>$B31*INDEX(Curves!$C$2:$BV$2,BA$2-26+1)</f>
        <v/>
      </c>
      <c r="BB31" s="3">
        <f>$B31*INDEX(Curves!$C$2:$BV$2,BB$2-26+1)</f>
        <v/>
      </c>
      <c r="BC31" s="3">
        <f>$B31*INDEX(Curves!$C$2:$BV$2,BC$2-26+1)</f>
        <v/>
      </c>
      <c r="BD31" s="3">
        <f>$B31*INDEX(Curves!$C$2:$BV$2,BD$2-26+1)</f>
        <v/>
      </c>
      <c r="BE31" s="3">
        <f>$B31*INDEX(Curves!$C$2:$BV$2,BE$2-26+1)</f>
        <v/>
      </c>
      <c r="BF31" s="3">
        <f>$B31*INDEX(Curves!$C$2:$BV$2,BF$2-26+1)</f>
        <v/>
      </c>
      <c r="BG31" s="3">
        <f>$B31*INDEX(Curves!$C$2:$BV$2,BG$2-26+1)</f>
        <v/>
      </c>
      <c r="BH31" s="3">
        <f>$B31*INDEX(Curves!$C$2:$BV$2,BH$2-26+1)</f>
        <v/>
      </c>
      <c r="BI31" s="3">
        <f>$B31*INDEX(Curves!$C$2:$BV$2,BI$2-26+1)</f>
        <v/>
      </c>
      <c r="BJ31" s="3">
        <f>$B31*INDEX(Curves!$C$2:$BV$2,BJ$2-26+1)</f>
        <v/>
      </c>
      <c r="BK31" s="3">
        <f>$B31*INDEX(Curves!$C$2:$BV$2,BK$2-26+1)</f>
        <v/>
      </c>
      <c r="BL31" s="3">
        <f>$B31*INDEX(Curves!$C$2:$BV$2,BL$2-26+1)</f>
        <v/>
      </c>
      <c r="BM31" s="3">
        <f>$B31*INDEX(Curves!$C$2:$BV$2,BM$2-26+1)</f>
        <v/>
      </c>
      <c r="BN31" s="3">
        <f>$B31*INDEX(Curves!$C$2:$BV$2,BN$2-26+1)</f>
        <v/>
      </c>
      <c r="BO31" s="3">
        <f>$B31*INDEX(Curves!$C$2:$BV$2,BO$2-26+1)</f>
        <v/>
      </c>
      <c r="BP31" s="3">
        <f>$B31*INDEX(Curves!$C$2:$BV$2,BP$2-26+1)</f>
        <v/>
      </c>
      <c r="BQ31" s="3">
        <f>$B31*INDEX(Curves!$C$2:$BV$2,BQ$2-26+1)</f>
        <v/>
      </c>
      <c r="BR31" s="3">
        <f>$B31*INDEX(Curves!$C$2:$BV$2,BR$2-26+1)</f>
        <v/>
      </c>
      <c r="BS31" s="3">
        <f>$B31*INDEX(Curves!$C$2:$BV$2,BS$2-26+1)</f>
        <v/>
      </c>
      <c r="BT31" s="3">
        <f>$B31*INDEX(Curves!$C$2:$BV$2,BT$2-26+1)</f>
        <v/>
      </c>
      <c r="BU31" s="3">
        <f>$B31*INDEX(Curves!$C$2:$BV$2,BU$2-26+1)</f>
        <v/>
      </c>
      <c r="BV31" s="3">
        <f>$B31*INDEX(Curves!$C$2:$BV$2,BV$2-26+1)</f>
        <v/>
      </c>
    </row>
    <row r="32">
      <c r="A32" t="inlineStr">
        <is>
          <t>cohort 2027-04</t>
        </is>
      </c>
      <c r="B32" s="3">
        <f>INDEX(Adds!$C$12:$BV$12,28)</f>
        <v/>
      </c>
      <c r="AD32" s="3">
        <f>$B32*INDEX(Curves!$C$2:$BV$2,AD$2-27+1)</f>
        <v/>
      </c>
      <c r="AE32" s="3">
        <f>$B32*INDEX(Curves!$C$2:$BV$2,AE$2-27+1)</f>
        <v/>
      </c>
      <c r="AF32" s="3">
        <f>$B32*INDEX(Curves!$C$2:$BV$2,AF$2-27+1)</f>
        <v/>
      </c>
      <c r="AG32" s="3">
        <f>$B32*INDEX(Curves!$C$2:$BV$2,AG$2-27+1)</f>
        <v/>
      </c>
      <c r="AH32" s="3">
        <f>$B32*INDEX(Curves!$C$2:$BV$2,AH$2-27+1)</f>
        <v/>
      </c>
      <c r="AI32" s="3">
        <f>$B32*INDEX(Curves!$C$2:$BV$2,AI$2-27+1)</f>
        <v/>
      </c>
      <c r="AJ32" s="3">
        <f>$B32*INDEX(Curves!$C$2:$BV$2,AJ$2-27+1)</f>
        <v/>
      </c>
      <c r="AK32" s="3">
        <f>$B32*INDEX(Curves!$C$2:$BV$2,AK$2-27+1)</f>
        <v/>
      </c>
      <c r="AL32" s="3">
        <f>$B32*INDEX(Curves!$C$2:$BV$2,AL$2-27+1)</f>
        <v/>
      </c>
      <c r="AM32" s="3">
        <f>$B32*INDEX(Curves!$C$2:$BV$2,AM$2-27+1)</f>
        <v/>
      </c>
      <c r="AN32" s="3">
        <f>$B32*INDEX(Curves!$C$2:$BV$2,AN$2-27+1)</f>
        <v/>
      </c>
      <c r="AO32" s="3">
        <f>$B32*INDEX(Curves!$C$2:$BV$2,AO$2-27+1)</f>
        <v/>
      </c>
      <c r="AP32" s="3">
        <f>$B32*INDEX(Curves!$C$2:$BV$2,AP$2-27+1)</f>
        <v/>
      </c>
      <c r="AQ32" s="3">
        <f>$B32*INDEX(Curves!$C$2:$BV$2,AQ$2-27+1)</f>
        <v/>
      </c>
      <c r="AR32" s="3">
        <f>$B32*INDEX(Curves!$C$2:$BV$2,AR$2-27+1)</f>
        <v/>
      </c>
      <c r="AS32" s="3">
        <f>$B32*INDEX(Curves!$C$2:$BV$2,AS$2-27+1)</f>
        <v/>
      </c>
      <c r="AT32" s="3">
        <f>$B32*INDEX(Curves!$C$2:$BV$2,AT$2-27+1)</f>
        <v/>
      </c>
      <c r="AU32" s="3">
        <f>$B32*INDEX(Curves!$C$2:$BV$2,AU$2-27+1)</f>
        <v/>
      </c>
      <c r="AV32" s="3">
        <f>$B32*INDEX(Curves!$C$2:$BV$2,AV$2-27+1)</f>
        <v/>
      </c>
      <c r="AW32" s="3">
        <f>$B32*INDEX(Curves!$C$2:$BV$2,AW$2-27+1)</f>
        <v/>
      </c>
      <c r="AX32" s="3">
        <f>$B32*INDEX(Curves!$C$2:$BV$2,AX$2-27+1)</f>
        <v/>
      </c>
      <c r="AY32" s="3">
        <f>$B32*INDEX(Curves!$C$2:$BV$2,AY$2-27+1)</f>
        <v/>
      </c>
      <c r="AZ32" s="3">
        <f>$B32*INDEX(Curves!$C$2:$BV$2,AZ$2-27+1)</f>
        <v/>
      </c>
      <c r="BA32" s="3">
        <f>$B32*INDEX(Curves!$C$2:$BV$2,BA$2-27+1)</f>
        <v/>
      </c>
      <c r="BB32" s="3">
        <f>$B32*INDEX(Curves!$C$2:$BV$2,BB$2-27+1)</f>
        <v/>
      </c>
      <c r="BC32" s="3">
        <f>$B32*INDEX(Curves!$C$2:$BV$2,BC$2-27+1)</f>
        <v/>
      </c>
      <c r="BD32" s="3">
        <f>$B32*INDEX(Curves!$C$2:$BV$2,BD$2-27+1)</f>
        <v/>
      </c>
      <c r="BE32" s="3">
        <f>$B32*INDEX(Curves!$C$2:$BV$2,BE$2-27+1)</f>
        <v/>
      </c>
      <c r="BF32" s="3">
        <f>$B32*INDEX(Curves!$C$2:$BV$2,BF$2-27+1)</f>
        <v/>
      </c>
      <c r="BG32" s="3">
        <f>$B32*INDEX(Curves!$C$2:$BV$2,BG$2-27+1)</f>
        <v/>
      </c>
      <c r="BH32" s="3">
        <f>$B32*INDEX(Curves!$C$2:$BV$2,BH$2-27+1)</f>
        <v/>
      </c>
      <c r="BI32" s="3">
        <f>$B32*INDEX(Curves!$C$2:$BV$2,BI$2-27+1)</f>
        <v/>
      </c>
      <c r="BJ32" s="3">
        <f>$B32*INDEX(Curves!$C$2:$BV$2,BJ$2-27+1)</f>
        <v/>
      </c>
      <c r="BK32" s="3">
        <f>$B32*INDEX(Curves!$C$2:$BV$2,BK$2-27+1)</f>
        <v/>
      </c>
      <c r="BL32" s="3">
        <f>$B32*INDEX(Curves!$C$2:$BV$2,BL$2-27+1)</f>
        <v/>
      </c>
      <c r="BM32" s="3">
        <f>$B32*INDEX(Curves!$C$2:$BV$2,BM$2-27+1)</f>
        <v/>
      </c>
      <c r="BN32" s="3">
        <f>$B32*INDEX(Curves!$C$2:$BV$2,BN$2-27+1)</f>
        <v/>
      </c>
      <c r="BO32" s="3">
        <f>$B32*INDEX(Curves!$C$2:$BV$2,BO$2-27+1)</f>
        <v/>
      </c>
      <c r="BP32" s="3">
        <f>$B32*INDEX(Curves!$C$2:$BV$2,BP$2-27+1)</f>
        <v/>
      </c>
      <c r="BQ32" s="3">
        <f>$B32*INDEX(Curves!$C$2:$BV$2,BQ$2-27+1)</f>
        <v/>
      </c>
      <c r="BR32" s="3">
        <f>$B32*INDEX(Curves!$C$2:$BV$2,BR$2-27+1)</f>
        <v/>
      </c>
      <c r="BS32" s="3">
        <f>$B32*INDEX(Curves!$C$2:$BV$2,BS$2-27+1)</f>
        <v/>
      </c>
      <c r="BT32" s="3">
        <f>$B32*INDEX(Curves!$C$2:$BV$2,BT$2-27+1)</f>
        <v/>
      </c>
      <c r="BU32" s="3">
        <f>$B32*INDEX(Curves!$C$2:$BV$2,BU$2-27+1)</f>
        <v/>
      </c>
      <c r="BV32" s="3">
        <f>$B32*INDEX(Curves!$C$2:$BV$2,BV$2-27+1)</f>
        <v/>
      </c>
    </row>
    <row r="33">
      <c r="A33" t="inlineStr">
        <is>
          <t>cohort 2027-05</t>
        </is>
      </c>
      <c r="B33" s="3">
        <f>INDEX(Adds!$C$12:$BV$12,29)</f>
        <v/>
      </c>
      <c r="AE33" s="3">
        <f>$B33*INDEX(Curves!$C$2:$BV$2,AE$2-28+1)</f>
        <v/>
      </c>
      <c r="AF33" s="3">
        <f>$B33*INDEX(Curves!$C$2:$BV$2,AF$2-28+1)</f>
        <v/>
      </c>
      <c r="AG33" s="3">
        <f>$B33*INDEX(Curves!$C$2:$BV$2,AG$2-28+1)</f>
        <v/>
      </c>
      <c r="AH33" s="3">
        <f>$B33*INDEX(Curves!$C$2:$BV$2,AH$2-28+1)</f>
        <v/>
      </c>
      <c r="AI33" s="3">
        <f>$B33*INDEX(Curves!$C$2:$BV$2,AI$2-28+1)</f>
        <v/>
      </c>
      <c r="AJ33" s="3">
        <f>$B33*INDEX(Curves!$C$2:$BV$2,AJ$2-28+1)</f>
        <v/>
      </c>
      <c r="AK33" s="3">
        <f>$B33*INDEX(Curves!$C$2:$BV$2,AK$2-28+1)</f>
        <v/>
      </c>
      <c r="AL33" s="3">
        <f>$B33*INDEX(Curves!$C$2:$BV$2,AL$2-28+1)</f>
        <v/>
      </c>
      <c r="AM33" s="3">
        <f>$B33*INDEX(Curves!$C$2:$BV$2,AM$2-28+1)</f>
        <v/>
      </c>
      <c r="AN33" s="3">
        <f>$B33*INDEX(Curves!$C$2:$BV$2,AN$2-28+1)</f>
        <v/>
      </c>
      <c r="AO33" s="3">
        <f>$B33*INDEX(Curves!$C$2:$BV$2,AO$2-28+1)</f>
        <v/>
      </c>
      <c r="AP33" s="3">
        <f>$B33*INDEX(Curves!$C$2:$BV$2,AP$2-28+1)</f>
        <v/>
      </c>
      <c r="AQ33" s="3">
        <f>$B33*INDEX(Curves!$C$2:$BV$2,AQ$2-28+1)</f>
        <v/>
      </c>
      <c r="AR33" s="3">
        <f>$B33*INDEX(Curves!$C$2:$BV$2,AR$2-28+1)</f>
        <v/>
      </c>
      <c r="AS33" s="3">
        <f>$B33*INDEX(Curves!$C$2:$BV$2,AS$2-28+1)</f>
        <v/>
      </c>
      <c r="AT33" s="3">
        <f>$B33*INDEX(Curves!$C$2:$BV$2,AT$2-28+1)</f>
        <v/>
      </c>
      <c r="AU33" s="3">
        <f>$B33*INDEX(Curves!$C$2:$BV$2,AU$2-28+1)</f>
        <v/>
      </c>
      <c r="AV33" s="3">
        <f>$B33*INDEX(Curves!$C$2:$BV$2,AV$2-28+1)</f>
        <v/>
      </c>
      <c r="AW33" s="3">
        <f>$B33*INDEX(Curves!$C$2:$BV$2,AW$2-28+1)</f>
        <v/>
      </c>
      <c r="AX33" s="3">
        <f>$B33*INDEX(Curves!$C$2:$BV$2,AX$2-28+1)</f>
        <v/>
      </c>
      <c r="AY33" s="3">
        <f>$B33*INDEX(Curves!$C$2:$BV$2,AY$2-28+1)</f>
        <v/>
      </c>
      <c r="AZ33" s="3">
        <f>$B33*INDEX(Curves!$C$2:$BV$2,AZ$2-28+1)</f>
        <v/>
      </c>
      <c r="BA33" s="3">
        <f>$B33*INDEX(Curves!$C$2:$BV$2,BA$2-28+1)</f>
        <v/>
      </c>
      <c r="BB33" s="3">
        <f>$B33*INDEX(Curves!$C$2:$BV$2,BB$2-28+1)</f>
        <v/>
      </c>
      <c r="BC33" s="3">
        <f>$B33*INDEX(Curves!$C$2:$BV$2,BC$2-28+1)</f>
        <v/>
      </c>
      <c r="BD33" s="3">
        <f>$B33*INDEX(Curves!$C$2:$BV$2,BD$2-28+1)</f>
        <v/>
      </c>
      <c r="BE33" s="3">
        <f>$B33*INDEX(Curves!$C$2:$BV$2,BE$2-28+1)</f>
        <v/>
      </c>
      <c r="BF33" s="3">
        <f>$B33*INDEX(Curves!$C$2:$BV$2,BF$2-28+1)</f>
        <v/>
      </c>
      <c r="BG33" s="3">
        <f>$B33*INDEX(Curves!$C$2:$BV$2,BG$2-28+1)</f>
        <v/>
      </c>
      <c r="BH33" s="3">
        <f>$B33*INDEX(Curves!$C$2:$BV$2,BH$2-28+1)</f>
        <v/>
      </c>
      <c r="BI33" s="3">
        <f>$B33*INDEX(Curves!$C$2:$BV$2,BI$2-28+1)</f>
        <v/>
      </c>
      <c r="BJ33" s="3">
        <f>$B33*INDEX(Curves!$C$2:$BV$2,BJ$2-28+1)</f>
        <v/>
      </c>
      <c r="BK33" s="3">
        <f>$B33*INDEX(Curves!$C$2:$BV$2,BK$2-28+1)</f>
        <v/>
      </c>
      <c r="BL33" s="3">
        <f>$B33*INDEX(Curves!$C$2:$BV$2,BL$2-28+1)</f>
        <v/>
      </c>
      <c r="BM33" s="3">
        <f>$B33*INDEX(Curves!$C$2:$BV$2,BM$2-28+1)</f>
        <v/>
      </c>
      <c r="BN33" s="3">
        <f>$B33*INDEX(Curves!$C$2:$BV$2,BN$2-28+1)</f>
        <v/>
      </c>
      <c r="BO33" s="3">
        <f>$B33*INDEX(Curves!$C$2:$BV$2,BO$2-28+1)</f>
        <v/>
      </c>
      <c r="BP33" s="3">
        <f>$B33*INDEX(Curves!$C$2:$BV$2,BP$2-28+1)</f>
        <v/>
      </c>
      <c r="BQ33" s="3">
        <f>$B33*INDEX(Curves!$C$2:$BV$2,BQ$2-28+1)</f>
        <v/>
      </c>
      <c r="BR33" s="3">
        <f>$B33*INDEX(Curves!$C$2:$BV$2,BR$2-28+1)</f>
        <v/>
      </c>
      <c r="BS33" s="3">
        <f>$B33*INDEX(Curves!$C$2:$BV$2,BS$2-28+1)</f>
        <v/>
      </c>
      <c r="BT33" s="3">
        <f>$B33*INDEX(Curves!$C$2:$BV$2,BT$2-28+1)</f>
        <v/>
      </c>
      <c r="BU33" s="3">
        <f>$B33*INDEX(Curves!$C$2:$BV$2,BU$2-28+1)</f>
        <v/>
      </c>
      <c r="BV33" s="3">
        <f>$B33*INDEX(Curves!$C$2:$BV$2,BV$2-28+1)</f>
        <v/>
      </c>
    </row>
    <row r="34">
      <c r="A34" t="inlineStr">
        <is>
          <t>cohort 2027-06</t>
        </is>
      </c>
      <c r="B34" s="3">
        <f>INDEX(Adds!$C$12:$BV$12,30)</f>
        <v/>
      </c>
      <c r="AF34" s="3">
        <f>$B34*INDEX(Curves!$C$2:$BV$2,AF$2-29+1)</f>
        <v/>
      </c>
      <c r="AG34" s="3">
        <f>$B34*INDEX(Curves!$C$2:$BV$2,AG$2-29+1)</f>
        <v/>
      </c>
      <c r="AH34" s="3">
        <f>$B34*INDEX(Curves!$C$2:$BV$2,AH$2-29+1)</f>
        <v/>
      </c>
      <c r="AI34" s="3">
        <f>$B34*INDEX(Curves!$C$2:$BV$2,AI$2-29+1)</f>
        <v/>
      </c>
      <c r="AJ34" s="3">
        <f>$B34*INDEX(Curves!$C$2:$BV$2,AJ$2-29+1)</f>
        <v/>
      </c>
      <c r="AK34" s="3">
        <f>$B34*INDEX(Curves!$C$2:$BV$2,AK$2-29+1)</f>
        <v/>
      </c>
      <c r="AL34" s="3">
        <f>$B34*INDEX(Curves!$C$2:$BV$2,AL$2-29+1)</f>
        <v/>
      </c>
      <c r="AM34" s="3">
        <f>$B34*INDEX(Curves!$C$2:$BV$2,AM$2-29+1)</f>
        <v/>
      </c>
      <c r="AN34" s="3">
        <f>$B34*INDEX(Curves!$C$2:$BV$2,AN$2-29+1)</f>
        <v/>
      </c>
      <c r="AO34" s="3">
        <f>$B34*INDEX(Curves!$C$2:$BV$2,AO$2-29+1)</f>
        <v/>
      </c>
      <c r="AP34" s="3">
        <f>$B34*INDEX(Curves!$C$2:$BV$2,AP$2-29+1)</f>
        <v/>
      </c>
      <c r="AQ34" s="3">
        <f>$B34*INDEX(Curves!$C$2:$BV$2,AQ$2-29+1)</f>
        <v/>
      </c>
      <c r="AR34" s="3">
        <f>$B34*INDEX(Curves!$C$2:$BV$2,AR$2-29+1)</f>
        <v/>
      </c>
      <c r="AS34" s="3">
        <f>$B34*INDEX(Curves!$C$2:$BV$2,AS$2-29+1)</f>
        <v/>
      </c>
      <c r="AT34" s="3">
        <f>$B34*INDEX(Curves!$C$2:$BV$2,AT$2-29+1)</f>
        <v/>
      </c>
      <c r="AU34" s="3">
        <f>$B34*INDEX(Curves!$C$2:$BV$2,AU$2-29+1)</f>
        <v/>
      </c>
      <c r="AV34" s="3">
        <f>$B34*INDEX(Curves!$C$2:$BV$2,AV$2-29+1)</f>
        <v/>
      </c>
      <c r="AW34" s="3">
        <f>$B34*INDEX(Curves!$C$2:$BV$2,AW$2-29+1)</f>
        <v/>
      </c>
      <c r="AX34" s="3">
        <f>$B34*INDEX(Curves!$C$2:$BV$2,AX$2-29+1)</f>
        <v/>
      </c>
      <c r="AY34" s="3">
        <f>$B34*INDEX(Curves!$C$2:$BV$2,AY$2-29+1)</f>
        <v/>
      </c>
      <c r="AZ34" s="3">
        <f>$B34*INDEX(Curves!$C$2:$BV$2,AZ$2-29+1)</f>
        <v/>
      </c>
      <c r="BA34" s="3">
        <f>$B34*INDEX(Curves!$C$2:$BV$2,BA$2-29+1)</f>
        <v/>
      </c>
      <c r="BB34" s="3">
        <f>$B34*INDEX(Curves!$C$2:$BV$2,BB$2-29+1)</f>
        <v/>
      </c>
      <c r="BC34" s="3">
        <f>$B34*INDEX(Curves!$C$2:$BV$2,BC$2-29+1)</f>
        <v/>
      </c>
      <c r="BD34" s="3">
        <f>$B34*INDEX(Curves!$C$2:$BV$2,BD$2-29+1)</f>
        <v/>
      </c>
      <c r="BE34" s="3">
        <f>$B34*INDEX(Curves!$C$2:$BV$2,BE$2-29+1)</f>
        <v/>
      </c>
      <c r="BF34" s="3">
        <f>$B34*INDEX(Curves!$C$2:$BV$2,BF$2-29+1)</f>
        <v/>
      </c>
      <c r="BG34" s="3">
        <f>$B34*INDEX(Curves!$C$2:$BV$2,BG$2-29+1)</f>
        <v/>
      </c>
      <c r="BH34" s="3">
        <f>$B34*INDEX(Curves!$C$2:$BV$2,BH$2-29+1)</f>
        <v/>
      </c>
      <c r="BI34" s="3">
        <f>$B34*INDEX(Curves!$C$2:$BV$2,BI$2-29+1)</f>
        <v/>
      </c>
      <c r="BJ34" s="3">
        <f>$B34*INDEX(Curves!$C$2:$BV$2,BJ$2-29+1)</f>
        <v/>
      </c>
      <c r="BK34" s="3">
        <f>$B34*INDEX(Curves!$C$2:$BV$2,BK$2-29+1)</f>
        <v/>
      </c>
      <c r="BL34" s="3">
        <f>$B34*INDEX(Curves!$C$2:$BV$2,BL$2-29+1)</f>
        <v/>
      </c>
      <c r="BM34" s="3">
        <f>$B34*INDEX(Curves!$C$2:$BV$2,BM$2-29+1)</f>
        <v/>
      </c>
      <c r="BN34" s="3">
        <f>$B34*INDEX(Curves!$C$2:$BV$2,BN$2-29+1)</f>
        <v/>
      </c>
      <c r="BO34" s="3">
        <f>$B34*INDEX(Curves!$C$2:$BV$2,BO$2-29+1)</f>
        <v/>
      </c>
      <c r="BP34" s="3">
        <f>$B34*INDEX(Curves!$C$2:$BV$2,BP$2-29+1)</f>
        <v/>
      </c>
      <c r="BQ34" s="3">
        <f>$B34*INDEX(Curves!$C$2:$BV$2,BQ$2-29+1)</f>
        <v/>
      </c>
      <c r="BR34" s="3">
        <f>$B34*INDEX(Curves!$C$2:$BV$2,BR$2-29+1)</f>
        <v/>
      </c>
      <c r="BS34" s="3">
        <f>$B34*INDEX(Curves!$C$2:$BV$2,BS$2-29+1)</f>
        <v/>
      </c>
      <c r="BT34" s="3">
        <f>$B34*INDEX(Curves!$C$2:$BV$2,BT$2-29+1)</f>
        <v/>
      </c>
      <c r="BU34" s="3">
        <f>$B34*INDEX(Curves!$C$2:$BV$2,BU$2-29+1)</f>
        <v/>
      </c>
      <c r="BV34" s="3">
        <f>$B34*INDEX(Curves!$C$2:$BV$2,BV$2-29+1)</f>
        <v/>
      </c>
    </row>
    <row r="35">
      <c r="A35" t="inlineStr">
        <is>
          <t>cohort 2027-07</t>
        </is>
      </c>
      <c r="B35" s="3">
        <f>INDEX(Adds!$C$12:$BV$12,31)</f>
        <v/>
      </c>
      <c r="AG35" s="3">
        <f>$B35*INDEX(Curves!$C$2:$BV$2,AG$2-30+1)</f>
        <v/>
      </c>
      <c r="AH35" s="3">
        <f>$B35*INDEX(Curves!$C$2:$BV$2,AH$2-30+1)</f>
        <v/>
      </c>
      <c r="AI35" s="3">
        <f>$B35*INDEX(Curves!$C$2:$BV$2,AI$2-30+1)</f>
        <v/>
      </c>
      <c r="AJ35" s="3">
        <f>$B35*INDEX(Curves!$C$2:$BV$2,AJ$2-30+1)</f>
        <v/>
      </c>
      <c r="AK35" s="3">
        <f>$B35*INDEX(Curves!$C$2:$BV$2,AK$2-30+1)</f>
        <v/>
      </c>
      <c r="AL35" s="3">
        <f>$B35*INDEX(Curves!$C$2:$BV$2,AL$2-30+1)</f>
        <v/>
      </c>
      <c r="AM35" s="3">
        <f>$B35*INDEX(Curves!$C$2:$BV$2,AM$2-30+1)</f>
        <v/>
      </c>
      <c r="AN35" s="3">
        <f>$B35*INDEX(Curves!$C$2:$BV$2,AN$2-30+1)</f>
        <v/>
      </c>
      <c r="AO35" s="3">
        <f>$B35*INDEX(Curves!$C$2:$BV$2,AO$2-30+1)</f>
        <v/>
      </c>
      <c r="AP35" s="3">
        <f>$B35*INDEX(Curves!$C$2:$BV$2,AP$2-30+1)</f>
        <v/>
      </c>
      <c r="AQ35" s="3">
        <f>$B35*INDEX(Curves!$C$2:$BV$2,AQ$2-30+1)</f>
        <v/>
      </c>
      <c r="AR35" s="3">
        <f>$B35*INDEX(Curves!$C$2:$BV$2,AR$2-30+1)</f>
        <v/>
      </c>
      <c r="AS35" s="3">
        <f>$B35*INDEX(Curves!$C$2:$BV$2,AS$2-30+1)</f>
        <v/>
      </c>
      <c r="AT35" s="3">
        <f>$B35*INDEX(Curves!$C$2:$BV$2,AT$2-30+1)</f>
        <v/>
      </c>
      <c r="AU35" s="3">
        <f>$B35*INDEX(Curves!$C$2:$BV$2,AU$2-30+1)</f>
        <v/>
      </c>
      <c r="AV35" s="3">
        <f>$B35*INDEX(Curves!$C$2:$BV$2,AV$2-30+1)</f>
        <v/>
      </c>
      <c r="AW35" s="3">
        <f>$B35*INDEX(Curves!$C$2:$BV$2,AW$2-30+1)</f>
        <v/>
      </c>
      <c r="AX35" s="3">
        <f>$B35*INDEX(Curves!$C$2:$BV$2,AX$2-30+1)</f>
        <v/>
      </c>
      <c r="AY35" s="3">
        <f>$B35*INDEX(Curves!$C$2:$BV$2,AY$2-30+1)</f>
        <v/>
      </c>
      <c r="AZ35" s="3">
        <f>$B35*INDEX(Curves!$C$2:$BV$2,AZ$2-30+1)</f>
        <v/>
      </c>
      <c r="BA35" s="3">
        <f>$B35*INDEX(Curves!$C$2:$BV$2,BA$2-30+1)</f>
        <v/>
      </c>
      <c r="BB35" s="3">
        <f>$B35*INDEX(Curves!$C$2:$BV$2,BB$2-30+1)</f>
        <v/>
      </c>
      <c r="BC35" s="3">
        <f>$B35*INDEX(Curves!$C$2:$BV$2,BC$2-30+1)</f>
        <v/>
      </c>
      <c r="BD35" s="3">
        <f>$B35*INDEX(Curves!$C$2:$BV$2,BD$2-30+1)</f>
        <v/>
      </c>
      <c r="BE35" s="3">
        <f>$B35*INDEX(Curves!$C$2:$BV$2,BE$2-30+1)</f>
        <v/>
      </c>
      <c r="BF35" s="3">
        <f>$B35*INDEX(Curves!$C$2:$BV$2,BF$2-30+1)</f>
        <v/>
      </c>
      <c r="BG35" s="3">
        <f>$B35*INDEX(Curves!$C$2:$BV$2,BG$2-30+1)</f>
        <v/>
      </c>
      <c r="BH35" s="3">
        <f>$B35*INDEX(Curves!$C$2:$BV$2,BH$2-30+1)</f>
        <v/>
      </c>
      <c r="BI35" s="3">
        <f>$B35*INDEX(Curves!$C$2:$BV$2,BI$2-30+1)</f>
        <v/>
      </c>
      <c r="BJ35" s="3">
        <f>$B35*INDEX(Curves!$C$2:$BV$2,BJ$2-30+1)</f>
        <v/>
      </c>
      <c r="BK35" s="3">
        <f>$B35*INDEX(Curves!$C$2:$BV$2,BK$2-30+1)</f>
        <v/>
      </c>
      <c r="BL35" s="3">
        <f>$B35*INDEX(Curves!$C$2:$BV$2,BL$2-30+1)</f>
        <v/>
      </c>
      <c r="BM35" s="3">
        <f>$B35*INDEX(Curves!$C$2:$BV$2,BM$2-30+1)</f>
        <v/>
      </c>
      <c r="BN35" s="3">
        <f>$B35*INDEX(Curves!$C$2:$BV$2,BN$2-30+1)</f>
        <v/>
      </c>
      <c r="BO35" s="3">
        <f>$B35*INDEX(Curves!$C$2:$BV$2,BO$2-30+1)</f>
        <v/>
      </c>
      <c r="BP35" s="3">
        <f>$B35*INDEX(Curves!$C$2:$BV$2,BP$2-30+1)</f>
        <v/>
      </c>
      <c r="BQ35" s="3">
        <f>$B35*INDEX(Curves!$C$2:$BV$2,BQ$2-30+1)</f>
        <v/>
      </c>
      <c r="BR35" s="3">
        <f>$B35*INDEX(Curves!$C$2:$BV$2,BR$2-30+1)</f>
        <v/>
      </c>
      <c r="BS35" s="3">
        <f>$B35*INDEX(Curves!$C$2:$BV$2,BS$2-30+1)</f>
        <v/>
      </c>
      <c r="BT35" s="3">
        <f>$B35*INDEX(Curves!$C$2:$BV$2,BT$2-30+1)</f>
        <v/>
      </c>
      <c r="BU35" s="3">
        <f>$B35*INDEX(Curves!$C$2:$BV$2,BU$2-30+1)</f>
        <v/>
      </c>
      <c r="BV35" s="3">
        <f>$B35*INDEX(Curves!$C$2:$BV$2,BV$2-30+1)</f>
        <v/>
      </c>
    </row>
    <row r="36">
      <c r="A36" t="inlineStr">
        <is>
          <t>cohort 2027-08</t>
        </is>
      </c>
      <c r="B36" s="3">
        <f>INDEX(Adds!$C$12:$BV$12,32)</f>
        <v/>
      </c>
      <c r="AH36" s="3">
        <f>$B36*INDEX(Curves!$C$2:$BV$2,AH$2-31+1)</f>
        <v/>
      </c>
      <c r="AI36" s="3">
        <f>$B36*INDEX(Curves!$C$2:$BV$2,AI$2-31+1)</f>
        <v/>
      </c>
      <c r="AJ36" s="3">
        <f>$B36*INDEX(Curves!$C$2:$BV$2,AJ$2-31+1)</f>
        <v/>
      </c>
      <c r="AK36" s="3">
        <f>$B36*INDEX(Curves!$C$2:$BV$2,AK$2-31+1)</f>
        <v/>
      </c>
      <c r="AL36" s="3">
        <f>$B36*INDEX(Curves!$C$2:$BV$2,AL$2-31+1)</f>
        <v/>
      </c>
      <c r="AM36" s="3">
        <f>$B36*INDEX(Curves!$C$2:$BV$2,AM$2-31+1)</f>
        <v/>
      </c>
      <c r="AN36" s="3">
        <f>$B36*INDEX(Curves!$C$2:$BV$2,AN$2-31+1)</f>
        <v/>
      </c>
      <c r="AO36" s="3">
        <f>$B36*INDEX(Curves!$C$2:$BV$2,AO$2-31+1)</f>
        <v/>
      </c>
      <c r="AP36" s="3">
        <f>$B36*INDEX(Curves!$C$2:$BV$2,AP$2-31+1)</f>
        <v/>
      </c>
      <c r="AQ36" s="3">
        <f>$B36*INDEX(Curves!$C$2:$BV$2,AQ$2-31+1)</f>
        <v/>
      </c>
      <c r="AR36" s="3">
        <f>$B36*INDEX(Curves!$C$2:$BV$2,AR$2-31+1)</f>
        <v/>
      </c>
      <c r="AS36" s="3">
        <f>$B36*INDEX(Curves!$C$2:$BV$2,AS$2-31+1)</f>
        <v/>
      </c>
      <c r="AT36" s="3">
        <f>$B36*INDEX(Curves!$C$2:$BV$2,AT$2-31+1)</f>
        <v/>
      </c>
      <c r="AU36" s="3">
        <f>$B36*INDEX(Curves!$C$2:$BV$2,AU$2-31+1)</f>
        <v/>
      </c>
      <c r="AV36" s="3">
        <f>$B36*INDEX(Curves!$C$2:$BV$2,AV$2-31+1)</f>
        <v/>
      </c>
      <c r="AW36" s="3">
        <f>$B36*INDEX(Curves!$C$2:$BV$2,AW$2-31+1)</f>
        <v/>
      </c>
      <c r="AX36" s="3">
        <f>$B36*INDEX(Curves!$C$2:$BV$2,AX$2-31+1)</f>
        <v/>
      </c>
      <c r="AY36" s="3">
        <f>$B36*INDEX(Curves!$C$2:$BV$2,AY$2-31+1)</f>
        <v/>
      </c>
      <c r="AZ36" s="3">
        <f>$B36*INDEX(Curves!$C$2:$BV$2,AZ$2-31+1)</f>
        <v/>
      </c>
      <c r="BA36" s="3">
        <f>$B36*INDEX(Curves!$C$2:$BV$2,BA$2-31+1)</f>
        <v/>
      </c>
      <c r="BB36" s="3">
        <f>$B36*INDEX(Curves!$C$2:$BV$2,BB$2-31+1)</f>
        <v/>
      </c>
      <c r="BC36" s="3">
        <f>$B36*INDEX(Curves!$C$2:$BV$2,BC$2-31+1)</f>
        <v/>
      </c>
      <c r="BD36" s="3">
        <f>$B36*INDEX(Curves!$C$2:$BV$2,BD$2-31+1)</f>
        <v/>
      </c>
      <c r="BE36" s="3">
        <f>$B36*INDEX(Curves!$C$2:$BV$2,BE$2-31+1)</f>
        <v/>
      </c>
      <c r="BF36" s="3">
        <f>$B36*INDEX(Curves!$C$2:$BV$2,BF$2-31+1)</f>
        <v/>
      </c>
      <c r="BG36" s="3">
        <f>$B36*INDEX(Curves!$C$2:$BV$2,BG$2-31+1)</f>
        <v/>
      </c>
      <c r="BH36" s="3">
        <f>$B36*INDEX(Curves!$C$2:$BV$2,BH$2-31+1)</f>
        <v/>
      </c>
      <c r="BI36" s="3">
        <f>$B36*INDEX(Curves!$C$2:$BV$2,BI$2-31+1)</f>
        <v/>
      </c>
      <c r="BJ36" s="3">
        <f>$B36*INDEX(Curves!$C$2:$BV$2,BJ$2-31+1)</f>
        <v/>
      </c>
      <c r="BK36" s="3">
        <f>$B36*INDEX(Curves!$C$2:$BV$2,BK$2-31+1)</f>
        <v/>
      </c>
      <c r="BL36" s="3">
        <f>$B36*INDEX(Curves!$C$2:$BV$2,BL$2-31+1)</f>
        <v/>
      </c>
      <c r="BM36" s="3">
        <f>$B36*INDEX(Curves!$C$2:$BV$2,BM$2-31+1)</f>
        <v/>
      </c>
      <c r="BN36" s="3">
        <f>$B36*INDEX(Curves!$C$2:$BV$2,BN$2-31+1)</f>
        <v/>
      </c>
      <c r="BO36" s="3">
        <f>$B36*INDEX(Curves!$C$2:$BV$2,BO$2-31+1)</f>
        <v/>
      </c>
      <c r="BP36" s="3">
        <f>$B36*INDEX(Curves!$C$2:$BV$2,BP$2-31+1)</f>
        <v/>
      </c>
      <c r="BQ36" s="3">
        <f>$B36*INDEX(Curves!$C$2:$BV$2,BQ$2-31+1)</f>
        <v/>
      </c>
      <c r="BR36" s="3">
        <f>$B36*INDEX(Curves!$C$2:$BV$2,BR$2-31+1)</f>
        <v/>
      </c>
      <c r="BS36" s="3">
        <f>$B36*INDEX(Curves!$C$2:$BV$2,BS$2-31+1)</f>
        <v/>
      </c>
      <c r="BT36" s="3">
        <f>$B36*INDEX(Curves!$C$2:$BV$2,BT$2-31+1)</f>
        <v/>
      </c>
      <c r="BU36" s="3">
        <f>$B36*INDEX(Curves!$C$2:$BV$2,BU$2-31+1)</f>
        <v/>
      </c>
      <c r="BV36" s="3">
        <f>$B36*INDEX(Curves!$C$2:$BV$2,BV$2-31+1)</f>
        <v/>
      </c>
    </row>
    <row r="37">
      <c r="A37" t="inlineStr">
        <is>
          <t>cohort 2027-09</t>
        </is>
      </c>
      <c r="B37" s="3">
        <f>INDEX(Adds!$C$12:$BV$12,33)</f>
        <v/>
      </c>
      <c r="AI37" s="3">
        <f>$B37*INDEX(Curves!$C$2:$BV$2,AI$2-32+1)</f>
        <v/>
      </c>
      <c r="AJ37" s="3">
        <f>$B37*INDEX(Curves!$C$2:$BV$2,AJ$2-32+1)</f>
        <v/>
      </c>
      <c r="AK37" s="3">
        <f>$B37*INDEX(Curves!$C$2:$BV$2,AK$2-32+1)</f>
        <v/>
      </c>
      <c r="AL37" s="3">
        <f>$B37*INDEX(Curves!$C$2:$BV$2,AL$2-32+1)</f>
        <v/>
      </c>
      <c r="AM37" s="3">
        <f>$B37*INDEX(Curves!$C$2:$BV$2,AM$2-32+1)</f>
        <v/>
      </c>
      <c r="AN37" s="3">
        <f>$B37*INDEX(Curves!$C$2:$BV$2,AN$2-32+1)</f>
        <v/>
      </c>
      <c r="AO37" s="3">
        <f>$B37*INDEX(Curves!$C$2:$BV$2,AO$2-32+1)</f>
        <v/>
      </c>
      <c r="AP37" s="3">
        <f>$B37*INDEX(Curves!$C$2:$BV$2,AP$2-32+1)</f>
        <v/>
      </c>
      <c r="AQ37" s="3">
        <f>$B37*INDEX(Curves!$C$2:$BV$2,AQ$2-32+1)</f>
        <v/>
      </c>
      <c r="AR37" s="3">
        <f>$B37*INDEX(Curves!$C$2:$BV$2,AR$2-32+1)</f>
        <v/>
      </c>
      <c r="AS37" s="3">
        <f>$B37*INDEX(Curves!$C$2:$BV$2,AS$2-32+1)</f>
        <v/>
      </c>
      <c r="AT37" s="3">
        <f>$B37*INDEX(Curves!$C$2:$BV$2,AT$2-32+1)</f>
        <v/>
      </c>
      <c r="AU37" s="3">
        <f>$B37*INDEX(Curves!$C$2:$BV$2,AU$2-32+1)</f>
        <v/>
      </c>
      <c r="AV37" s="3">
        <f>$B37*INDEX(Curves!$C$2:$BV$2,AV$2-32+1)</f>
        <v/>
      </c>
      <c r="AW37" s="3">
        <f>$B37*INDEX(Curves!$C$2:$BV$2,AW$2-32+1)</f>
        <v/>
      </c>
      <c r="AX37" s="3">
        <f>$B37*INDEX(Curves!$C$2:$BV$2,AX$2-32+1)</f>
        <v/>
      </c>
      <c r="AY37" s="3">
        <f>$B37*INDEX(Curves!$C$2:$BV$2,AY$2-32+1)</f>
        <v/>
      </c>
      <c r="AZ37" s="3">
        <f>$B37*INDEX(Curves!$C$2:$BV$2,AZ$2-32+1)</f>
        <v/>
      </c>
      <c r="BA37" s="3">
        <f>$B37*INDEX(Curves!$C$2:$BV$2,BA$2-32+1)</f>
        <v/>
      </c>
      <c r="BB37" s="3">
        <f>$B37*INDEX(Curves!$C$2:$BV$2,BB$2-32+1)</f>
        <v/>
      </c>
      <c r="BC37" s="3">
        <f>$B37*INDEX(Curves!$C$2:$BV$2,BC$2-32+1)</f>
        <v/>
      </c>
      <c r="BD37" s="3">
        <f>$B37*INDEX(Curves!$C$2:$BV$2,BD$2-32+1)</f>
        <v/>
      </c>
      <c r="BE37" s="3">
        <f>$B37*INDEX(Curves!$C$2:$BV$2,BE$2-32+1)</f>
        <v/>
      </c>
      <c r="BF37" s="3">
        <f>$B37*INDEX(Curves!$C$2:$BV$2,BF$2-32+1)</f>
        <v/>
      </c>
      <c r="BG37" s="3">
        <f>$B37*INDEX(Curves!$C$2:$BV$2,BG$2-32+1)</f>
        <v/>
      </c>
      <c r="BH37" s="3">
        <f>$B37*INDEX(Curves!$C$2:$BV$2,BH$2-32+1)</f>
        <v/>
      </c>
      <c r="BI37" s="3">
        <f>$B37*INDEX(Curves!$C$2:$BV$2,BI$2-32+1)</f>
        <v/>
      </c>
      <c r="BJ37" s="3">
        <f>$B37*INDEX(Curves!$C$2:$BV$2,BJ$2-32+1)</f>
        <v/>
      </c>
      <c r="BK37" s="3">
        <f>$B37*INDEX(Curves!$C$2:$BV$2,BK$2-32+1)</f>
        <v/>
      </c>
      <c r="BL37" s="3">
        <f>$B37*INDEX(Curves!$C$2:$BV$2,BL$2-32+1)</f>
        <v/>
      </c>
      <c r="BM37" s="3">
        <f>$B37*INDEX(Curves!$C$2:$BV$2,BM$2-32+1)</f>
        <v/>
      </c>
      <c r="BN37" s="3">
        <f>$B37*INDEX(Curves!$C$2:$BV$2,BN$2-32+1)</f>
        <v/>
      </c>
      <c r="BO37" s="3">
        <f>$B37*INDEX(Curves!$C$2:$BV$2,BO$2-32+1)</f>
        <v/>
      </c>
      <c r="BP37" s="3">
        <f>$B37*INDEX(Curves!$C$2:$BV$2,BP$2-32+1)</f>
        <v/>
      </c>
      <c r="BQ37" s="3">
        <f>$B37*INDEX(Curves!$C$2:$BV$2,BQ$2-32+1)</f>
        <v/>
      </c>
      <c r="BR37" s="3">
        <f>$B37*INDEX(Curves!$C$2:$BV$2,BR$2-32+1)</f>
        <v/>
      </c>
      <c r="BS37" s="3">
        <f>$B37*INDEX(Curves!$C$2:$BV$2,BS$2-32+1)</f>
        <v/>
      </c>
      <c r="BT37" s="3">
        <f>$B37*INDEX(Curves!$C$2:$BV$2,BT$2-32+1)</f>
        <v/>
      </c>
      <c r="BU37" s="3">
        <f>$B37*INDEX(Curves!$C$2:$BV$2,BU$2-32+1)</f>
        <v/>
      </c>
      <c r="BV37" s="3">
        <f>$B37*INDEX(Curves!$C$2:$BV$2,BV$2-32+1)</f>
        <v/>
      </c>
    </row>
    <row r="38">
      <c r="A38" t="inlineStr">
        <is>
          <t>cohort 2027-10</t>
        </is>
      </c>
      <c r="B38" s="3">
        <f>INDEX(Adds!$C$12:$BV$12,34)</f>
        <v/>
      </c>
      <c r="AJ38" s="3">
        <f>$B38*INDEX(Curves!$C$2:$BV$2,AJ$2-33+1)</f>
        <v/>
      </c>
      <c r="AK38" s="3">
        <f>$B38*INDEX(Curves!$C$2:$BV$2,AK$2-33+1)</f>
        <v/>
      </c>
      <c r="AL38" s="3">
        <f>$B38*INDEX(Curves!$C$2:$BV$2,AL$2-33+1)</f>
        <v/>
      </c>
      <c r="AM38" s="3">
        <f>$B38*INDEX(Curves!$C$2:$BV$2,AM$2-33+1)</f>
        <v/>
      </c>
      <c r="AN38" s="3">
        <f>$B38*INDEX(Curves!$C$2:$BV$2,AN$2-33+1)</f>
        <v/>
      </c>
      <c r="AO38" s="3">
        <f>$B38*INDEX(Curves!$C$2:$BV$2,AO$2-33+1)</f>
        <v/>
      </c>
      <c r="AP38" s="3">
        <f>$B38*INDEX(Curves!$C$2:$BV$2,AP$2-33+1)</f>
        <v/>
      </c>
      <c r="AQ38" s="3">
        <f>$B38*INDEX(Curves!$C$2:$BV$2,AQ$2-33+1)</f>
        <v/>
      </c>
      <c r="AR38" s="3">
        <f>$B38*INDEX(Curves!$C$2:$BV$2,AR$2-33+1)</f>
        <v/>
      </c>
      <c r="AS38" s="3">
        <f>$B38*INDEX(Curves!$C$2:$BV$2,AS$2-33+1)</f>
        <v/>
      </c>
      <c r="AT38" s="3">
        <f>$B38*INDEX(Curves!$C$2:$BV$2,AT$2-33+1)</f>
        <v/>
      </c>
      <c r="AU38" s="3">
        <f>$B38*INDEX(Curves!$C$2:$BV$2,AU$2-33+1)</f>
        <v/>
      </c>
      <c r="AV38" s="3">
        <f>$B38*INDEX(Curves!$C$2:$BV$2,AV$2-33+1)</f>
        <v/>
      </c>
      <c r="AW38" s="3">
        <f>$B38*INDEX(Curves!$C$2:$BV$2,AW$2-33+1)</f>
        <v/>
      </c>
      <c r="AX38" s="3">
        <f>$B38*INDEX(Curves!$C$2:$BV$2,AX$2-33+1)</f>
        <v/>
      </c>
      <c r="AY38" s="3">
        <f>$B38*INDEX(Curves!$C$2:$BV$2,AY$2-33+1)</f>
        <v/>
      </c>
      <c r="AZ38" s="3">
        <f>$B38*INDEX(Curves!$C$2:$BV$2,AZ$2-33+1)</f>
        <v/>
      </c>
      <c r="BA38" s="3">
        <f>$B38*INDEX(Curves!$C$2:$BV$2,BA$2-33+1)</f>
        <v/>
      </c>
      <c r="BB38" s="3">
        <f>$B38*INDEX(Curves!$C$2:$BV$2,BB$2-33+1)</f>
        <v/>
      </c>
      <c r="BC38" s="3">
        <f>$B38*INDEX(Curves!$C$2:$BV$2,BC$2-33+1)</f>
        <v/>
      </c>
      <c r="BD38" s="3">
        <f>$B38*INDEX(Curves!$C$2:$BV$2,BD$2-33+1)</f>
        <v/>
      </c>
      <c r="BE38" s="3">
        <f>$B38*INDEX(Curves!$C$2:$BV$2,BE$2-33+1)</f>
        <v/>
      </c>
      <c r="BF38" s="3">
        <f>$B38*INDEX(Curves!$C$2:$BV$2,BF$2-33+1)</f>
        <v/>
      </c>
      <c r="BG38" s="3">
        <f>$B38*INDEX(Curves!$C$2:$BV$2,BG$2-33+1)</f>
        <v/>
      </c>
      <c r="BH38" s="3">
        <f>$B38*INDEX(Curves!$C$2:$BV$2,BH$2-33+1)</f>
        <v/>
      </c>
      <c r="BI38" s="3">
        <f>$B38*INDEX(Curves!$C$2:$BV$2,BI$2-33+1)</f>
        <v/>
      </c>
      <c r="BJ38" s="3">
        <f>$B38*INDEX(Curves!$C$2:$BV$2,BJ$2-33+1)</f>
        <v/>
      </c>
      <c r="BK38" s="3">
        <f>$B38*INDEX(Curves!$C$2:$BV$2,BK$2-33+1)</f>
        <v/>
      </c>
      <c r="BL38" s="3">
        <f>$B38*INDEX(Curves!$C$2:$BV$2,BL$2-33+1)</f>
        <v/>
      </c>
      <c r="BM38" s="3">
        <f>$B38*INDEX(Curves!$C$2:$BV$2,BM$2-33+1)</f>
        <v/>
      </c>
      <c r="BN38" s="3">
        <f>$B38*INDEX(Curves!$C$2:$BV$2,BN$2-33+1)</f>
        <v/>
      </c>
      <c r="BO38" s="3">
        <f>$B38*INDEX(Curves!$C$2:$BV$2,BO$2-33+1)</f>
        <v/>
      </c>
      <c r="BP38" s="3">
        <f>$B38*INDEX(Curves!$C$2:$BV$2,BP$2-33+1)</f>
        <v/>
      </c>
      <c r="BQ38" s="3">
        <f>$B38*INDEX(Curves!$C$2:$BV$2,BQ$2-33+1)</f>
        <v/>
      </c>
      <c r="BR38" s="3">
        <f>$B38*INDEX(Curves!$C$2:$BV$2,BR$2-33+1)</f>
        <v/>
      </c>
      <c r="BS38" s="3">
        <f>$B38*INDEX(Curves!$C$2:$BV$2,BS$2-33+1)</f>
        <v/>
      </c>
      <c r="BT38" s="3">
        <f>$B38*INDEX(Curves!$C$2:$BV$2,BT$2-33+1)</f>
        <v/>
      </c>
      <c r="BU38" s="3">
        <f>$B38*INDEX(Curves!$C$2:$BV$2,BU$2-33+1)</f>
        <v/>
      </c>
      <c r="BV38" s="3">
        <f>$B38*INDEX(Curves!$C$2:$BV$2,BV$2-33+1)</f>
        <v/>
      </c>
    </row>
    <row r="39">
      <c r="A39" t="inlineStr">
        <is>
          <t>cohort 2027-11</t>
        </is>
      </c>
      <c r="B39" s="3">
        <f>INDEX(Adds!$C$12:$BV$12,35)</f>
        <v/>
      </c>
      <c r="AK39" s="3">
        <f>$B39*INDEX(Curves!$C$2:$BV$2,AK$2-34+1)</f>
        <v/>
      </c>
      <c r="AL39" s="3">
        <f>$B39*INDEX(Curves!$C$2:$BV$2,AL$2-34+1)</f>
        <v/>
      </c>
      <c r="AM39" s="3">
        <f>$B39*INDEX(Curves!$C$2:$BV$2,AM$2-34+1)</f>
        <v/>
      </c>
      <c r="AN39" s="3">
        <f>$B39*INDEX(Curves!$C$2:$BV$2,AN$2-34+1)</f>
        <v/>
      </c>
      <c r="AO39" s="3">
        <f>$B39*INDEX(Curves!$C$2:$BV$2,AO$2-34+1)</f>
        <v/>
      </c>
      <c r="AP39" s="3">
        <f>$B39*INDEX(Curves!$C$2:$BV$2,AP$2-34+1)</f>
        <v/>
      </c>
      <c r="AQ39" s="3">
        <f>$B39*INDEX(Curves!$C$2:$BV$2,AQ$2-34+1)</f>
        <v/>
      </c>
      <c r="AR39" s="3">
        <f>$B39*INDEX(Curves!$C$2:$BV$2,AR$2-34+1)</f>
        <v/>
      </c>
      <c r="AS39" s="3">
        <f>$B39*INDEX(Curves!$C$2:$BV$2,AS$2-34+1)</f>
        <v/>
      </c>
      <c r="AT39" s="3">
        <f>$B39*INDEX(Curves!$C$2:$BV$2,AT$2-34+1)</f>
        <v/>
      </c>
      <c r="AU39" s="3">
        <f>$B39*INDEX(Curves!$C$2:$BV$2,AU$2-34+1)</f>
        <v/>
      </c>
      <c r="AV39" s="3">
        <f>$B39*INDEX(Curves!$C$2:$BV$2,AV$2-34+1)</f>
        <v/>
      </c>
      <c r="AW39" s="3">
        <f>$B39*INDEX(Curves!$C$2:$BV$2,AW$2-34+1)</f>
        <v/>
      </c>
      <c r="AX39" s="3">
        <f>$B39*INDEX(Curves!$C$2:$BV$2,AX$2-34+1)</f>
        <v/>
      </c>
      <c r="AY39" s="3">
        <f>$B39*INDEX(Curves!$C$2:$BV$2,AY$2-34+1)</f>
        <v/>
      </c>
      <c r="AZ39" s="3">
        <f>$B39*INDEX(Curves!$C$2:$BV$2,AZ$2-34+1)</f>
        <v/>
      </c>
      <c r="BA39" s="3">
        <f>$B39*INDEX(Curves!$C$2:$BV$2,BA$2-34+1)</f>
        <v/>
      </c>
      <c r="BB39" s="3">
        <f>$B39*INDEX(Curves!$C$2:$BV$2,BB$2-34+1)</f>
        <v/>
      </c>
      <c r="BC39" s="3">
        <f>$B39*INDEX(Curves!$C$2:$BV$2,BC$2-34+1)</f>
        <v/>
      </c>
      <c r="BD39" s="3">
        <f>$B39*INDEX(Curves!$C$2:$BV$2,BD$2-34+1)</f>
        <v/>
      </c>
      <c r="BE39" s="3">
        <f>$B39*INDEX(Curves!$C$2:$BV$2,BE$2-34+1)</f>
        <v/>
      </c>
      <c r="BF39" s="3">
        <f>$B39*INDEX(Curves!$C$2:$BV$2,BF$2-34+1)</f>
        <v/>
      </c>
      <c r="BG39" s="3">
        <f>$B39*INDEX(Curves!$C$2:$BV$2,BG$2-34+1)</f>
        <v/>
      </c>
      <c r="BH39" s="3">
        <f>$B39*INDEX(Curves!$C$2:$BV$2,BH$2-34+1)</f>
        <v/>
      </c>
      <c r="BI39" s="3">
        <f>$B39*INDEX(Curves!$C$2:$BV$2,BI$2-34+1)</f>
        <v/>
      </c>
      <c r="BJ39" s="3">
        <f>$B39*INDEX(Curves!$C$2:$BV$2,BJ$2-34+1)</f>
        <v/>
      </c>
      <c r="BK39" s="3">
        <f>$B39*INDEX(Curves!$C$2:$BV$2,BK$2-34+1)</f>
        <v/>
      </c>
      <c r="BL39" s="3">
        <f>$B39*INDEX(Curves!$C$2:$BV$2,BL$2-34+1)</f>
        <v/>
      </c>
      <c r="BM39" s="3">
        <f>$B39*INDEX(Curves!$C$2:$BV$2,BM$2-34+1)</f>
        <v/>
      </c>
      <c r="BN39" s="3">
        <f>$B39*INDEX(Curves!$C$2:$BV$2,BN$2-34+1)</f>
        <v/>
      </c>
      <c r="BO39" s="3">
        <f>$B39*INDEX(Curves!$C$2:$BV$2,BO$2-34+1)</f>
        <v/>
      </c>
      <c r="BP39" s="3">
        <f>$B39*INDEX(Curves!$C$2:$BV$2,BP$2-34+1)</f>
        <v/>
      </c>
      <c r="BQ39" s="3">
        <f>$B39*INDEX(Curves!$C$2:$BV$2,BQ$2-34+1)</f>
        <v/>
      </c>
      <c r="BR39" s="3">
        <f>$B39*INDEX(Curves!$C$2:$BV$2,BR$2-34+1)</f>
        <v/>
      </c>
      <c r="BS39" s="3">
        <f>$B39*INDEX(Curves!$C$2:$BV$2,BS$2-34+1)</f>
        <v/>
      </c>
      <c r="BT39" s="3">
        <f>$B39*INDEX(Curves!$C$2:$BV$2,BT$2-34+1)</f>
        <v/>
      </c>
      <c r="BU39" s="3">
        <f>$B39*INDEX(Curves!$C$2:$BV$2,BU$2-34+1)</f>
        <v/>
      </c>
      <c r="BV39" s="3">
        <f>$B39*INDEX(Curves!$C$2:$BV$2,BV$2-34+1)</f>
        <v/>
      </c>
    </row>
    <row r="40">
      <c r="A40" t="inlineStr">
        <is>
          <t>cohort 2027-12</t>
        </is>
      </c>
      <c r="B40" s="3">
        <f>INDEX(Adds!$C$12:$BV$12,36)</f>
        <v/>
      </c>
      <c r="AL40" s="3">
        <f>$B40*INDEX(Curves!$C$2:$BV$2,AL$2-35+1)</f>
        <v/>
      </c>
      <c r="AM40" s="3">
        <f>$B40*INDEX(Curves!$C$2:$BV$2,AM$2-35+1)</f>
        <v/>
      </c>
      <c r="AN40" s="3">
        <f>$B40*INDEX(Curves!$C$2:$BV$2,AN$2-35+1)</f>
        <v/>
      </c>
      <c r="AO40" s="3">
        <f>$B40*INDEX(Curves!$C$2:$BV$2,AO$2-35+1)</f>
        <v/>
      </c>
      <c r="AP40" s="3">
        <f>$B40*INDEX(Curves!$C$2:$BV$2,AP$2-35+1)</f>
        <v/>
      </c>
      <c r="AQ40" s="3">
        <f>$B40*INDEX(Curves!$C$2:$BV$2,AQ$2-35+1)</f>
        <v/>
      </c>
      <c r="AR40" s="3">
        <f>$B40*INDEX(Curves!$C$2:$BV$2,AR$2-35+1)</f>
        <v/>
      </c>
      <c r="AS40" s="3">
        <f>$B40*INDEX(Curves!$C$2:$BV$2,AS$2-35+1)</f>
        <v/>
      </c>
      <c r="AT40" s="3">
        <f>$B40*INDEX(Curves!$C$2:$BV$2,AT$2-35+1)</f>
        <v/>
      </c>
      <c r="AU40" s="3">
        <f>$B40*INDEX(Curves!$C$2:$BV$2,AU$2-35+1)</f>
        <v/>
      </c>
      <c r="AV40" s="3">
        <f>$B40*INDEX(Curves!$C$2:$BV$2,AV$2-35+1)</f>
        <v/>
      </c>
      <c r="AW40" s="3">
        <f>$B40*INDEX(Curves!$C$2:$BV$2,AW$2-35+1)</f>
        <v/>
      </c>
      <c r="AX40" s="3">
        <f>$B40*INDEX(Curves!$C$2:$BV$2,AX$2-35+1)</f>
        <v/>
      </c>
      <c r="AY40" s="3">
        <f>$B40*INDEX(Curves!$C$2:$BV$2,AY$2-35+1)</f>
        <v/>
      </c>
      <c r="AZ40" s="3">
        <f>$B40*INDEX(Curves!$C$2:$BV$2,AZ$2-35+1)</f>
        <v/>
      </c>
      <c r="BA40" s="3">
        <f>$B40*INDEX(Curves!$C$2:$BV$2,BA$2-35+1)</f>
        <v/>
      </c>
      <c r="BB40" s="3">
        <f>$B40*INDEX(Curves!$C$2:$BV$2,BB$2-35+1)</f>
        <v/>
      </c>
      <c r="BC40" s="3">
        <f>$B40*INDEX(Curves!$C$2:$BV$2,BC$2-35+1)</f>
        <v/>
      </c>
      <c r="BD40" s="3">
        <f>$B40*INDEX(Curves!$C$2:$BV$2,BD$2-35+1)</f>
        <v/>
      </c>
      <c r="BE40" s="3">
        <f>$B40*INDEX(Curves!$C$2:$BV$2,BE$2-35+1)</f>
        <v/>
      </c>
      <c r="BF40" s="3">
        <f>$B40*INDEX(Curves!$C$2:$BV$2,BF$2-35+1)</f>
        <v/>
      </c>
      <c r="BG40" s="3">
        <f>$B40*INDEX(Curves!$C$2:$BV$2,BG$2-35+1)</f>
        <v/>
      </c>
      <c r="BH40" s="3">
        <f>$B40*INDEX(Curves!$C$2:$BV$2,BH$2-35+1)</f>
        <v/>
      </c>
      <c r="BI40" s="3">
        <f>$B40*INDEX(Curves!$C$2:$BV$2,BI$2-35+1)</f>
        <v/>
      </c>
      <c r="BJ40" s="3">
        <f>$B40*INDEX(Curves!$C$2:$BV$2,BJ$2-35+1)</f>
        <v/>
      </c>
      <c r="BK40" s="3">
        <f>$B40*INDEX(Curves!$C$2:$BV$2,BK$2-35+1)</f>
        <v/>
      </c>
      <c r="BL40" s="3">
        <f>$B40*INDEX(Curves!$C$2:$BV$2,BL$2-35+1)</f>
        <v/>
      </c>
      <c r="BM40" s="3">
        <f>$B40*INDEX(Curves!$C$2:$BV$2,BM$2-35+1)</f>
        <v/>
      </c>
      <c r="BN40" s="3">
        <f>$B40*INDEX(Curves!$C$2:$BV$2,BN$2-35+1)</f>
        <v/>
      </c>
      <c r="BO40" s="3">
        <f>$B40*INDEX(Curves!$C$2:$BV$2,BO$2-35+1)</f>
        <v/>
      </c>
      <c r="BP40" s="3">
        <f>$B40*INDEX(Curves!$C$2:$BV$2,BP$2-35+1)</f>
        <v/>
      </c>
      <c r="BQ40" s="3">
        <f>$B40*INDEX(Curves!$C$2:$BV$2,BQ$2-35+1)</f>
        <v/>
      </c>
      <c r="BR40" s="3">
        <f>$B40*INDEX(Curves!$C$2:$BV$2,BR$2-35+1)</f>
        <v/>
      </c>
      <c r="BS40" s="3">
        <f>$B40*INDEX(Curves!$C$2:$BV$2,BS$2-35+1)</f>
        <v/>
      </c>
      <c r="BT40" s="3">
        <f>$B40*INDEX(Curves!$C$2:$BV$2,BT$2-35+1)</f>
        <v/>
      </c>
      <c r="BU40" s="3">
        <f>$B40*INDEX(Curves!$C$2:$BV$2,BU$2-35+1)</f>
        <v/>
      </c>
      <c r="BV40" s="3">
        <f>$B40*INDEX(Curves!$C$2:$BV$2,BV$2-35+1)</f>
        <v/>
      </c>
    </row>
    <row r="41">
      <c r="A41" t="inlineStr">
        <is>
          <t>cohort 2028-01</t>
        </is>
      </c>
      <c r="B41" s="3">
        <f>INDEX(Adds!$C$12:$BV$12,37)</f>
        <v/>
      </c>
      <c r="AM41" s="3">
        <f>$B41*INDEX(Curves!$C$2:$BV$2,AM$2-36+1)</f>
        <v/>
      </c>
      <c r="AN41" s="3">
        <f>$B41*INDEX(Curves!$C$2:$BV$2,AN$2-36+1)</f>
        <v/>
      </c>
      <c r="AO41" s="3">
        <f>$B41*INDEX(Curves!$C$2:$BV$2,AO$2-36+1)</f>
        <v/>
      </c>
      <c r="AP41" s="3">
        <f>$B41*INDEX(Curves!$C$2:$BV$2,AP$2-36+1)</f>
        <v/>
      </c>
      <c r="AQ41" s="3">
        <f>$B41*INDEX(Curves!$C$2:$BV$2,AQ$2-36+1)</f>
        <v/>
      </c>
      <c r="AR41" s="3">
        <f>$B41*INDEX(Curves!$C$2:$BV$2,AR$2-36+1)</f>
        <v/>
      </c>
      <c r="AS41" s="3">
        <f>$B41*INDEX(Curves!$C$2:$BV$2,AS$2-36+1)</f>
        <v/>
      </c>
      <c r="AT41" s="3">
        <f>$B41*INDEX(Curves!$C$2:$BV$2,AT$2-36+1)</f>
        <v/>
      </c>
      <c r="AU41" s="3">
        <f>$B41*INDEX(Curves!$C$2:$BV$2,AU$2-36+1)</f>
        <v/>
      </c>
      <c r="AV41" s="3">
        <f>$B41*INDEX(Curves!$C$2:$BV$2,AV$2-36+1)</f>
        <v/>
      </c>
      <c r="AW41" s="3">
        <f>$B41*INDEX(Curves!$C$2:$BV$2,AW$2-36+1)</f>
        <v/>
      </c>
      <c r="AX41" s="3">
        <f>$B41*INDEX(Curves!$C$2:$BV$2,AX$2-36+1)</f>
        <v/>
      </c>
      <c r="AY41" s="3">
        <f>$B41*INDEX(Curves!$C$2:$BV$2,AY$2-36+1)</f>
        <v/>
      </c>
      <c r="AZ41" s="3">
        <f>$B41*INDEX(Curves!$C$2:$BV$2,AZ$2-36+1)</f>
        <v/>
      </c>
      <c r="BA41" s="3">
        <f>$B41*INDEX(Curves!$C$2:$BV$2,BA$2-36+1)</f>
        <v/>
      </c>
      <c r="BB41" s="3">
        <f>$B41*INDEX(Curves!$C$2:$BV$2,BB$2-36+1)</f>
        <v/>
      </c>
      <c r="BC41" s="3">
        <f>$B41*INDEX(Curves!$C$2:$BV$2,BC$2-36+1)</f>
        <v/>
      </c>
      <c r="BD41" s="3">
        <f>$B41*INDEX(Curves!$C$2:$BV$2,BD$2-36+1)</f>
        <v/>
      </c>
      <c r="BE41" s="3">
        <f>$B41*INDEX(Curves!$C$2:$BV$2,BE$2-36+1)</f>
        <v/>
      </c>
      <c r="BF41" s="3">
        <f>$B41*INDEX(Curves!$C$2:$BV$2,BF$2-36+1)</f>
        <v/>
      </c>
      <c r="BG41" s="3">
        <f>$B41*INDEX(Curves!$C$2:$BV$2,BG$2-36+1)</f>
        <v/>
      </c>
      <c r="BH41" s="3">
        <f>$B41*INDEX(Curves!$C$2:$BV$2,BH$2-36+1)</f>
        <v/>
      </c>
      <c r="BI41" s="3">
        <f>$B41*INDEX(Curves!$C$2:$BV$2,BI$2-36+1)</f>
        <v/>
      </c>
      <c r="BJ41" s="3">
        <f>$B41*INDEX(Curves!$C$2:$BV$2,BJ$2-36+1)</f>
        <v/>
      </c>
      <c r="BK41" s="3">
        <f>$B41*INDEX(Curves!$C$2:$BV$2,BK$2-36+1)</f>
        <v/>
      </c>
      <c r="BL41" s="3">
        <f>$B41*INDEX(Curves!$C$2:$BV$2,BL$2-36+1)</f>
        <v/>
      </c>
      <c r="BM41" s="3">
        <f>$B41*INDEX(Curves!$C$2:$BV$2,BM$2-36+1)</f>
        <v/>
      </c>
      <c r="BN41" s="3">
        <f>$B41*INDEX(Curves!$C$2:$BV$2,BN$2-36+1)</f>
        <v/>
      </c>
      <c r="BO41" s="3">
        <f>$B41*INDEX(Curves!$C$2:$BV$2,BO$2-36+1)</f>
        <v/>
      </c>
      <c r="BP41" s="3">
        <f>$B41*INDEX(Curves!$C$2:$BV$2,BP$2-36+1)</f>
        <v/>
      </c>
      <c r="BQ41" s="3">
        <f>$B41*INDEX(Curves!$C$2:$BV$2,BQ$2-36+1)</f>
        <v/>
      </c>
      <c r="BR41" s="3">
        <f>$B41*INDEX(Curves!$C$2:$BV$2,BR$2-36+1)</f>
        <v/>
      </c>
      <c r="BS41" s="3">
        <f>$B41*INDEX(Curves!$C$2:$BV$2,BS$2-36+1)</f>
        <v/>
      </c>
      <c r="BT41" s="3">
        <f>$B41*INDEX(Curves!$C$2:$BV$2,BT$2-36+1)</f>
        <v/>
      </c>
      <c r="BU41" s="3">
        <f>$B41*INDEX(Curves!$C$2:$BV$2,BU$2-36+1)</f>
        <v/>
      </c>
      <c r="BV41" s="3">
        <f>$B41*INDEX(Curves!$C$2:$BV$2,BV$2-36+1)</f>
        <v/>
      </c>
    </row>
    <row r="42">
      <c r="A42" t="inlineStr">
        <is>
          <t>cohort 2028-02</t>
        </is>
      </c>
      <c r="B42" s="3">
        <f>INDEX(Adds!$C$12:$BV$12,38)</f>
        <v/>
      </c>
      <c r="AN42" s="3">
        <f>$B42*INDEX(Curves!$C$2:$BV$2,AN$2-37+1)</f>
        <v/>
      </c>
      <c r="AO42" s="3">
        <f>$B42*INDEX(Curves!$C$2:$BV$2,AO$2-37+1)</f>
        <v/>
      </c>
      <c r="AP42" s="3">
        <f>$B42*INDEX(Curves!$C$2:$BV$2,AP$2-37+1)</f>
        <v/>
      </c>
      <c r="AQ42" s="3">
        <f>$B42*INDEX(Curves!$C$2:$BV$2,AQ$2-37+1)</f>
        <v/>
      </c>
      <c r="AR42" s="3">
        <f>$B42*INDEX(Curves!$C$2:$BV$2,AR$2-37+1)</f>
        <v/>
      </c>
      <c r="AS42" s="3">
        <f>$B42*INDEX(Curves!$C$2:$BV$2,AS$2-37+1)</f>
        <v/>
      </c>
      <c r="AT42" s="3">
        <f>$B42*INDEX(Curves!$C$2:$BV$2,AT$2-37+1)</f>
        <v/>
      </c>
      <c r="AU42" s="3">
        <f>$B42*INDEX(Curves!$C$2:$BV$2,AU$2-37+1)</f>
        <v/>
      </c>
      <c r="AV42" s="3">
        <f>$B42*INDEX(Curves!$C$2:$BV$2,AV$2-37+1)</f>
        <v/>
      </c>
      <c r="AW42" s="3">
        <f>$B42*INDEX(Curves!$C$2:$BV$2,AW$2-37+1)</f>
        <v/>
      </c>
      <c r="AX42" s="3">
        <f>$B42*INDEX(Curves!$C$2:$BV$2,AX$2-37+1)</f>
        <v/>
      </c>
      <c r="AY42" s="3">
        <f>$B42*INDEX(Curves!$C$2:$BV$2,AY$2-37+1)</f>
        <v/>
      </c>
      <c r="AZ42" s="3">
        <f>$B42*INDEX(Curves!$C$2:$BV$2,AZ$2-37+1)</f>
        <v/>
      </c>
      <c r="BA42" s="3">
        <f>$B42*INDEX(Curves!$C$2:$BV$2,BA$2-37+1)</f>
        <v/>
      </c>
      <c r="BB42" s="3">
        <f>$B42*INDEX(Curves!$C$2:$BV$2,BB$2-37+1)</f>
        <v/>
      </c>
      <c r="BC42" s="3">
        <f>$B42*INDEX(Curves!$C$2:$BV$2,BC$2-37+1)</f>
        <v/>
      </c>
      <c r="BD42" s="3">
        <f>$B42*INDEX(Curves!$C$2:$BV$2,BD$2-37+1)</f>
        <v/>
      </c>
      <c r="BE42" s="3">
        <f>$B42*INDEX(Curves!$C$2:$BV$2,BE$2-37+1)</f>
        <v/>
      </c>
      <c r="BF42" s="3">
        <f>$B42*INDEX(Curves!$C$2:$BV$2,BF$2-37+1)</f>
        <v/>
      </c>
      <c r="BG42" s="3">
        <f>$B42*INDEX(Curves!$C$2:$BV$2,BG$2-37+1)</f>
        <v/>
      </c>
      <c r="BH42" s="3">
        <f>$B42*INDEX(Curves!$C$2:$BV$2,BH$2-37+1)</f>
        <v/>
      </c>
      <c r="BI42" s="3">
        <f>$B42*INDEX(Curves!$C$2:$BV$2,BI$2-37+1)</f>
        <v/>
      </c>
      <c r="BJ42" s="3">
        <f>$B42*INDEX(Curves!$C$2:$BV$2,BJ$2-37+1)</f>
        <v/>
      </c>
      <c r="BK42" s="3">
        <f>$B42*INDEX(Curves!$C$2:$BV$2,BK$2-37+1)</f>
        <v/>
      </c>
      <c r="BL42" s="3">
        <f>$B42*INDEX(Curves!$C$2:$BV$2,BL$2-37+1)</f>
        <v/>
      </c>
      <c r="BM42" s="3">
        <f>$B42*INDEX(Curves!$C$2:$BV$2,BM$2-37+1)</f>
        <v/>
      </c>
      <c r="BN42" s="3">
        <f>$B42*INDEX(Curves!$C$2:$BV$2,BN$2-37+1)</f>
        <v/>
      </c>
      <c r="BO42" s="3">
        <f>$B42*INDEX(Curves!$C$2:$BV$2,BO$2-37+1)</f>
        <v/>
      </c>
      <c r="BP42" s="3">
        <f>$B42*INDEX(Curves!$C$2:$BV$2,BP$2-37+1)</f>
        <v/>
      </c>
      <c r="BQ42" s="3">
        <f>$B42*INDEX(Curves!$C$2:$BV$2,BQ$2-37+1)</f>
        <v/>
      </c>
      <c r="BR42" s="3">
        <f>$B42*INDEX(Curves!$C$2:$BV$2,BR$2-37+1)</f>
        <v/>
      </c>
      <c r="BS42" s="3">
        <f>$B42*INDEX(Curves!$C$2:$BV$2,BS$2-37+1)</f>
        <v/>
      </c>
      <c r="BT42" s="3">
        <f>$B42*INDEX(Curves!$C$2:$BV$2,BT$2-37+1)</f>
        <v/>
      </c>
      <c r="BU42" s="3">
        <f>$B42*INDEX(Curves!$C$2:$BV$2,BU$2-37+1)</f>
        <v/>
      </c>
      <c r="BV42" s="3">
        <f>$B42*INDEX(Curves!$C$2:$BV$2,BV$2-37+1)</f>
        <v/>
      </c>
    </row>
    <row r="43">
      <c r="A43" t="inlineStr">
        <is>
          <t>cohort 2028-03</t>
        </is>
      </c>
      <c r="B43" s="3">
        <f>INDEX(Adds!$C$12:$BV$12,39)</f>
        <v/>
      </c>
      <c r="AO43" s="3">
        <f>$B43*INDEX(Curves!$C$2:$BV$2,AO$2-38+1)</f>
        <v/>
      </c>
      <c r="AP43" s="3">
        <f>$B43*INDEX(Curves!$C$2:$BV$2,AP$2-38+1)</f>
        <v/>
      </c>
      <c r="AQ43" s="3">
        <f>$B43*INDEX(Curves!$C$2:$BV$2,AQ$2-38+1)</f>
        <v/>
      </c>
      <c r="AR43" s="3">
        <f>$B43*INDEX(Curves!$C$2:$BV$2,AR$2-38+1)</f>
        <v/>
      </c>
      <c r="AS43" s="3">
        <f>$B43*INDEX(Curves!$C$2:$BV$2,AS$2-38+1)</f>
        <v/>
      </c>
      <c r="AT43" s="3">
        <f>$B43*INDEX(Curves!$C$2:$BV$2,AT$2-38+1)</f>
        <v/>
      </c>
      <c r="AU43" s="3">
        <f>$B43*INDEX(Curves!$C$2:$BV$2,AU$2-38+1)</f>
        <v/>
      </c>
      <c r="AV43" s="3">
        <f>$B43*INDEX(Curves!$C$2:$BV$2,AV$2-38+1)</f>
        <v/>
      </c>
      <c r="AW43" s="3">
        <f>$B43*INDEX(Curves!$C$2:$BV$2,AW$2-38+1)</f>
        <v/>
      </c>
      <c r="AX43" s="3">
        <f>$B43*INDEX(Curves!$C$2:$BV$2,AX$2-38+1)</f>
        <v/>
      </c>
      <c r="AY43" s="3">
        <f>$B43*INDEX(Curves!$C$2:$BV$2,AY$2-38+1)</f>
        <v/>
      </c>
      <c r="AZ43" s="3">
        <f>$B43*INDEX(Curves!$C$2:$BV$2,AZ$2-38+1)</f>
        <v/>
      </c>
      <c r="BA43" s="3">
        <f>$B43*INDEX(Curves!$C$2:$BV$2,BA$2-38+1)</f>
        <v/>
      </c>
      <c r="BB43" s="3">
        <f>$B43*INDEX(Curves!$C$2:$BV$2,BB$2-38+1)</f>
        <v/>
      </c>
      <c r="BC43" s="3">
        <f>$B43*INDEX(Curves!$C$2:$BV$2,BC$2-38+1)</f>
        <v/>
      </c>
      <c r="BD43" s="3">
        <f>$B43*INDEX(Curves!$C$2:$BV$2,BD$2-38+1)</f>
        <v/>
      </c>
      <c r="BE43" s="3">
        <f>$B43*INDEX(Curves!$C$2:$BV$2,BE$2-38+1)</f>
        <v/>
      </c>
      <c r="BF43" s="3">
        <f>$B43*INDEX(Curves!$C$2:$BV$2,BF$2-38+1)</f>
        <v/>
      </c>
      <c r="BG43" s="3">
        <f>$B43*INDEX(Curves!$C$2:$BV$2,BG$2-38+1)</f>
        <v/>
      </c>
      <c r="BH43" s="3">
        <f>$B43*INDEX(Curves!$C$2:$BV$2,BH$2-38+1)</f>
        <v/>
      </c>
      <c r="BI43" s="3">
        <f>$B43*INDEX(Curves!$C$2:$BV$2,BI$2-38+1)</f>
        <v/>
      </c>
      <c r="BJ43" s="3">
        <f>$B43*INDEX(Curves!$C$2:$BV$2,BJ$2-38+1)</f>
        <v/>
      </c>
      <c r="BK43" s="3">
        <f>$B43*INDEX(Curves!$C$2:$BV$2,BK$2-38+1)</f>
        <v/>
      </c>
      <c r="BL43" s="3">
        <f>$B43*INDEX(Curves!$C$2:$BV$2,BL$2-38+1)</f>
        <v/>
      </c>
      <c r="BM43" s="3">
        <f>$B43*INDEX(Curves!$C$2:$BV$2,BM$2-38+1)</f>
        <v/>
      </c>
      <c r="BN43" s="3">
        <f>$B43*INDEX(Curves!$C$2:$BV$2,BN$2-38+1)</f>
        <v/>
      </c>
      <c r="BO43" s="3">
        <f>$B43*INDEX(Curves!$C$2:$BV$2,BO$2-38+1)</f>
        <v/>
      </c>
      <c r="BP43" s="3">
        <f>$B43*INDEX(Curves!$C$2:$BV$2,BP$2-38+1)</f>
        <v/>
      </c>
      <c r="BQ43" s="3">
        <f>$B43*INDEX(Curves!$C$2:$BV$2,BQ$2-38+1)</f>
        <v/>
      </c>
      <c r="BR43" s="3">
        <f>$B43*INDEX(Curves!$C$2:$BV$2,BR$2-38+1)</f>
        <v/>
      </c>
      <c r="BS43" s="3">
        <f>$B43*INDEX(Curves!$C$2:$BV$2,BS$2-38+1)</f>
        <v/>
      </c>
      <c r="BT43" s="3">
        <f>$B43*INDEX(Curves!$C$2:$BV$2,BT$2-38+1)</f>
        <v/>
      </c>
      <c r="BU43" s="3">
        <f>$B43*INDEX(Curves!$C$2:$BV$2,BU$2-38+1)</f>
        <v/>
      </c>
      <c r="BV43" s="3">
        <f>$B43*INDEX(Curves!$C$2:$BV$2,BV$2-38+1)</f>
        <v/>
      </c>
    </row>
    <row r="44">
      <c r="A44" t="inlineStr">
        <is>
          <t>cohort 2028-04</t>
        </is>
      </c>
      <c r="B44" s="3">
        <f>INDEX(Adds!$C$12:$BV$12,40)</f>
        <v/>
      </c>
      <c r="AP44" s="3">
        <f>$B44*INDEX(Curves!$C$2:$BV$2,AP$2-39+1)</f>
        <v/>
      </c>
      <c r="AQ44" s="3">
        <f>$B44*INDEX(Curves!$C$2:$BV$2,AQ$2-39+1)</f>
        <v/>
      </c>
      <c r="AR44" s="3">
        <f>$B44*INDEX(Curves!$C$2:$BV$2,AR$2-39+1)</f>
        <v/>
      </c>
      <c r="AS44" s="3">
        <f>$B44*INDEX(Curves!$C$2:$BV$2,AS$2-39+1)</f>
        <v/>
      </c>
      <c r="AT44" s="3">
        <f>$B44*INDEX(Curves!$C$2:$BV$2,AT$2-39+1)</f>
        <v/>
      </c>
      <c r="AU44" s="3">
        <f>$B44*INDEX(Curves!$C$2:$BV$2,AU$2-39+1)</f>
        <v/>
      </c>
      <c r="AV44" s="3">
        <f>$B44*INDEX(Curves!$C$2:$BV$2,AV$2-39+1)</f>
        <v/>
      </c>
      <c r="AW44" s="3">
        <f>$B44*INDEX(Curves!$C$2:$BV$2,AW$2-39+1)</f>
        <v/>
      </c>
      <c r="AX44" s="3">
        <f>$B44*INDEX(Curves!$C$2:$BV$2,AX$2-39+1)</f>
        <v/>
      </c>
      <c r="AY44" s="3">
        <f>$B44*INDEX(Curves!$C$2:$BV$2,AY$2-39+1)</f>
        <v/>
      </c>
      <c r="AZ44" s="3">
        <f>$B44*INDEX(Curves!$C$2:$BV$2,AZ$2-39+1)</f>
        <v/>
      </c>
      <c r="BA44" s="3">
        <f>$B44*INDEX(Curves!$C$2:$BV$2,BA$2-39+1)</f>
        <v/>
      </c>
      <c r="BB44" s="3">
        <f>$B44*INDEX(Curves!$C$2:$BV$2,BB$2-39+1)</f>
        <v/>
      </c>
      <c r="BC44" s="3">
        <f>$B44*INDEX(Curves!$C$2:$BV$2,BC$2-39+1)</f>
        <v/>
      </c>
      <c r="BD44" s="3">
        <f>$B44*INDEX(Curves!$C$2:$BV$2,BD$2-39+1)</f>
        <v/>
      </c>
      <c r="BE44" s="3">
        <f>$B44*INDEX(Curves!$C$2:$BV$2,BE$2-39+1)</f>
        <v/>
      </c>
      <c r="BF44" s="3">
        <f>$B44*INDEX(Curves!$C$2:$BV$2,BF$2-39+1)</f>
        <v/>
      </c>
      <c r="BG44" s="3">
        <f>$B44*INDEX(Curves!$C$2:$BV$2,BG$2-39+1)</f>
        <v/>
      </c>
      <c r="BH44" s="3">
        <f>$B44*INDEX(Curves!$C$2:$BV$2,BH$2-39+1)</f>
        <v/>
      </c>
      <c r="BI44" s="3">
        <f>$B44*INDEX(Curves!$C$2:$BV$2,BI$2-39+1)</f>
        <v/>
      </c>
      <c r="BJ44" s="3">
        <f>$B44*INDEX(Curves!$C$2:$BV$2,BJ$2-39+1)</f>
        <v/>
      </c>
      <c r="BK44" s="3">
        <f>$B44*INDEX(Curves!$C$2:$BV$2,BK$2-39+1)</f>
        <v/>
      </c>
      <c r="BL44" s="3">
        <f>$B44*INDEX(Curves!$C$2:$BV$2,BL$2-39+1)</f>
        <v/>
      </c>
      <c r="BM44" s="3">
        <f>$B44*INDEX(Curves!$C$2:$BV$2,BM$2-39+1)</f>
        <v/>
      </c>
      <c r="BN44" s="3">
        <f>$B44*INDEX(Curves!$C$2:$BV$2,BN$2-39+1)</f>
        <v/>
      </c>
      <c r="BO44" s="3">
        <f>$B44*INDEX(Curves!$C$2:$BV$2,BO$2-39+1)</f>
        <v/>
      </c>
      <c r="BP44" s="3">
        <f>$B44*INDEX(Curves!$C$2:$BV$2,BP$2-39+1)</f>
        <v/>
      </c>
      <c r="BQ44" s="3">
        <f>$B44*INDEX(Curves!$C$2:$BV$2,BQ$2-39+1)</f>
        <v/>
      </c>
      <c r="BR44" s="3">
        <f>$B44*INDEX(Curves!$C$2:$BV$2,BR$2-39+1)</f>
        <v/>
      </c>
      <c r="BS44" s="3">
        <f>$B44*INDEX(Curves!$C$2:$BV$2,BS$2-39+1)</f>
        <v/>
      </c>
      <c r="BT44" s="3">
        <f>$B44*INDEX(Curves!$C$2:$BV$2,BT$2-39+1)</f>
        <v/>
      </c>
      <c r="BU44" s="3">
        <f>$B44*INDEX(Curves!$C$2:$BV$2,BU$2-39+1)</f>
        <v/>
      </c>
      <c r="BV44" s="3">
        <f>$B44*INDEX(Curves!$C$2:$BV$2,BV$2-39+1)</f>
        <v/>
      </c>
    </row>
    <row r="45">
      <c r="A45" t="inlineStr">
        <is>
          <t>cohort 2028-05</t>
        </is>
      </c>
      <c r="B45" s="3">
        <f>INDEX(Adds!$C$12:$BV$12,41)</f>
        <v/>
      </c>
      <c r="AQ45" s="3">
        <f>$B45*INDEX(Curves!$C$2:$BV$2,AQ$2-40+1)</f>
        <v/>
      </c>
      <c r="AR45" s="3">
        <f>$B45*INDEX(Curves!$C$2:$BV$2,AR$2-40+1)</f>
        <v/>
      </c>
      <c r="AS45" s="3">
        <f>$B45*INDEX(Curves!$C$2:$BV$2,AS$2-40+1)</f>
        <v/>
      </c>
      <c r="AT45" s="3">
        <f>$B45*INDEX(Curves!$C$2:$BV$2,AT$2-40+1)</f>
        <v/>
      </c>
      <c r="AU45" s="3">
        <f>$B45*INDEX(Curves!$C$2:$BV$2,AU$2-40+1)</f>
        <v/>
      </c>
      <c r="AV45" s="3">
        <f>$B45*INDEX(Curves!$C$2:$BV$2,AV$2-40+1)</f>
        <v/>
      </c>
      <c r="AW45" s="3">
        <f>$B45*INDEX(Curves!$C$2:$BV$2,AW$2-40+1)</f>
        <v/>
      </c>
      <c r="AX45" s="3">
        <f>$B45*INDEX(Curves!$C$2:$BV$2,AX$2-40+1)</f>
        <v/>
      </c>
      <c r="AY45" s="3">
        <f>$B45*INDEX(Curves!$C$2:$BV$2,AY$2-40+1)</f>
        <v/>
      </c>
      <c r="AZ45" s="3">
        <f>$B45*INDEX(Curves!$C$2:$BV$2,AZ$2-40+1)</f>
        <v/>
      </c>
      <c r="BA45" s="3">
        <f>$B45*INDEX(Curves!$C$2:$BV$2,BA$2-40+1)</f>
        <v/>
      </c>
      <c r="BB45" s="3">
        <f>$B45*INDEX(Curves!$C$2:$BV$2,BB$2-40+1)</f>
        <v/>
      </c>
      <c r="BC45" s="3">
        <f>$B45*INDEX(Curves!$C$2:$BV$2,BC$2-40+1)</f>
        <v/>
      </c>
      <c r="BD45" s="3">
        <f>$B45*INDEX(Curves!$C$2:$BV$2,BD$2-40+1)</f>
        <v/>
      </c>
      <c r="BE45" s="3">
        <f>$B45*INDEX(Curves!$C$2:$BV$2,BE$2-40+1)</f>
        <v/>
      </c>
      <c r="BF45" s="3">
        <f>$B45*INDEX(Curves!$C$2:$BV$2,BF$2-40+1)</f>
        <v/>
      </c>
      <c r="BG45" s="3">
        <f>$B45*INDEX(Curves!$C$2:$BV$2,BG$2-40+1)</f>
        <v/>
      </c>
      <c r="BH45" s="3">
        <f>$B45*INDEX(Curves!$C$2:$BV$2,BH$2-40+1)</f>
        <v/>
      </c>
      <c r="BI45" s="3">
        <f>$B45*INDEX(Curves!$C$2:$BV$2,BI$2-40+1)</f>
        <v/>
      </c>
      <c r="BJ45" s="3">
        <f>$B45*INDEX(Curves!$C$2:$BV$2,BJ$2-40+1)</f>
        <v/>
      </c>
      <c r="BK45" s="3">
        <f>$B45*INDEX(Curves!$C$2:$BV$2,BK$2-40+1)</f>
        <v/>
      </c>
      <c r="BL45" s="3">
        <f>$B45*INDEX(Curves!$C$2:$BV$2,BL$2-40+1)</f>
        <v/>
      </c>
      <c r="BM45" s="3">
        <f>$B45*INDEX(Curves!$C$2:$BV$2,BM$2-40+1)</f>
        <v/>
      </c>
      <c r="BN45" s="3">
        <f>$B45*INDEX(Curves!$C$2:$BV$2,BN$2-40+1)</f>
        <v/>
      </c>
      <c r="BO45" s="3">
        <f>$B45*INDEX(Curves!$C$2:$BV$2,BO$2-40+1)</f>
        <v/>
      </c>
      <c r="BP45" s="3">
        <f>$B45*INDEX(Curves!$C$2:$BV$2,BP$2-40+1)</f>
        <v/>
      </c>
      <c r="BQ45" s="3">
        <f>$B45*INDEX(Curves!$C$2:$BV$2,BQ$2-40+1)</f>
        <v/>
      </c>
      <c r="BR45" s="3">
        <f>$B45*INDEX(Curves!$C$2:$BV$2,BR$2-40+1)</f>
        <v/>
      </c>
      <c r="BS45" s="3">
        <f>$B45*INDEX(Curves!$C$2:$BV$2,BS$2-40+1)</f>
        <v/>
      </c>
      <c r="BT45" s="3">
        <f>$B45*INDEX(Curves!$C$2:$BV$2,BT$2-40+1)</f>
        <v/>
      </c>
      <c r="BU45" s="3">
        <f>$B45*INDEX(Curves!$C$2:$BV$2,BU$2-40+1)</f>
        <v/>
      </c>
      <c r="BV45" s="3">
        <f>$B45*INDEX(Curves!$C$2:$BV$2,BV$2-40+1)</f>
        <v/>
      </c>
    </row>
    <row r="46">
      <c r="A46" t="inlineStr">
        <is>
          <t>cohort 2028-06</t>
        </is>
      </c>
      <c r="B46" s="3">
        <f>INDEX(Adds!$C$12:$BV$12,42)</f>
        <v/>
      </c>
      <c r="AR46" s="3">
        <f>$B46*INDEX(Curves!$C$2:$BV$2,AR$2-41+1)</f>
        <v/>
      </c>
      <c r="AS46" s="3">
        <f>$B46*INDEX(Curves!$C$2:$BV$2,AS$2-41+1)</f>
        <v/>
      </c>
      <c r="AT46" s="3">
        <f>$B46*INDEX(Curves!$C$2:$BV$2,AT$2-41+1)</f>
        <v/>
      </c>
      <c r="AU46" s="3">
        <f>$B46*INDEX(Curves!$C$2:$BV$2,AU$2-41+1)</f>
        <v/>
      </c>
      <c r="AV46" s="3">
        <f>$B46*INDEX(Curves!$C$2:$BV$2,AV$2-41+1)</f>
        <v/>
      </c>
      <c r="AW46" s="3">
        <f>$B46*INDEX(Curves!$C$2:$BV$2,AW$2-41+1)</f>
        <v/>
      </c>
      <c r="AX46" s="3">
        <f>$B46*INDEX(Curves!$C$2:$BV$2,AX$2-41+1)</f>
        <v/>
      </c>
      <c r="AY46" s="3">
        <f>$B46*INDEX(Curves!$C$2:$BV$2,AY$2-41+1)</f>
        <v/>
      </c>
      <c r="AZ46" s="3">
        <f>$B46*INDEX(Curves!$C$2:$BV$2,AZ$2-41+1)</f>
        <v/>
      </c>
      <c r="BA46" s="3">
        <f>$B46*INDEX(Curves!$C$2:$BV$2,BA$2-41+1)</f>
        <v/>
      </c>
      <c r="BB46" s="3">
        <f>$B46*INDEX(Curves!$C$2:$BV$2,BB$2-41+1)</f>
        <v/>
      </c>
      <c r="BC46" s="3">
        <f>$B46*INDEX(Curves!$C$2:$BV$2,BC$2-41+1)</f>
        <v/>
      </c>
      <c r="BD46" s="3">
        <f>$B46*INDEX(Curves!$C$2:$BV$2,BD$2-41+1)</f>
        <v/>
      </c>
      <c r="BE46" s="3">
        <f>$B46*INDEX(Curves!$C$2:$BV$2,BE$2-41+1)</f>
        <v/>
      </c>
      <c r="BF46" s="3">
        <f>$B46*INDEX(Curves!$C$2:$BV$2,BF$2-41+1)</f>
        <v/>
      </c>
      <c r="BG46" s="3">
        <f>$B46*INDEX(Curves!$C$2:$BV$2,BG$2-41+1)</f>
        <v/>
      </c>
      <c r="BH46" s="3">
        <f>$B46*INDEX(Curves!$C$2:$BV$2,BH$2-41+1)</f>
        <v/>
      </c>
      <c r="BI46" s="3">
        <f>$B46*INDEX(Curves!$C$2:$BV$2,BI$2-41+1)</f>
        <v/>
      </c>
      <c r="BJ46" s="3">
        <f>$B46*INDEX(Curves!$C$2:$BV$2,BJ$2-41+1)</f>
        <v/>
      </c>
      <c r="BK46" s="3">
        <f>$B46*INDEX(Curves!$C$2:$BV$2,BK$2-41+1)</f>
        <v/>
      </c>
      <c r="BL46" s="3">
        <f>$B46*INDEX(Curves!$C$2:$BV$2,BL$2-41+1)</f>
        <v/>
      </c>
      <c r="BM46" s="3">
        <f>$B46*INDEX(Curves!$C$2:$BV$2,BM$2-41+1)</f>
        <v/>
      </c>
      <c r="BN46" s="3">
        <f>$B46*INDEX(Curves!$C$2:$BV$2,BN$2-41+1)</f>
        <v/>
      </c>
      <c r="BO46" s="3">
        <f>$B46*INDEX(Curves!$C$2:$BV$2,BO$2-41+1)</f>
        <v/>
      </c>
      <c r="BP46" s="3">
        <f>$B46*INDEX(Curves!$C$2:$BV$2,BP$2-41+1)</f>
        <v/>
      </c>
      <c r="BQ46" s="3">
        <f>$B46*INDEX(Curves!$C$2:$BV$2,BQ$2-41+1)</f>
        <v/>
      </c>
      <c r="BR46" s="3">
        <f>$B46*INDEX(Curves!$C$2:$BV$2,BR$2-41+1)</f>
        <v/>
      </c>
      <c r="BS46" s="3">
        <f>$B46*INDEX(Curves!$C$2:$BV$2,BS$2-41+1)</f>
        <v/>
      </c>
      <c r="BT46" s="3">
        <f>$B46*INDEX(Curves!$C$2:$BV$2,BT$2-41+1)</f>
        <v/>
      </c>
      <c r="BU46" s="3">
        <f>$B46*INDEX(Curves!$C$2:$BV$2,BU$2-41+1)</f>
        <v/>
      </c>
      <c r="BV46" s="3">
        <f>$B46*INDEX(Curves!$C$2:$BV$2,BV$2-41+1)</f>
        <v/>
      </c>
    </row>
    <row r="47">
      <c r="A47" t="inlineStr">
        <is>
          <t>cohort 2028-07</t>
        </is>
      </c>
      <c r="B47" s="3">
        <f>INDEX(Adds!$C$12:$BV$12,43)</f>
        <v/>
      </c>
      <c r="AS47" s="3">
        <f>$B47*INDEX(Curves!$C$2:$BV$2,AS$2-42+1)</f>
        <v/>
      </c>
      <c r="AT47" s="3">
        <f>$B47*INDEX(Curves!$C$2:$BV$2,AT$2-42+1)</f>
        <v/>
      </c>
      <c r="AU47" s="3">
        <f>$B47*INDEX(Curves!$C$2:$BV$2,AU$2-42+1)</f>
        <v/>
      </c>
      <c r="AV47" s="3">
        <f>$B47*INDEX(Curves!$C$2:$BV$2,AV$2-42+1)</f>
        <v/>
      </c>
      <c r="AW47" s="3">
        <f>$B47*INDEX(Curves!$C$2:$BV$2,AW$2-42+1)</f>
        <v/>
      </c>
      <c r="AX47" s="3">
        <f>$B47*INDEX(Curves!$C$2:$BV$2,AX$2-42+1)</f>
        <v/>
      </c>
      <c r="AY47" s="3">
        <f>$B47*INDEX(Curves!$C$2:$BV$2,AY$2-42+1)</f>
        <v/>
      </c>
      <c r="AZ47" s="3">
        <f>$B47*INDEX(Curves!$C$2:$BV$2,AZ$2-42+1)</f>
        <v/>
      </c>
      <c r="BA47" s="3">
        <f>$B47*INDEX(Curves!$C$2:$BV$2,BA$2-42+1)</f>
        <v/>
      </c>
      <c r="BB47" s="3">
        <f>$B47*INDEX(Curves!$C$2:$BV$2,BB$2-42+1)</f>
        <v/>
      </c>
      <c r="BC47" s="3">
        <f>$B47*INDEX(Curves!$C$2:$BV$2,BC$2-42+1)</f>
        <v/>
      </c>
      <c r="BD47" s="3">
        <f>$B47*INDEX(Curves!$C$2:$BV$2,BD$2-42+1)</f>
        <v/>
      </c>
      <c r="BE47" s="3">
        <f>$B47*INDEX(Curves!$C$2:$BV$2,BE$2-42+1)</f>
        <v/>
      </c>
      <c r="BF47" s="3">
        <f>$B47*INDEX(Curves!$C$2:$BV$2,BF$2-42+1)</f>
        <v/>
      </c>
      <c r="BG47" s="3">
        <f>$B47*INDEX(Curves!$C$2:$BV$2,BG$2-42+1)</f>
        <v/>
      </c>
      <c r="BH47" s="3">
        <f>$B47*INDEX(Curves!$C$2:$BV$2,BH$2-42+1)</f>
        <v/>
      </c>
      <c r="BI47" s="3">
        <f>$B47*INDEX(Curves!$C$2:$BV$2,BI$2-42+1)</f>
        <v/>
      </c>
      <c r="BJ47" s="3">
        <f>$B47*INDEX(Curves!$C$2:$BV$2,BJ$2-42+1)</f>
        <v/>
      </c>
      <c r="BK47" s="3">
        <f>$B47*INDEX(Curves!$C$2:$BV$2,BK$2-42+1)</f>
        <v/>
      </c>
      <c r="BL47" s="3">
        <f>$B47*INDEX(Curves!$C$2:$BV$2,BL$2-42+1)</f>
        <v/>
      </c>
      <c r="BM47" s="3">
        <f>$B47*INDEX(Curves!$C$2:$BV$2,BM$2-42+1)</f>
        <v/>
      </c>
      <c r="BN47" s="3">
        <f>$B47*INDEX(Curves!$C$2:$BV$2,BN$2-42+1)</f>
        <v/>
      </c>
      <c r="BO47" s="3">
        <f>$B47*INDEX(Curves!$C$2:$BV$2,BO$2-42+1)</f>
        <v/>
      </c>
      <c r="BP47" s="3">
        <f>$B47*INDEX(Curves!$C$2:$BV$2,BP$2-42+1)</f>
        <v/>
      </c>
      <c r="BQ47" s="3">
        <f>$B47*INDEX(Curves!$C$2:$BV$2,BQ$2-42+1)</f>
        <v/>
      </c>
      <c r="BR47" s="3">
        <f>$B47*INDEX(Curves!$C$2:$BV$2,BR$2-42+1)</f>
        <v/>
      </c>
      <c r="BS47" s="3">
        <f>$B47*INDEX(Curves!$C$2:$BV$2,BS$2-42+1)</f>
        <v/>
      </c>
      <c r="BT47" s="3">
        <f>$B47*INDEX(Curves!$C$2:$BV$2,BT$2-42+1)</f>
        <v/>
      </c>
      <c r="BU47" s="3">
        <f>$B47*INDEX(Curves!$C$2:$BV$2,BU$2-42+1)</f>
        <v/>
      </c>
      <c r="BV47" s="3">
        <f>$B47*INDEX(Curves!$C$2:$BV$2,BV$2-42+1)</f>
        <v/>
      </c>
    </row>
    <row r="48">
      <c r="A48" t="inlineStr">
        <is>
          <t>cohort 2028-08</t>
        </is>
      </c>
      <c r="B48" s="3">
        <f>INDEX(Adds!$C$12:$BV$12,44)</f>
        <v/>
      </c>
      <c r="AT48" s="3">
        <f>$B48*INDEX(Curves!$C$2:$BV$2,AT$2-43+1)</f>
        <v/>
      </c>
      <c r="AU48" s="3">
        <f>$B48*INDEX(Curves!$C$2:$BV$2,AU$2-43+1)</f>
        <v/>
      </c>
      <c r="AV48" s="3">
        <f>$B48*INDEX(Curves!$C$2:$BV$2,AV$2-43+1)</f>
        <v/>
      </c>
      <c r="AW48" s="3">
        <f>$B48*INDEX(Curves!$C$2:$BV$2,AW$2-43+1)</f>
        <v/>
      </c>
      <c r="AX48" s="3">
        <f>$B48*INDEX(Curves!$C$2:$BV$2,AX$2-43+1)</f>
        <v/>
      </c>
      <c r="AY48" s="3">
        <f>$B48*INDEX(Curves!$C$2:$BV$2,AY$2-43+1)</f>
        <v/>
      </c>
      <c r="AZ48" s="3">
        <f>$B48*INDEX(Curves!$C$2:$BV$2,AZ$2-43+1)</f>
        <v/>
      </c>
      <c r="BA48" s="3">
        <f>$B48*INDEX(Curves!$C$2:$BV$2,BA$2-43+1)</f>
        <v/>
      </c>
      <c r="BB48" s="3">
        <f>$B48*INDEX(Curves!$C$2:$BV$2,BB$2-43+1)</f>
        <v/>
      </c>
      <c r="BC48" s="3">
        <f>$B48*INDEX(Curves!$C$2:$BV$2,BC$2-43+1)</f>
        <v/>
      </c>
      <c r="BD48" s="3">
        <f>$B48*INDEX(Curves!$C$2:$BV$2,BD$2-43+1)</f>
        <v/>
      </c>
      <c r="BE48" s="3">
        <f>$B48*INDEX(Curves!$C$2:$BV$2,BE$2-43+1)</f>
        <v/>
      </c>
      <c r="BF48" s="3">
        <f>$B48*INDEX(Curves!$C$2:$BV$2,BF$2-43+1)</f>
        <v/>
      </c>
      <c r="BG48" s="3">
        <f>$B48*INDEX(Curves!$C$2:$BV$2,BG$2-43+1)</f>
        <v/>
      </c>
      <c r="BH48" s="3">
        <f>$B48*INDEX(Curves!$C$2:$BV$2,BH$2-43+1)</f>
        <v/>
      </c>
      <c r="BI48" s="3">
        <f>$B48*INDEX(Curves!$C$2:$BV$2,BI$2-43+1)</f>
        <v/>
      </c>
      <c r="BJ48" s="3">
        <f>$B48*INDEX(Curves!$C$2:$BV$2,BJ$2-43+1)</f>
        <v/>
      </c>
      <c r="BK48" s="3">
        <f>$B48*INDEX(Curves!$C$2:$BV$2,BK$2-43+1)</f>
        <v/>
      </c>
      <c r="BL48" s="3">
        <f>$B48*INDEX(Curves!$C$2:$BV$2,BL$2-43+1)</f>
        <v/>
      </c>
      <c r="BM48" s="3">
        <f>$B48*INDEX(Curves!$C$2:$BV$2,BM$2-43+1)</f>
        <v/>
      </c>
      <c r="BN48" s="3">
        <f>$B48*INDEX(Curves!$C$2:$BV$2,BN$2-43+1)</f>
        <v/>
      </c>
      <c r="BO48" s="3">
        <f>$B48*INDEX(Curves!$C$2:$BV$2,BO$2-43+1)</f>
        <v/>
      </c>
      <c r="BP48" s="3">
        <f>$B48*INDEX(Curves!$C$2:$BV$2,BP$2-43+1)</f>
        <v/>
      </c>
      <c r="BQ48" s="3">
        <f>$B48*INDEX(Curves!$C$2:$BV$2,BQ$2-43+1)</f>
        <v/>
      </c>
      <c r="BR48" s="3">
        <f>$B48*INDEX(Curves!$C$2:$BV$2,BR$2-43+1)</f>
        <v/>
      </c>
      <c r="BS48" s="3">
        <f>$B48*INDEX(Curves!$C$2:$BV$2,BS$2-43+1)</f>
        <v/>
      </c>
      <c r="BT48" s="3">
        <f>$B48*INDEX(Curves!$C$2:$BV$2,BT$2-43+1)</f>
        <v/>
      </c>
      <c r="BU48" s="3">
        <f>$B48*INDEX(Curves!$C$2:$BV$2,BU$2-43+1)</f>
        <v/>
      </c>
      <c r="BV48" s="3">
        <f>$B48*INDEX(Curves!$C$2:$BV$2,BV$2-43+1)</f>
        <v/>
      </c>
    </row>
    <row r="49">
      <c r="A49" t="inlineStr">
        <is>
          <t>cohort 2028-09</t>
        </is>
      </c>
      <c r="B49" s="3">
        <f>INDEX(Adds!$C$12:$BV$12,45)</f>
        <v/>
      </c>
      <c r="AU49" s="3">
        <f>$B49*INDEX(Curves!$C$2:$BV$2,AU$2-44+1)</f>
        <v/>
      </c>
      <c r="AV49" s="3">
        <f>$B49*INDEX(Curves!$C$2:$BV$2,AV$2-44+1)</f>
        <v/>
      </c>
      <c r="AW49" s="3">
        <f>$B49*INDEX(Curves!$C$2:$BV$2,AW$2-44+1)</f>
        <v/>
      </c>
      <c r="AX49" s="3">
        <f>$B49*INDEX(Curves!$C$2:$BV$2,AX$2-44+1)</f>
        <v/>
      </c>
      <c r="AY49" s="3">
        <f>$B49*INDEX(Curves!$C$2:$BV$2,AY$2-44+1)</f>
        <v/>
      </c>
      <c r="AZ49" s="3">
        <f>$B49*INDEX(Curves!$C$2:$BV$2,AZ$2-44+1)</f>
        <v/>
      </c>
      <c r="BA49" s="3">
        <f>$B49*INDEX(Curves!$C$2:$BV$2,BA$2-44+1)</f>
        <v/>
      </c>
      <c r="BB49" s="3">
        <f>$B49*INDEX(Curves!$C$2:$BV$2,BB$2-44+1)</f>
        <v/>
      </c>
      <c r="BC49" s="3">
        <f>$B49*INDEX(Curves!$C$2:$BV$2,BC$2-44+1)</f>
        <v/>
      </c>
      <c r="BD49" s="3">
        <f>$B49*INDEX(Curves!$C$2:$BV$2,BD$2-44+1)</f>
        <v/>
      </c>
      <c r="BE49" s="3">
        <f>$B49*INDEX(Curves!$C$2:$BV$2,BE$2-44+1)</f>
        <v/>
      </c>
      <c r="BF49" s="3">
        <f>$B49*INDEX(Curves!$C$2:$BV$2,BF$2-44+1)</f>
        <v/>
      </c>
      <c r="BG49" s="3">
        <f>$B49*INDEX(Curves!$C$2:$BV$2,BG$2-44+1)</f>
        <v/>
      </c>
      <c r="BH49" s="3">
        <f>$B49*INDEX(Curves!$C$2:$BV$2,BH$2-44+1)</f>
        <v/>
      </c>
      <c r="BI49" s="3">
        <f>$B49*INDEX(Curves!$C$2:$BV$2,BI$2-44+1)</f>
        <v/>
      </c>
      <c r="BJ49" s="3">
        <f>$B49*INDEX(Curves!$C$2:$BV$2,BJ$2-44+1)</f>
        <v/>
      </c>
      <c r="BK49" s="3">
        <f>$B49*INDEX(Curves!$C$2:$BV$2,BK$2-44+1)</f>
        <v/>
      </c>
      <c r="BL49" s="3">
        <f>$B49*INDEX(Curves!$C$2:$BV$2,BL$2-44+1)</f>
        <v/>
      </c>
      <c r="BM49" s="3">
        <f>$B49*INDEX(Curves!$C$2:$BV$2,BM$2-44+1)</f>
        <v/>
      </c>
      <c r="BN49" s="3">
        <f>$B49*INDEX(Curves!$C$2:$BV$2,BN$2-44+1)</f>
        <v/>
      </c>
      <c r="BO49" s="3">
        <f>$B49*INDEX(Curves!$C$2:$BV$2,BO$2-44+1)</f>
        <v/>
      </c>
      <c r="BP49" s="3">
        <f>$B49*INDEX(Curves!$C$2:$BV$2,BP$2-44+1)</f>
        <v/>
      </c>
      <c r="BQ49" s="3">
        <f>$B49*INDEX(Curves!$C$2:$BV$2,BQ$2-44+1)</f>
        <v/>
      </c>
      <c r="BR49" s="3">
        <f>$B49*INDEX(Curves!$C$2:$BV$2,BR$2-44+1)</f>
        <v/>
      </c>
      <c r="BS49" s="3">
        <f>$B49*INDEX(Curves!$C$2:$BV$2,BS$2-44+1)</f>
        <v/>
      </c>
      <c r="BT49" s="3">
        <f>$B49*INDEX(Curves!$C$2:$BV$2,BT$2-44+1)</f>
        <v/>
      </c>
      <c r="BU49" s="3">
        <f>$B49*INDEX(Curves!$C$2:$BV$2,BU$2-44+1)</f>
        <v/>
      </c>
      <c r="BV49" s="3">
        <f>$B49*INDEX(Curves!$C$2:$BV$2,BV$2-44+1)</f>
        <v/>
      </c>
    </row>
    <row r="50">
      <c r="A50" t="inlineStr">
        <is>
          <t>cohort 2028-10</t>
        </is>
      </c>
      <c r="B50" s="3">
        <f>INDEX(Adds!$C$12:$BV$12,46)</f>
        <v/>
      </c>
      <c r="AV50" s="3">
        <f>$B50*INDEX(Curves!$C$2:$BV$2,AV$2-45+1)</f>
        <v/>
      </c>
      <c r="AW50" s="3">
        <f>$B50*INDEX(Curves!$C$2:$BV$2,AW$2-45+1)</f>
        <v/>
      </c>
      <c r="AX50" s="3">
        <f>$B50*INDEX(Curves!$C$2:$BV$2,AX$2-45+1)</f>
        <v/>
      </c>
      <c r="AY50" s="3">
        <f>$B50*INDEX(Curves!$C$2:$BV$2,AY$2-45+1)</f>
        <v/>
      </c>
      <c r="AZ50" s="3">
        <f>$B50*INDEX(Curves!$C$2:$BV$2,AZ$2-45+1)</f>
        <v/>
      </c>
      <c r="BA50" s="3">
        <f>$B50*INDEX(Curves!$C$2:$BV$2,BA$2-45+1)</f>
        <v/>
      </c>
      <c r="BB50" s="3">
        <f>$B50*INDEX(Curves!$C$2:$BV$2,BB$2-45+1)</f>
        <v/>
      </c>
      <c r="BC50" s="3">
        <f>$B50*INDEX(Curves!$C$2:$BV$2,BC$2-45+1)</f>
        <v/>
      </c>
      <c r="BD50" s="3">
        <f>$B50*INDEX(Curves!$C$2:$BV$2,BD$2-45+1)</f>
        <v/>
      </c>
      <c r="BE50" s="3">
        <f>$B50*INDEX(Curves!$C$2:$BV$2,BE$2-45+1)</f>
        <v/>
      </c>
      <c r="BF50" s="3">
        <f>$B50*INDEX(Curves!$C$2:$BV$2,BF$2-45+1)</f>
        <v/>
      </c>
      <c r="BG50" s="3">
        <f>$B50*INDEX(Curves!$C$2:$BV$2,BG$2-45+1)</f>
        <v/>
      </c>
      <c r="BH50" s="3">
        <f>$B50*INDEX(Curves!$C$2:$BV$2,BH$2-45+1)</f>
        <v/>
      </c>
      <c r="BI50" s="3">
        <f>$B50*INDEX(Curves!$C$2:$BV$2,BI$2-45+1)</f>
        <v/>
      </c>
      <c r="BJ50" s="3">
        <f>$B50*INDEX(Curves!$C$2:$BV$2,BJ$2-45+1)</f>
        <v/>
      </c>
      <c r="BK50" s="3">
        <f>$B50*INDEX(Curves!$C$2:$BV$2,BK$2-45+1)</f>
        <v/>
      </c>
      <c r="BL50" s="3">
        <f>$B50*INDEX(Curves!$C$2:$BV$2,BL$2-45+1)</f>
        <v/>
      </c>
      <c r="BM50" s="3">
        <f>$B50*INDEX(Curves!$C$2:$BV$2,BM$2-45+1)</f>
        <v/>
      </c>
      <c r="BN50" s="3">
        <f>$B50*INDEX(Curves!$C$2:$BV$2,BN$2-45+1)</f>
        <v/>
      </c>
      <c r="BO50" s="3">
        <f>$B50*INDEX(Curves!$C$2:$BV$2,BO$2-45+1)</f>
        <v/>
      </c>
      <c r="BP50" s="3">
        <f>$B50*INDEX(Curves!$C$2:$BV$2,BP$2-45+1)</f>
        <v/>
      </c>
      <c r="BQ50" s="3">
        <f>$B50*INDEX(Curves!$C$2:$BV$2,BQ$2-45+1)</f>
        <v/>
      </c>
      <c r="BR50" s="3">
        <f>$B50*INDEX(Curves!$C$2:$BV$2,BR$2-45+1)</f>
        <v/>
      </c>
      <c r="BS50" s="3">
        <f>$B50*INDEX(Curves!$C$2:$BV$2,BS$2-45+1)</f>
        <v/>
      </c>
      <c r="BT50" s="3">
        <f>$B50*INDEX(Curves!$C$2:$BV$2,BT$2-45+1)</f>
        <v/>
      </c>
      <c r="BU50" s="3">
        <f>$B50*INDEX(Curves!$C$2:$BV$2,BU$2-45+1)</f>
        <v/>
      </c>
      <c r="BV50" s="3">
        <f>$B50*INDEX(Curves!$C$2:$BV$2,BV$2-45+1)</f>
        <v/>
      </c>
    </row>
    <row r="51">
      <c r="A51" t="inlineStr">
        <is>
          <t>cohort 2028-11</t>
        </is>
      </c>
      <c r="B51" s="3">
        <f>INDEX(Adds!$C$12:$BV$12,47)</f>
        <v/>
      </c>
      <c r="AW51" s="3">
        <f>$B51*INDEX(Curves!$C$2:$BV$2,AW$2-46+1)</f>
        <v/>
      </c>
      <c r="AX51" s="3">
        <f>$B51*INDEX(Curves!$C$2:$BV$2,AX$2-46+1)</f>
        <v/>
      </c>
      <c r="AY51" s="3">
        <f>$B51*INDEX(Curves!$C$2:$BV$2,AY$2-46+1)</f>
        <v/>
      </c>
      <c r="AZ51" s="3">
        <f>$B51*INDEX(Curves!$C$2:$BV$2,AZ$2-46+1)</f>
        <v/>
      </c>
      <c r="BA51" s="3">
        <f>$B51*INDEX(Curves!$C$2:$BV$2,BA$2-46+1)</f>
        <v/>
      </c>
      <c r="BB51" s="3">
        <f>$B51*INDEX(Curves!$C$2:$BV$2,BB$2-46+1)</f>
        <v/>
      </c>
      <c r="BC51" s="3">
        <f>$B51*INDEX(Curves!$C$2:$BV$2,BC$2-46+1)</f>
        <v/>
      </c>
      <c r="BD51" s="3">
        <f>$B51*INDEX(Curves!$C$2:$BV$2,BD$2-46+1)</f>
        <v/>
      </c>
      <c r="BE51" s="3">
        <f>$B51*INDEX(Curves!$C$2:$BV$2,BE$2-46+1)</f>
        <v/>
      </c>
      <c r="BF51" s="3">
        <f>$B51*INDEX(Curves!$C$2:$BV$2,BF$2-46+1)</f>
        <v/>
      </c>
      <c r="BG51" s="3">
        <f>$B51*INDEX(Curves!$C$2:$BV$2,BG$2-46+1)</f>
        <v/>
      </c>
      <c r="BH51" s="3">
        <f>$B51*INDEX(Curves!$C$2:$BV$2,BH$2-46+1)</f>
        <v/>
      </c>
      <c r="BI51" s="3">
        <f>$B51*INDEX(Curves!$C$2:$BV$2,BI$2-46+1)</f>
        <v/>
      </c>
      <c r="BJ51" s="3">
        <f>$B51*INDEX(Curves!$C$2:$BV$2,BJ$2-46+1)</f>
        <v/>
      </c>
      <c r="BK51" s="3">
        <f>$B51*INDEX(Curves!$C$2:$BV$2,BK$2-46+1)</f>
        <v/>
      </c>
      <c r="BL51" s="3">
        <f>$B51*INDEX(Curves!$C$2:$BV$2,BL$2-46+1)</f>
        <v/>
      </c>
      <c r="BM51" s="3">
        <f>$B51*INDEX(Curves!$C$2:$BV$2,BM$2-46+1)</f>
        <v/>
      </c>
      <c r="BN51" s="3">
        <f>$B51*INDEX(Curves!$C$2:$BV$2,BN$2-46+1)</f>
        <v/>
      </c>
      <c r="BO51" s="3">
        <f>$B51*INDEX(Curves!$C$2:$BV$2,BO$2-46+1)</f>
        <v/>
      </c>
      <c r="BP51" s="3">
        <f>$B51*INDEX(Curves!$C$2:$BV$2,BP$2-46+1)</f>
        <v/>
      </c>
      <c r="BQ51" s="3">
        <f>$B51*INDEX(Curves!$C$2:$BV$2,BQ$2-46+1)</f>
        <v/>
      </c>
      <c r="BR51" s="3">
        <f>$B51*INDEX(Curves!$C$2:$BV$2,BR$2-46+1)</f>
        <v/>
      </c>
      <c r="BS51" s="3">
        <f>$B51*INDEX(Curves!$C$2:$BV$2,BS$2-46+1)</f>
        <v/>
      </c>
      <c r="BT51" s="3">
        <f>$B51*INDEX(Curves!$C$2:$BV$2,BT$2-46+1)</f>
        <v/>
      </c>
      <c r="BU51" s="3">
        <f>$B51*INDEX(Curves!$C$2:$BV$2,BU$2-46+1)</f>
        <v/>
      </c>
      <c r="BV51" s="3">
        <f>$B51*INDEX(Curves!$C$2:$BV$2,BV$2-46+1)</f>
        <v/>
      </c>
    </row>
    <row r="52">
      <c r="A52" t="inlineStr">
        <is>
          <t>cohort 2028-12</t>
        </is>
      </c>
      <c r="B52" s="3">
        <f>INDEX(Adds!$C$12:$BV$12,48)</f>
        <v/>
      </c>
      <c r="AX52" s="3">
        <f>$B52*INDEX(Curves!$C$2:$BV$2,AX$2-47+1)</f>
        <v/>
      </c>
      <c r="AY52" s="3">
        <f>$B52*INDEX(Curves!$C$2:$BV$2,AY$2-47+1)</f>
        <v/>
      </c>
      <c r="AZ52" s="3">
        <f>$B52*INDEX(Curves!$C$2:$BV$2,AZ$2-47+1)</f>
        <v/>
      </c>
      <c r="BA52" s="3">
        <f>$B52*INDEX(Curves!$C$2:$BV$2,BA$2-47+1)</f>
        <v/>
      </c>
      <c r="BB52" s="3">
        <f>$B52*INDEX(Curves!$C$2:$BV$2,BB$2-47+1)</f>
        <v/>
      </c>
      <c r="BC52" s="3">
        <f>$B52*INDEX(Curves!$C$2:$BV$2,BC$2-47+1)</f>
        <v/>
      </c>
      <c r="BD52" s="3">
        <f>$B52*INDEX(Curves!$C$2:$BV$2,BD$2-47+1)</f>
        <v/>
      </c>
      <c r="BE52" s="3">
        <f>$B52*INDEX(Curves!$C$2:$BV$2,BE$2-47+1)</f>
        <v/>
      </c>
      <c r="BF52" s="3">
        <f>$B52*INDEX(Curves!$C$2:$BV$2,BF$2-47+1)</f>
        <v/>
      </c>
      <c r="BG52" s="3">
        <f>$B52*INDEX(Curves!$C$2:$BV$2,BG$2-47+1)</f>
        <v/>
      </c>
      <c r="BH52" s="3">
        <f>$B52*INDEX(Curves!$C$2:$BV$2,BH$2-47+1)</f>
        <v/>
      </c>
      <c r="BI52" s="3">
        <f>$B52*INDEX(Curves!$C$2:$BV$2,BI$2-47+1)</f>
        <v/>
      </c>
      <c r="BJ52" s="3">
        <f>$B52*INDEX(Curves!$C$2:$BV$2,BJ$2-47+1)</f>
        <v/>
      </c>
      <c r="BK52" s="3">
        <f>$B52*INDEX(Curves!$C$2:$BV$2,BK$2-47+1)</f>
        <v/>
      </c>
      <c r="BL52" s="3">
        <f>$B52*INDEX(Curves!$C$2:$BV$2,BL$2-47+1)</f>
        <v/>
      </c>
      <c r="BM52" s="3">
        <f>$B52*INDEX(Curves!$C$2:$BV$2,BM$2-47+1)</f>
        <v/>
      </c>
      <c r="BN52" s="3">
        <f>$B52*INDEX(Curves!$C$2:$BV$2,BN$2-47+1)</f>
        <v/>
      </c>
      <c r="BO52" s="3">
        <f>$B52*INDEX(Curves!$C$2:$BV$2,BO$2-47+1)</f>
        <v/>
      </c>
      <c r="BP52" s="3">
        <f>$B52*INDEX(Curves!$C$2:$BV$2,BP$2-47+1)</f>
        <v/>
      </c>
      <c r="BQ52" s="3">
        <f>$B52*INDEX(Curves!$C$2:$BV$2,BQ$2-47+1)</f>
        <v/>
      </c>
      <c r="BR52" s="3">
        <f>$B52*INDEX(Curves!$C$2:$BV$2,BR$2-47+1)</f>
        <v/>
      </c>
      <c r="BS52" s="3">
        <f>$B52*INDEX(Curves!$C$2:$BV$2,BS$2-47+1)</f>
        <v/>
      </c>
      <c r="BT52" s="3">
        <f>$B52*INDEX(Curves!$C$2:$BV$2,BT$2-47+1)</f>
        <v/>
      </c>
      <c r="BU52" s="3">
        <f>$B52*INDEX(Curves!$C$2:$BV$2,BU$2-47+1)</f>
        <v/>
      </c>
      <c r="BV52" s="3">
        <f>$B52*INDEX(Curves!$C$2:$BV$2,BV$2-47+1)</f>
        <v/>
      </c>
    </row>
    <row r="53">
      <c r="A53" t="inlineStr">
        <is>
          <t>cohort 2029-01</t>
        </is>
      </c>
      <c r="B53" s="3">
        <f>INDEX(Adds!$C$12:$BV$12,49)</f>
        <v/>
      </c>
      <c r="AY53" s="3">
        <f>$B53*INDEX(Curves!$C$2:$BV$2,AY$2-48+1)</f>
        <v/>
      </c>
      <c r="AZ53" s="3">
        <f>$B53*INDEX(Curves!$C$2:$BV$2,AZ$2-48+1)</f>
        <v/>
      </c>
      <c r="BA53" s="3">
        <f>$B53*INDEX(Curves!$C$2:$BV$2,BA$2-48+1)</f>
        <v/>
      </c>
      <c r="BB53" s="3">
        <f>$B53*INDEX(Curves!$C$2:$BV$2,BB$2-48+1)</f>
        <v/>
      </c>
      <c r="BC53" s="3">
        <f>$B53*INDEX(Curves!$C$2:$BV$2,BC$2-48+1)</f>
        <v/>
      </c>
      <c r="BD53" s="3">
        <f>$B53*INDEX(Curves!$C$2:$BV$2,BD$2-48+1)</f>
        <v/>
      </c>
      <c r="BE53" s="3">
        <f>$B53*INDEX(Curves!$C$2:$BV$2,BE$2-48+1)</f>
        <v/>
      </c>
      <c r="BF53" s="3">
        <f>$B53*INDEX(Curves!$C$2:$BV$2,BF$2-48+1)</f>
        <v/>
      </c>
      <c r="BG53" s="3">
        <f>$B53*INDEX(Curves!$C$2:$BV$2,BG$2-48+1)</f>
        <v/>
      </c>
      <c r="BH53" s="3">
        <f>$B53*INDEX(Curves!$C$2:$BV$2,BH$2-48+1)</f>
        <v/>
      </c>
      <c r="BI53" s="3">
        <f>$B53*INDEX(Curves!$C$2:$BV$2,BI$2-48+1)</f>
        <v/>
      </c>
      <c r="BJ53" s="3">
        <f>$B53*INDEX(Curves!$C$2:$BV$2,BJ$2-48+1)</f>
        <v/>
      </c>
      <c r="BK53" s="3">
        <f>$B53*INDEX(Curves!$C$2:$BV$2,BK$2-48+1)</f>
        <v/>
      </c>
      <c r="BL53" s="3">
        <f>$B53*INDEX(Curves!$C$2:$BV$2,BL$2-48+1)</f>
        <v/>
      </c>
      <c r="BM53" s="3">
        <f>$B53*INDEX(Curves!$C$2:$BV$2,BM$2-48+1)</f>
        <v/>
      </c>
      <c r="BN53" s="3">
        <f>$B53*INDEX(Curves!$C$2:$BV$2,BN$2-48+1)</f>
        <v/>
      </c>
      <c r="BO53" s="3">
        <f>$B53*INDEX(Curves!$C$2:$BV$2,BO$2-48+1)</f>
        <v/>
      </c>
      <c r="BP53" s="3">
        <f>$B53*INDEX(Curves!$C$2:$BV$2,BP$2-48+1)</f>
        <v/>
      </c>
      <c r="BQ53" s="3">
        <f>$B53*INDEX(Curves!$C$2:$BV$2,BQ$2-48+1)</f>
        <v/>
      </c>
      <c r="BR53" s="3">
        <f>$B53*INDEX(Curves!$C$2:$BV$2,BR$2-48+1)</f>
        <v/>
      </c>
      <c r="BS53" s="3">
        <f>$B53*INDEX(Curves!$C$2:$BV$2,BS$2-48+1)</f>
        <v/>
      </c>
      <c r="BT53" s="3">
        <f>$B53*INDEX(Curves!$C$2:$BV$2,BT$2-48+1)</f>
        <v/>
      </c>
      <c r="BU53" s="3">
        <f>$B53*INDEX(Curves!$C$2:$BV$2,BU$2-48+1)</f>
        <v/>
      </c>
      <c r="BV53" s="3">
        <f>$B53*INDEX(Curves!$C$2:$BV$2,BV$2-48+1)</f>
        <v/>
      </c>
    </row>
    <row r="54">
      <c r="A54" t="inlineStr">
        <is>
          <t>cohort 2029-02</t>
        </is>
      </c>
      <c r="B54" s="3">
        <f>INDEX(Adds!$C$12:$BV$12,50)</f>
        <v/>
      </c>
      <c r="AZ54" s="3">
        <f>$B54*INDEX(Curves!$C$2:$BV$2,AZ$2-49+1)</f>
        <v/>
      </c>
      <c r="BA54" s="3">
        <f>$B54*INDEX(Curves!$C$2:$BV$2,BA$2-49+1)</f>
        <v/>
      </c>
      <c r="BB54" s="3">
        <f>$B54*INDEX(Curves!$C$2:$BV$2,BB$2-49+1)</f>
        <v/>
      </c>
      <c r="BC54" s="3">
        <f>$B54*INDEX(Curves!$C$2:$BV$2,BC$2-49+1)</f>
        <v/>
      </c>
      <c r="BD54" s="3">
        <f>$B54*INDEX(Curves!$C$2:$BV$2,BD$2-49+1)</f>
        <v/>
      </c>
      <c r="BE54" s="3">
        <f>$B54*INDEX(Curves!$C$2:$BV$2,BE$2-49+1)</f>
        <v/>
      </c>
      <c r="BF54" s="3">
        <f>$B54*INDEX(Curves!$C$2:$BV$2,BF$2-49+1)</f>
        <v/>
      </c>
      <c r="BG54" s="3">
        <f>$B54*INDEX(Curves!$C$2:$BV$2,BG$2-49+1)</f>
        <v/>
      </c>
      <c r="BH54" s="3">
        <f>$B54*INDEX(Curves!$C$2:$BV$2,BH$2-49+1)</f>
        <v/>
      </c>
      <c r="BI54" s="3">
        <f>$B54*INDEX(Curves!$C$2:$BV$2,BI$2-49+1)</f>
        <v/>
      </c>
      <c r="BJ54" s="3">
        <f>$B54*INDEX(Curves!$C$2:$BV$2,BJ$2-49+1)</f>
        <v/>
      </c>
      <c r="BK54" s="3">
        <f>$B54*INDEX(Curves!$C$2:$BV$2,BK$2-49+1)</f>
        <v/>
      </c>
      <c r="BL54" s="3">
        <f>$B54*INDEX(Curves!$C$2:$BV$2,BL$2-49+1)</f>
        <v/>
      </c>
      <c r="BM54" s="3">
        <f>$B54*INDEX(Curves!$C$2:$BV$2,BM$2-49+1)</f>
        <v/>
      </c>
      <c r="BN54" s="3">
        <f>$B54*INDEX(Curves!$C$2:$BV$2,BN$2-49+1)</f>
        <v/>
      </c>
      <c r="BO54" s="3">
        <f>$B54*INDEX(Curves!$C$2:$BV$2,BO$2-49+1)</f>
        <v/>
      </c>
      <c r="BP54" s="3">
        <f>$B54*INDEX(Curves!$C$2:$BV$2,BP$2-49+1)</f>
        <v/>
      </c>
      <c r="BQ54" s="3">
        <f>$B54*INDEX(Curves!$C$2:$BV$2,BQ$2-49+1)</f>
        <v/>
      </c>
      <c r="BR54" s="3">
        <f>$B54*INDEX(Curves!$C$2:$BV$2,BR$2-49+1)</f>
        <v/>
      </c>
      <c r="BS54" s="3">
        <f>$B54*INDEX(Curves!$C$2:$BV$2,BS$2-49+1)</f>
        <v/>
      </c>
      <c r="BT54" s="3">
        <f>$B54*INDEX(Curves!$C$2:$BV$2,BT$2-49+1)</f>
        <v/>
      </c>
      <c r="BU54" s="3">
        <f>$B54*INDEX(Curves!$C$2:$BV$2,BU$2-49+1)</f>
        <v/>
      </c>
      <c r="BV54" s="3">
        <f>$B54*INDEX(Curves!$C$2:$BV$2,BV$2-49+1)</f>
        <v/>
      </c>
    </row>
    <row r="55">
      <c r="A55" t="inlineStr">
        <is>
          <t>cohort 2029-03</t>
        </is>
      </c>
      <c r="B55" s="3">
        <f>INDEX(Adds!$C$12:$BV$12,51)</f>
        <v/>
      </c>
      <c r="BA55" s="3">
        <f>$B55*INDEX(Curves!$C$2:$BV$2,BA$2-50+1)</f>
        <v/>
      </c>
      <c r="BB55" s="3">
        <f>$B55*INDEX(Curves!$C$2:$BV$2,BB$2-50+1)</f>
        <v/>
      </c>
      <c r="BC55" s="3">
        <f>$B55*INDEX(Curves!$C$2:$BV$2,BC$2-50+1)</f>
        <v/>
      </c>
      <c r="BD55" s="3">
        <f>$B55*INDEX(Curves!$C$2:$BV$2,BD$2-50+1)</f>
        <v/>
      </c>
      <c r="BE55" s="3">
        <f>$B55*INDEX(Curves!$C$2:$BV$2,BE$2-50+1)</f>
        <v/>
      </c>
      <c r="BF55" s="3">
        <f>$B55*INDEX(Curves!$C$2:$BV$2,BF$2-50+1)</f>
        <v/>
      </c>
      <c r="BG55" s="3">
        <f>$B55*INDEX(Curves!$C$2:$BV$2,BG$2-50+1)</f>
        <v/>
      </c>
      <c r="BH55" s="3">
        <f>$B55*INDEX(Curves!$C$2:$BV$2,BH$2-50+1)</f>
        <v/>
      </c>
      <c r="BI55" s="3">
        <f>$B55*INDEX(Curves!$C$2:$BV$2,BI$2-50+1)</f>
        <v/>
      </c>
      <c r="BJ55" s="3">
        <f>$B55*INDEX(Curves!$C$2:$BV$2,BJ$2-50+1)</f>
        <v/>
      </c>
      <c r="BK55" s="3">
        <f>$B55*INDEX(Curves!$C$2:$BV$2,BK$2-50+1)</f>
        <v/>
      </c>
      <c r="BL55" s="3">
        <f>$B55*INDEX(Curves!$C$2:$BV$2,BL$2-50+1)</f>
        <v/>
      </c>
      <c r="BM55" s="3">
        <f>$B55*INDEX(Curves!$C$2:$BV$2,BM$2-50+1)</f>
        <v/>
      </c>
      <c r="BN55" s="3">
        <f>$B55*INDEX(Curves!$C$2:$BV$2,BN$2-50+1)</f>
        <v/>
      </c>
      <c r="BO55" s="3">
        <f>$B55*INDEX(Curves!$C$2:$BV$2,BO$2-50+1)</f>
        <v/>
      </c>
      <c r="BP55" s="3">
        <f>$B55*INDEX(Curves!$C$2:$BV$2,BP$2-50+1)</f>
        <v/>
      </c>
      <c r="BQ55" s="3">
        <f>$B55*INDEX(Curves!$C$2:$BV$2,BQ$2-50+1)</f>
        <v/>
      </c>
      <c r="BR55" s="3">
        <f>$B55*INDEX(Curves!$C$2:$BV$2,BR$2-50+1)</f>
        <v/>
      </c>
      <c r="BS55" s="3">
        <f>$B55*INDEX(Curves!$C$2:$BV$2,BS$2-50+1)</f>
        <v/>
      </c>
      <c r="BT55" s="3">
        <f>$B55*INDEX(Curves!$C$2:$BV$2,BT$2-50+1)</f>
        <v/>
      </c>
      <c r="BU55" s="3">
        <f>$B55*INDEX(Curves!$C$2:$BV$2,BU$2-50+1)</f>
        <v/>
      </c>
      <c r="BV55" s="3">
        <f>$B55*INDEX(Curves!$C$2:$BV$2,BV$2-50+1)</f>
        <v/>
      </c>
    </row>
    <row r="56">
      <c r="A56" t="inlineStr">
        <is>
          <t>cohort 2029-04</t>
        </is>
      </c>
      <c r="B56" s="3">
        <f>INDEX(Adds!$C$12:$BV$12,52)</f>
        <v/>
      </c>
      <c r="BB56" s="3">
        <f>$B56*INDEX(Curves!$C$2:$BV$2,BB$2-51+1)</f>
        <v/>
      </c>
      <c r="BC56" s="3">
        <f>$B56*INDEX(Curves!$C$2:$BV$2,BC$2-51+1)</f>
        <v/>
      </c>
      <c r="BD56" s="3">
        <f>$B56*INDEX(Curves!$C$2:$BV$2,BD$2-51+1)</f>
        <v/>
      </c>
      <c r="BE56" s="3">
        <f>$B56*INDEX(Curves!$C$2:$BV$2,BE$2-51+1)</f>
        <v/>
      </c>
      <c r="BF56" s="3">
        <f>$B56*INDEX(Curves!$C$2:$BV$2,BF$2-51+1)</f>
        <v/>
      </c>
      <c r="BG56" s="3">
        <f>$B56*INDEX(Curves!$C$2:$BV$2,BG$2-51+1)</f>
        <v/>
      </c>
      <c r="BH56" s="3">
        <f>$B56*INDEX(Curves!$C$2:$BV$2,BH$2-51+1)</f>
        <v/>
      </c>
      <c r="BI56" s="3">
        <f>$B56*INDEX(Curves!$C$2:$BV$2,BI$2-51+1)</f>
        <v/>
      </c>
      <c r="BJ56" s="3">
        <f>$B56*INDEX(Curves!$C$2:$BV$2,BJ$2-51+1)</f>
        <v/>
      </c>
      <c r="BK56" s="3">
        <f>$B56*INDEX(Curves!$C$2:$BV$2,BK$2-51+1)</f>
        <v/>
      </c>
      <c r="BL56" s="3">
        <f>$B56*INDEX(Curves!$C$2:$BV$2,BL$2-51+1)</f>
        <v/>
      </c>
      <c r="BM56" s="3">
        <f>$B56*INDEX(Curves!$C$2:$BV$2,BM$2-51+1)</f>
        <v/>
      </c>
      <c r="BN56" s="3">
        <f>$B56*INDEX(Curves!$C$2:$BV$2,BN$2-51+1)</f>
        <v/>
      </c>
      <c r="BO56" s="3">
        <f>$B56*INDEX(Curves!$C$2:$BV$2,BO$2-51+1)</f>
        <v/>
      </c>
      <c r="BP56" s="3">
        <f>$B56*INDEX(Curves!$C$2:$BV$2,BP$2-51+1)</f>
        <v/>
      </c>
      <c r="BQ56" s="3">
        <f>$B56*INDEX(Curves!$C$2:$BV$2,BQ$2-51+1)</f>
        <v/>
      </c>
      <c r="BR56" s="3">
        <f>$B56*INDEX(Curves!$C$2:$BV$2,BR$2-51+1)</f>
        <v/>
      </c>
      <c r="BS56" s="3">
        <f>$B56*INDEX(Curves!$C$2:$BV$2,BS$2-51+1)</f>
        <v/>
      </c>
      <c r="BT56" s="3">
        <f>$B56*INDEX(Curves!$C$2:$BV$2,BT$2-51+1)</f>
        <v/>
      </c>
      <c r="BU56" s="3">
        <f>$B56*INDEX(Curves!$C$2:$BV$2,BU$2-51+1)</f>
        <v/>
      </c>
      <c r="BV56" s="3">
        <f>$B56*INDEX(Curves!$C$2:$BV$2,BV$2-51+1)</f>
        <v/>
      </c>
    </row>
    <row r="57">
      <c r="A57" t="inlineStr">
        <is>
          <t>cohort 2029-05</t>
        </is>
      </c>
      <c r="B57" s="3">
        <f>INDEX(Adds!$C$12:$BV$12,53)</f>
        <v/>
      </c>
      <c r="BC57" s="3">
        <f>$B57*INDEX(Curves!$C$2:$BV$2,BC$2-52+1)</f>
        <v/>
      </c>
      <c r="BD57" s="3">
        <f>$B57*INDEX(Curves!$C$2:$BV$2,BD$2-52+1)</f>
        <v/>
      </c>
      <c r="BE57" s="3">
        <f>$B57*INDEX(Curves!$C$2:$BV$2,BE$2-52+1)</f>
        <v/>
      </c>
      <c r="BF57" s="3">
        <f>$B57*INDEX(Curves!$C$2:$BV$2,BF$2-52+1)</f>
        <v/>
      </c>
      <c r="BG57" s="3">
        <f>$B57*INDEX(Curves!$C$2:$BV$2,BG$2-52+1)</f>
        <v/>
      </c>
      <c r="BH57" s="3">
        <f>$B57*INDEX(Curves!$C$2:$BV$2,BH$2-52+1)</f>
        <v/>
      </c>
      <c r="BI57" s="3">
        <f>$B57*INDEX(Curves!$C$2:$BV$2,BI$2-52+1)</f>
        <v/>
      </c>
      <c r="BJ57" s="3">
        <f>$B57*INDEX(Curves!$C$2:$BV$2,BJ$2-52+1)</f>
        <v/>
      </c>
      <c r="BK57" s="3">
        <f>$B57*INDEX(Curves!$C$2:$BV$2,BK$2-52+1)</f>
        <v/>
      </c>
      <c r="BL57" s="3">
        <f>$B57*INDEX(Curves!$C$2:$BV$2,BL$2-52+1)</f>
        <v/>
      </c>
      <c r="BM57" s="3">
        <f>$B57*INDEX(Curves!$C$2:$BV$2,BM$2-52+1)</f>
        <v/>
      </c>
      <c r="BN57" s="3">
        <f>$B57*INDEX(Curves!$C$2:$BV$2,BN$2-52+1)</f>
        <v/>
      </c>
      <c r="BO57" s="3">
        <f>$B57*INDEX(Curves!$C$2:$BV$2,BO$2-52+1)</f>
        <v/>
      </c>
      <c r="BP57" s="3">
        <f>$B57*INDEX(Curves!$C$2:$BV$2,BP$2-52+1)</f>
        <v/>
      </c>
      <c r="BQ57" s="3">
        <f>$B57*INDEX(Curves!$C$2:$BV$2,BQ$2-52+1)</f>
        <v/>
      </c>
      <c r="BR57" s="3">
        <f>$B57*INDEX(Curves!$C$2:$BV$2,BR$2-52+1)</f>
        <v/>
      </c>
      <c r="BS57" s="3">
        <f>$B57*INDEX(Curves!$C$2:$BV$2,BS$2-52+1)</f>
        <v/>
      </c>
      <c r="BT57" s="3">
        <f>$B57*INDEX(Curves!$C$2:$BV$2,BT$2-52+1)</f>
        <v/>
      </c>
      <c r="BU57" s="3">
        <f>$B57*INDEX(Curves!$C$2:$BV$2,BU$2-52+1)</f>
        <v/>
      </c>
      <c r="BV57" s="3">
        <f>$B57*INDEX(Curves!$C$2:$BV$2,BV$2-52+1)</f>
        <v/>
      </c>
    </row>
    <row r="58">
      <c r="A58" t="inlineStr">
        <is>
          <t>cohort 2029-06</t>
        </is>
      </c>
      <c r="B58" s="3">
        <f>INDEX(Adds!$C$12:$BV$12,54)</f>
        <v/>
      </c>
      <c r="BD58" s="3">
        <f>$B58*INDEX(Curves!$C$2:$BV$2,BD$2-53+1)</f>
        <v/>
      </c>
      <c r="BE58" s="3">
        <f>$B58*INDEX(Curves!$C$2:$BV$2,BE$2-53+1)</f>
        <v/>
      </c>
      <c r="BF58" s="3">
        <f>$B58*INDEX(Curves!$C$2:$BV$2,BF$2-53+1)</f>
        <v/>
      </c>
      <c r="BG58" s="3">
        <f>$B58*INDEX(Curves!$C$2:$BV$2,BG$2-53+1)</f>
        <v/>
      </c>
      <c r="BH58" s="3">
        <f>$B58*INDEX(Curves!$C$2:$BV$2,BH$2-53+1)</f>
        <v/>
      </c>
      <c r="BI58" s="3">
        <f>$B58*INDEX(Curves!$C$2:$BV$2,BI$2-53+1)</f>
        <v/>
      </c>
      <c r="BJ58" s="3">
        <f>$B58*INDEX(Curves!$C$2:$BV$2,BJ$2-53+1)</f>
        <v/>
      </c>
      <c r="BK58" s="3">
        <f>$B58*INDEX(Curves!$C$2:$BV$2,BK$2-53+1)</f>
        <v/>
      </c>
      <c r="BL58" s="3">
        <f>$B58*INDEX(Curves!$C$2:$BV$2,BL$2-53+1)</f>
        <v/>
      </c>
      <c r="BM58" s="3">
        <f>$B58*INDEX(Curves!$C$2:$BV$2,BM$2-53+1)</f>
        <v/>
      </c>
      <c r="BN58" s="3">
        <f>$B58*INDEX(Curves!$C$2:$BV$2,BN$2-53+1)</f>
        <v/>
      </c>
      <c r="BO58" s="3">
        <f>$B58*INDEX(Curves!$C$2:$BV$2,BO$2-53+1)</f>
        <v/>
      </c>
      <c r="BP58" s="3">
        <f>$B58*INDEX(Curves!$C$2:$BV$2,BP$2-53+1)</f>
        <v/>
      </c>
      <c r="BQ58" s="3">
        <f>$B58*INDEX(Curves!$C$2:$BV$2,BQ$2-53+1)</f>
        <v/>
      </c>
      <c r="BR58" s="3">
        <f>$B58*INDEX(Curves!$C$2:$BV$2,BR$2-53+1)</f>
        <v/>
      </c>
      <c r="BS58" s="3">
        <f>$B58*INDEX(Curves!$C$2:$BV$2,BS$2-53+1)</f>
        <v/>
      </c>
      <c r="BT58" s="3">
        <f>$B58*INDEX(Curves!$C$2:$BV$2,BT$2-53+1)</f>
        <v/>
      </c>
      <c r="BU58" s="3">
        <f>$B58*INDEX(Curves!$C$2:$BV$2,BU$2-53+1)</f>
        <v/>
      </c>
      <c r="BV58" s="3">
        <f>$B58*INDEX(Curves!$C$2:$BV$2,BV$2-53+1)</f>
        <v/>
      </c>
    </row>
    <row r="59">
      <c r="A59" t="inlineStr">
        <is>
          <t>cohort 2029-07</t>
        </is>
      </c>
      <c r="B59" s="3">
        <f>INDEX(Adds!$C$12:$BV$12,55)</f>
        <v/>
      </c>
      <c r="BE59" s="3">
        <f>$B59*INDEX(Curves!$C$2:$BV$2,BE$2-54+1)</f>
        <v/>
      </c>
      <c r="BF59" s="3">
        <f>$B59*INDEX(Curves!$C$2:$BV$2,BF$2-54+1)</f>
        <v/>
      </c>
      <c r="BG59" s="3">
        <f>$B59*INDEX(Curves!$C$2:$BV$2,BG$2-54+1)</f>
        <v/>
      </c>
      <c r="BH59" s="3">
        <f>$B59*INDEX(Curves!$C$2:$BV$2,BH$2-54+1)</f>
        <v/>
      </c>
      <c r="BI59" s="3">
        <f>$B59*INDEX(Curves!$C$2:$BV$2,BI$2-54+1)</f>
        <v/>
      </c>
      <c r="BJ59" s="3">
        <f>$B59*INDEX(Curves!$C$2:$BV$2,BJ$2-54+1)</f>
        <v/>
      </c>
      <c r="BK59" s="3">
        <f>$B59*INDEX(Curves!$C$2:$BV$2,BK$2-54+1)</f>
        <v/>
      </c>
      <c r="BL59" s="3">
        <f>$B59*INDEX(Curves!$C$2:$BV$2,BL$2-54+1)</f>
        <v/>
      </c>
      <c r="BM59" s="3">
        <f>$B59*INDEX(Curves!$C$2:$BV$2,BM$2-54+1)</f>
        <v/>
      </c>
      <c r="BN59" s="3">
        <f>$B59*INDEX(Curves!$C$2:$BV$2,BN$2-54+1)</f>
        <v/>
      </c>
      <c r="BO59" s="3">
        <f>$B59*INDEX(Curves!$C$2:$BV$2,BO$2-54+1)</f>
        <v/>
      </c>
      <c r="BP59" s="3">
        <f>$B59*INDEX(Curves!$C$2:$BV$2,BP$2-54+1)</f>
        <v/>
      </c>
      <c r="BQ59" s="3">
        <f>$B59*INDEX(Curves!$C$2:$BV$2,BQ$2-54+1)</f>
        <v/>
      </c>
      <c r="BR59" s="3">
        <f>$B59*INDEX(Curves!$C$2:$BV$2,BR$2-54+1)</f>
        <v/>
      </c>
      <c r="BS59" s="3">
        <f>$B59*INDEX(Curves!$C$2:$BV$2,BS$2-54+1)</f>
        <v/>
      </c>
      <c r="BT59" s="3">
        <f>$B59*INDEX(Curves!$C$2:$BV$2,BT$2-54+1)</f>
        <v/>
      </c>
      <c r="BU59" s="3">
        <f>$B59*INDEX(Curves!$C$2:$BV$2,BU$2-54+1)</f>
        <v/>
      </c>
      <c r="BV59" s="3">
        <f>$B59*INDEX(Curves!$C$2:$BV$2,BV$2-54+1)</f>
        <v/>
      </c>
    </row>
    <row r="60">
      <c r="A60" t="inlineStr">
        <is>
          <t>cohort 2029-08</t>
        </is>
      </c>
      <c r="B60" s="3">
        <f>INDEX(Adds!$C$12:$BV$12,56)</f>
        <v/>
      </c>
      <c r="BF60" s="3">
        <f>$B60*INDEX(Curves!$C$2:$BV$2,BF$2-55+1)</f>
        <v/>
      </c>
      <c r="BG60" s="3">
        <f>$B60*INDEX(Curves!$C$2:$BV$2,BG$2-55+1)</f>
        <v/>
      </c>
      <c r="BH60" s="3">
        <f>$B60*INDEX(Curves!$C$2:$BV$2,BH$2-55+1)</f>
        <v/>
      </c>
      <c r="BI60" s="3">
        <f>$B60*INDEX(Curves!$C$2:$BV$2,BI$2-55+1)</f>
        <v/>
      </c>
      <c r="BJ60" s="3">
        <f>$B60*INDEX(Curves!$C$2:$BV$2,BJ$2-55+1)</f>
        <v/>
      </c>
      <c r="BK60" s="3">
        <f>$B60*INDEX(Curves!$C$2:$BV$2,BK$2-55+1)</f>
        <v/>
      </c>
      <c r="BL60" s="3">
        <f>$B60*INDEX(Curves!$C$2:$BV$2,BL$2-55+1)</f>
        <v/>
      </c>
      <c r="BM60" s="3">
        <f>$B60*INDEX(Curves!$C$2:$BV$2,BM$2-55+1)</f>
        <v/>
      </c>
      <c r="BN60" s="3">
        <f>$B60*INDEX(Curves!$C$2:$BV$2,BN$2-55+1)</f>
        <v/>
      </c>
      <c r="BO60" s="3">
        <f>$B60*INDEX(Curves!$C$2:$BV$2,BO$2-55+1)</f>
        <v/>
      </c>
      <c r="BP60" s="3">
        <f>$B60*INDEX(Curves!$C$2:$BV$2,BP$2-55+1)</f>
        <v/>
      </c>
      <c r="BQ60" s="3">
        <f>$B60*INDEX(Curves!$C$2:$BV$2,BQ$2-55+1)</f>
        <v/>
      </c>
      <c r="BR60" s="3">
        <f>$B60*INDEX(Curves!$C$2:$BV$2,BR$2-55+1)</f>
        <v/>
      </c>
      <c r="BS60" s="3">
        <f>$B60*INDEX(Curves!$C$2:$BV$2,BS$2-55+1)</f>
        <v/>
      </c>
      <c r="BT60" s="3">
        <f>$B60*INDEX(Curves!$C$2:$BV$2,BT$2-55+1)</f>
        <v/>
      </c>
      <c r="BU60" s="3">
        <f>$B60*INDEX(Curves!$C$2:$BV$2,BU$2-55+1)</f>
        <v/>
      </c>
      <c r="BV60" s="3">
        <f>$B60*INDEX(Curves!$C$2:$BV$2,BV$2-55+1)</f>
        <v/>
      </c>
    </row>
    <row r="61">
      <c r="A61" t="inlineStr">
        <is>
          <t>cohort 2029-09</t>
        </is>
      </c>
      <c r="B61" s="3">
        <f>INDEX(Adds!$C$12:$BV$12,57)</f>
        <v/>
      </c>
      <c r="BG61" s="3">
        <f>$B61*INDEX(Curves!$C$2:$BV$2,BG$2-56+1)</f>
        <v/>
      </c>
      <c r="BH61" s="3">
        <f>$B61*INDEX(Curves!$C$2:$BV$2,BH$2-56+1)</f>
        <v/>
      </c>
      <c r="BI61" s="3">
        <f>$B61*INDEX(Curves!$C$2:$BV$2,BI$2-56+1)</f>
        <v/>
      </c>
      <c r="BJ61" s="3">
        <f>$B61*INDEX(Curves!$C$2:$BV$2,BJ$2-56+1)</f>
        <v/>
      </c>
      <c r="BK61" s="3">
        <f>$B61*INDEX(Curves!$C$2:$BV$2,BK$2-56+1)</f>
        <v/>
      </c>
      <c r="BL61" s="3">
        <f>$B61*INDEX(Curves!$C$2:$BV$2,BL$2-56+1)</f>
        <v/>
      </c>
      <c r="BM61" s="3">
        <f>$B61*INDEX(Curves!$C$2:$BV$2,BM$2-56+1)</f>
        <v/>
      </c>
      <c r="BN61" s="3">
        <f>$B61*INDEX(Curves!$C$2:$BV$2,BN$2-56+1)</f>
        <v/>
      </c>
      <c r="BO61" s="3">
        <f>$B61*INDEX(Curves!$C$2:$BV$2,BO$2-56+1)</f>
        <v/>
      </c>
      <c r="BP61" s="3">
        <f>$B61*INDEX(Curves!$C$2:$BV$2,BP$2-56+1)</f>
        <v/>
      </c>
      <c r="BQ61" s="3">
        <f>$B61*INDEX(Curves!$C$2:$BV$2,BQ$2-56+1)</f>
        <v/>
      </c>
      <c r="BR61" s="3">
        <f>$B61*INDEX(Curves!$C$2:$BV$2,BR$2-56+1)</f>
        <v/>
      </c>
      <c r="BS61" s="3">
        <f>$B61*INDEX(Curves!$C$2:$BV$2,BS$2-56+1)</f>
        <v/>
      </c>
      <c r="BT61" s="3">
        <f>$B61*INDEX(Curves!$C$2:$BV$2,BT$2-56+1)</f>
        <v/>
      </c>
      <c r="BU61" s="3">
        <f>$B61*INDEX(Curves!$C$2:$BV$2,BU$2-56+1)</f>
        <v/>
      </c>
      <c r="BV61" s="3">
        <f>$B61*INDEX(Curves!$C$2:$BV$2,BV$2-56+1)</f>
        <v/>
      </c>
    </row>
    <row r="62">
      <c r="A62" t="inlineStr">
        <is>
          <t>cohort 2029-10</t>
        </is>
      </c>
      <c r="B62" s="3">
        <f>INDEX(Adds!$C$12:$BV$12,58)</f>
        <v/>
      </c>
      <c r="BH62" s="3">
        <f>$B62*INDEX(Curves!$C$2:$BV$2,BH$2-57+1)</f>
        <v/>
      </c>
      <c r="BI62" s="3">
        <f>$B62*INDEX(Curves!$C$2:$BV$2,BI$2-57+1)</f>
        <v/>
      </c>
      <c r="BJ62" s="3">
        <f>$B62*INDEX(Curves!$C$2:$BV$2,BJ$2-57+1)</f>
        <v/>
      </c>
      <c r="BK62" s="3">
        <f>$B62*INDEX(Curves!$C$2:$BV$2,BK$2-57+1)</f>
        <v/>
      </c>
      <c r="BL62" s="3">
        <f>$B62*INDEX(Curves!$C$2:$BV$2,BL$2-57+1)</f>
        <v/>
      </c>
      <c r="BM62" s="3">
        <f>$B62*INDEX(Curves!$C$2:$BV$2,BM$2-57+1)</f>
        <v/>
      </c>
      <c r="BN62" s="3">
        <f>$B62*INDEX(Curves!$C$2:$BV$2,BN$2-57+1)</f>
        <v/>
      </c>
      <c r="BO62" s="3">
        <f>$B62*INDEX(Curves!$C$2:$BV$2,BO$2-57+1)</f>
        <v/>
      </c>
      <c r="BP62" s="3">
        <f>$B62*INDEX(Curves!$C$2:$BV$2,BP$2-57+1)</f>
        <v/>
      </c>
      <c r="BQ62" s="3">
        <f>$B62*INDEX(Curves!$C$2:$BV$2,BQ$2-57+1)</f>
        <v/>
      </c>
      <c r="BR62" s="3">
        <f>$B62*INDEX(Curves!$C$2:$BV$2,BR$2-57+1)</f>
        <v/>
      </c>
      <c r="BS62" s="3">
        <f>$B62*INDEX(Curves!$C$2:$BV$2,BS$2-57+1)</f>
        <v/>
      </c>
      <c r="BT62" s="3">
        <f>$B62*INDEX(Curves!$C$2:$BV$2,BT$2-57+1)</f>
        <v/>
      </c>
      <c r="BU62" s="3">
        <f>$B62*INDEX(Curves!$C$2:$BV$2,BU$2-57+1)</f>
        <v/>
      </c>
      <c r="BV62" s="3">
        <f>$B62*INDEX(Curves!$C$2:$BV$2,BV$2-57+1)</f>
        <v/>
      </c>
    </row>
    <row r="63">
      <c r="A63" t="inlineStr">
        <is>
          <t>cohort 2029-11</t>
        </is>
      </c>
      <c r="B63" s="3">
        <f>INDEX(Adds!$C$12:$BV$12,59)</f>
        <v/>
      </c>
      <c r="BI63" s="3">
        <f>$B63*INDEX(Curves!$C$2:$BV$2,BI$2-58+1)</f>
        <v/>
      </c>
      <c r="BJ63" s="3">
        <f>$B63*INDEX(Curves!$C$2:$BV$2,BJ$2-58+1)</f>
        <v/>
      </c>
      <c r="BK63" s="3">
        <f>$B63*INDEX(Curves!$C$2:$BV$2,BK$2-58+1)</f>
        <v/>
      </c>
      <c r="BL63" s="3">
        <f>$B63*INDEX(Curves!$C$2:$BV$2,BL$2-58+1)</f>
        <v/>
      </c>
      <c r="BM63" s="3">
        <f>$B63*INDEX(Curves!$C$2:$BV$2,BM$2-58+1)</f>
        <v/>
      </c>
      <c r="BN63" s="3">
        <f>$B63*INDEX(Curves!$C$2:$BV$2,BN$2-58+1)</f>
        <v/>
      </c>
      <c r="BO63" s="3">
        <f>$B63*INDEX(Curves!$C$2:$BV$2,BO$2-58+1)</f>
        <v/>
      </c>
      <c r="BP63" s="3">
        <f>$B63*INDEX(Curves!$C$2:$BV$2,BP$2-58+1)</f>
        <v/>
      </c>
      <c r="BQ63" s="3">
        <f>$B63*INDEX(Curves!$C$2:$BV$2,BQ$2-58+1)</f>
        <v/>
      </c>
      <c r="BR63" s="3">
        <f>$B63*INDEX(Curves!$C$2:$BV$2,BR$2-58+1)</f>
        <v/>
      </c>
      <c r="BS63" s="3">
        <f>$B63*INDEX(Curves!$C$2:$BV$2,BS$2-58+1)</f>
        <v/>
      </c>
      <c r="BT63" s="3">
        <f>$B63*INDEX(Curves!$C$2:$BV$2,BT$2-58+1)</f>
        <v/>
      </c>
      <c r="BU63" s="3">
        <f>$B63*INDEX(Curves!$C$2:$BV$2,BU$2-58+1)</f>
        <v/>
      </c>
      <c r="BV63" s="3">
        <f>$B63*INDEX(Curves!$C$2:$BV$2,BV$2-58+1)</f>
        <v/>
      </c>
    </row>
    <row r="64">
      <c r="A64" t="inlineStr">
        <is>
          <t>cohort 2029-12</t>
        </is>
      </c>
      <c r="B64" s="3">
        <f>INDEX(Adds!$C$12:$BV$12,60)</f>
        <v/>
      </c>
      <c r="BJ64" s="3">
        <f>$B64*INDEX(Curves!$C$2:$BV$2,BJ$2-59+1)</f>
        <v/>
      </c>
      <c r="BK64" s="3">
        <f>$B64*INDEX(Curves!$C$2:$BV$2,BK$2-59+1)</f>
        <v/>
      </c>
      <c r="BL64" s="3">
        <f>$B64*INDEX(Curves!$C$2:$BV$2,BL$2-59+1)</f>
        <v/>
      </c>
      <c r="BM64" s="3">
        <f>$B64*INDEX(Curves!$C$2:$BV$2,BM$2-59+1)</f>
        <v/>
      </c>
      <c r="BN64" s="3">
        <f>$B64*INDEX(Curves!$C$2:$BV$2,BN$2-59+1)</f>
        <v/>
      </c>
      <c r="BO64" s="3">
        <f>$B64*INDEX(Curves!$C$2:$BV$2,BO$2-59+1)</f>
        <v/>
      </c>
      <c r="BP64" s="3">
        <f>$B64*INDEX(Curves!$C$2:$BV$2,BP$2-59+1)</f>
        <v/>
      </c>
      <c r="BQ64" s="3">
        <f>$B64*INDEX(Curves!$C$2:$BV$2,BQ$2-59+1)</f>
        <v/>
      </c>
      <c r="BR64" s="3">
        <f>$B64*INDEX(Curves!$C$2:$BV$2,BR$2-59+1)</f>
        <v/>
      </c>
      <c r="BS64" s="3">
        <f>$B64*INDEX(Curves!$C$2:$BV$2,BS$2-59+1)</f>
        <v/>
      </c>
      <c r="BT64" s="3">
        <f>$B64*INDEX(Curves!$C$2:$BV$2,BT$2-59+1)</f>
        <v/>
      </c>
      <c r="BU64" s="3">
        <f>$B64*INDEX(Curves!$C$2:$BV$2,BU$2-59+1)</f>
        <v/>
      </c>
      <c r="BV64" s="3">
        <f>$B64*INDEX(Curves!$C$2:$BV$2,BV$2-59+1)</f>
        <v/>
      </c>
    </row>
    <row r="65">
      <c r="A65" t="inlineStr">
        <is>
          <t>cohort 2030-01</t>
        </is>
      </c>
      <c r="B65" s="3">
        <f>INDEX(Adds!$C$12:$BV$12,61)</f>
        <v/>
      </c>
      <c r="BK65" s="3">
        <f>$B65*INDEX(Curves!$C$2:$BV$2,BK$2-60+1)</f>
        <v/>
      </c>
      <c r="BL65" s="3">
        <f>$B65*INDEX(Curves!$C$2:$BV$2,BL$2-60+1)</f>
        <v/>
      </c>
      <c r="BM65" s="3">
        <f>$B65*INDEX(Curves!$C$2:$BV$2,BM$2-60+1)</f>
        <v/>
      </c>
      <c r="BN65" s="3">
        <f>$B65*INDEX(Curves!$C$2:$BV$2,BN$2-60+1)</f>
        <v/>
      </c>
      <c r="BO65" s="3">
        <f>$B65*INDEX(Curves!$C$2:$BV$2,BO$2-60+1)</f>
        <v/>
      </c>
      <c r="BP65" s="3">
        <f>$B65*INDEX(Curves!$C$2:$BV$2,BP$2-60+1)</f>
        <v/>
      </c>
      <c r="BQ65" s="3">
        <f>$B65*INDEX(Curves!$C$2:$BV$2,BQ$2-60+1)</f>
        <v/>
      </c>
      <c r="BR65" s="3">
        <f>$B65*INDEX(Curves!$C$2:$BV$2,BR$2-60+1)</f>
        <v/>
      </c>
      <c r="BS65" s="3">
        <f>$B65*INDEX(Curves!$C$2:$BV$2,BS$2-60+1)</f>
        <v/>
      </c>
      <c r="BT65" s="3">
        <f>$B65*INDEX(Curves!$C$2:$BV$2,BT$2-60+1)</f>
        <v/>
      </c>
      <c r="BU65" s="3">
        <f>$B65*INDEX(Curves!$C$2:$BV$2,BU$2-60+1)</f>
        <v/>
      </c>
      <c r="BV65" s="3">
        <f>$B65*INDEX(Curves!$C$2:$BV$2,BV$2-60+1)</f>
        <v/>
      </c>
    </row>
    <row r="66">
      <c r="A66" t="inlineStr">
        <is>
          <t>cohort 2030-02</t>
        </is>
      </c>
      <c r="B66" s="3">
        <f>INDEX(Adds!$C$12:$BV$12,62)</f>
        <v/>
      </c>
      <c r="BL66" s="3">
        <f>$B66*INDEX(Curves!$C$2:$BV$2,BL$2-61+1)</f>
        <v/>
      </c>
      <c r="BM66" s="3">
        <f>$B66*INDEX(Curves!$C$2:$BV$2,BM$2-61+1)</f>
        <v/>
      </c>
      <c r="BN66" s="3">
        <f>$B66*INDEX(Curves!$C$2:$BV$2,BN$2-61+1)</f>
        <v/>
      </c>
      <c r="BO66" s="3">
        <f>$B66*INDEX(Curves!$C$2:$BV$2,BO$2-61+1)</f>
        <v/>
      </c>
      <c r="BP66" s="3">
        <f>$B66*INDEX(Curves!$C$2:$BV$2,BP$2-61+1)</f>
        <v/>
      </c>
      <c r="BQ66" s="3">
        <f>$B66*INDEX(Curves!$C$2:$BV$2,BQ$2-61+1)</f>
        <v/>
      </c>
      <c r="BR66" s="3">
        <f>$B66*INDEX(Curves!$C$2:$BV$2,BR$2-61+1)</f>
        <v/>
      </c>
      <c r="BS66" s="3">
        <f>$B66*INDEX(Curves!$C$2:$BV$2,BS$2-61+1)</f>
        <v/>
      </c>
      <c r="BT66" s="3">
        <f>$B66*INDEX(Curves!$C$2:$BV$2,BT$2-61+1)</f>
        <v/>
      </c>
      <c r="BU66" s="3">
        <f>$B66*INDEX(Curves!$C$2:$BV$2,BU$2-61+1)</f>
        <v/>
      </c>
      <c r="BV66" s="3">
        <f>$B66*INDEX(Curves!$C$2:$BV$2,BV$2-61+1)</f>
        <v/>
      </c>
    </row>
    <row r="67">
      <c r="A67" t="inlineStr">
        <is>
          <t>cohort 2030-03</t>
        </is>
      </c>
      <c r="B67" s="3">
        <f>INDEX(Adds!$C$12:$BV$12,63)</f>
        <v/>
      </c>
      <c r="BM67" s="3">
        <f>$B67*INDEX(Curves!$C$2:$BV$2,BM$2-62+1)</f>
        <v/>
      </c>
      <c r="BN67" s="3">
        <f>$B67*INDEX(Curves!$C$2:$BV$2,BN$2-62+1)</f>
        <v/>
      </c>
      <c r="BO67" s="3">
        <f>$B67*INDEX(Curves!$C$2:$BV$2,BO$2-62+1)</f>
        <v/>
      </c>
      <c r="BP67" s="3">
        <f>$B67*INDEX(Curves!$C$2:$BV$2,BP$2-62+1)</f>
        <v/>
      </c>
      <c r="BQ67" s="3">
        <f>$B67*INDEX(Curves!$C$2:$BV$2,BQ$2-62+1)</f>
        <v/>
      </c>
      <c r="BR67" s="3">
        <f>$B67*INDEX(Curves!$C$2:$BV$2,BR$2-62+1)</f>
        <v/>
      </c>
      <c r="BS67" s="3">
        <f>$B67*INDEX(Curves!$C$2:$BV$2,BS$2-62+1)</f>
        <v/>
      </c>
      <c r="BT67" s="3">
        <f>$B67*INDEX(Curves!$C$2:$BV$2,BT$2-62+1)</f>
        <v/>
      </c>
      <c r="BU67" s="3">
        <f>$B67*INDEX(Curves!$C$2:$BV$2,BU$2-62+1)</f>
        <v/>
      </c>
      <c r="BV67" s="3">
        <f>$B67*INDEX(Curves!$C$2:$BV$2,BV$2-62+1)</f>
        <v/>
      </c>
    </row>
    <row r="68">
      <c r="A68" t="inlineStr">
        <is>
          <t>cohort 2030-04</t>
        </is>
      </c>
      <c r="B68" s="3">
        <f>INDEX(Adds!$C$12:$BV$12,64)</f>
        <v/>
      </c>
      <c r="BN68" s="3">
        <f>$B68*INDEX(Curves!$C$2:$BV$2,BN$2-63+1)</f>
        <v/>
      </c>
      <c r="BO68" s="3">
        <f>$B68*INDEX(Curves!$C$2:$BV$2,BO$2-63+1)</f>
        <v/>
      </c>
      <c r="BP68" s="3">
        <f>$B68*INDEX(Curves!$C$2:$BV$2,BP$2-63+1)</f>
        <v/>
      </c>
      <c r="BQ68" s="3">
        <f>$B68*INDEX(Curves!$C$2:$BV$2,BQ$2-63+1)</f>
        <v/>
      </c>
      <c r="BR68" s="3">
        <f>$B68*INDEX(Curves!$C$2:$BV$2,BR$2-63+1)</f>
        <v/>
      </c>
      <c r="BS68" s="3">
        <f>$B68*INDEX(Curves!$C$2:$BV$2,BS$2-63+1)</f>
        <v/>
      </c>
      <c r="BT68" s="3">
        <f>$B68*INDEX(Curves!$C$2:$BV$2,BT$2-63+1)</f>
        <v/>
      </c>
      <c r="BU68" s="3">
        <f>$B68*INDEX(Curves!$C$2:$BV$2,BU$2-63+1)</f>
        <v/>
      </c>
      <c r="BV68" s="3">
        <f>$B68*INDEX(Curves!$C$2:$BV$2,BV$2-63+1)</f>
        <v/>
      </c>
    </row>
    <row r="69">
      <c r="A69" t="inlineStr">
        <is>
          <t>cohort 2030-05</t>
        </is>
      </c>
      <c r="B69" s="3">
        <f>INDEX(Adds!$C$12:$BV$12,65)</f>
        <v/>
      </c>
      <c r="BO69" s="3">
        <f>$B69*INDEX(Curves!$C$2:$BV$2,BO$2-64+1)</f>
        <v/>
      </c>
      <c r="BP69" s="3">
        <f>$B69*INDEX(Curves!$C$2:$BV$2,BP$2-64+1)</f>
        <v/>
      </c>
      <c r="BQ69" s="3">
        <f>$B69*INDEX(Curves!$C$2:$BV$2,BQ$2-64+1)</f>
        <v/>
      </c>
      <c r="BR69" s="3">
        <f>$B69*INDEX(Curves!$C$2:$BV$2,BR$2-64+1)</f>
        <v/>
      </c>
      <c r="BS69" s="3">
        <f>$B69*INDEX(Curves!$C$2:$BV$2,BS$2-64+1)</f>
        <v/>
      </c>
      <c r="BT69" s="3">
        <f>$B69*INDEX(Curves!$C$2:$BV$2,BT$2-64+1)</f>
        <v/>
      </c>
      <c r="BU69" s="3">
        <f>$B69*INDEX(Curves!$C$2:$BV$2,BU$2-64+1)</f>
        <v/>
      </c>
      <c r="BV69" s="3">
        <f>$B69*INDEX(Curves!$C$2:$BV$2,BV$2-64+1)</f>
        <v/>
      </c>
    </row>
    <row r="70">
      <c r="A70" t="inlineStr">
        <is>
          <t>cohort 2030-06</t>
        </is>
      </c>
      <c r="B70" s="3">
        <f>INDEX(Adds!$C$12:$BV$12,66)</f>
        <v/>
      </c>
      <c r="BP70" s="3">
        <f>$B70*INDEX(Curves!$C$2:$BV$2,BP$2-65+1)</f>
        <v/>
      </c>
      <c r="BQ70" s="3">
        <f>$B70*INDEX(Curves!$C$2:$BV$2,BQ$2-65+1)</f>
        <v/>
      </c>
      <c r="BR70" s="3">
        <f>$B70*INDEX(Curves!$C$2:$BV$2,BR$2-65+1)</f>
        <v/>
      </c>
      <c r="BS70" s="3">
        <f>$B70*INDEX(Curves!$C$2:$BV$2,BS$2-65+1)</f>
        <v/>
      </c>
      <c r="BT70" s="3">
        <f>$B70*INDEX(Curves!$C$2:$BV$2,BT$2-65+1)</f>
        <v/>
      </c>
      <c r="BU70" s="3">
        <f>$B70*INDEX(Curves!$C$2:$BV$2,BU$2-65+1)</f>
        <v/>
      </c>
      <c r="BV70" s="3">
        <f>$B70*INDEX(Curves!$C$2:$BV$2,BV$2-65+1)</f>
        <v/>
      </c>
    </row>
    <row r="71">
      <c r="A71" t="inlineStr">
        <is>
          <t>cohort 2030-07</t>
        </is>
      </c>
      <c r="B71" s="3">
        <f>INDEX(Adds!$C$12:$BV$12,67)</f>
        <v/>
      </c>
      <c r="BQ71" s="3">
        <f>$B71*INDEX(Curves!$C$2:$BV$2,BQ$2-66+1)</f>
        <v/>
      </c>
      <c r="BR71" s="3">
        <f>$B71*INDEX(Curves!$C$2:$BV$2,BR$2-66+1)</f>
        <v/>
      </c>
      <c r="BS71" s="3">
        <f>$B71*INDEX(Curves!$C$2:$BV$2,BS$2-66+1)</f>
        <v/>
      </c>
      <c r="BT71" s="3">
        <f>$B71*INDEX(Curves!$C$2:$BV$2,BT$2-66+1)</f>
        <v/>
      </c>
      <c r="BU71" s="3">
        <f>$B71*INDEX(Curves!$C$2:$BV$2,BU$2-66+1)</f>
        <v/>
      </c>
      <c r="BV71" s="3">
        <f>$B71*INDEX(Curves!$C$2:$BV$2,BV$2-66+1)</f>
        <v/>
      </c>
    </row>
    <row r="72">
      <c r="A72" t="inlineStr">
        <is>
          <t>cohort 2030-08</t>
        </is>
      </c>
      <c r="B72" s="3">
        <f>INDEX(Adds!$C$12:$BV$12,68)</f>
        <v/>
      </c>
      <c r="BR72" s="3">
        <f>$B72*INDEX(Curves!$C$2:$BV$2,BR$2-67+1)</f>
        <v/>
      </c>
      <c r="BS72" s="3">
        <f>$B72*INDEX(Curves!$C$2:$BV$2,BS$2-67+1)</f>
        <v/>
      </c>
      <c r="BT72" s="3">
        <f>$B72*INDEX(Curves!$C$2:$BV$2,BT$2-67+1)</f>
        <v/>
      </c>
      <c r="BU72" s="3">
        <f>$B72*INDEX(Curves!$C$2:$BV$2,BU$2-67+1)</f>
        <v/>
      </c>
      <c r="BV72" s="3">
        <f>$B72*INDEX(Curves!$C$2:$BV$2,BV$2-67+1)</f>
        <v/>
      </c>
    </row>
    <row r="73">
      <c r="A73" t="inlineStr">
        <is>
          <t>cohort 2030-09</t>
        </is>
      </c>
      <c r="B73" s="3">
        <f>INDEX(Adds!$C$12:$BV$12,69)</f>
        <v/>
      </c>
      <c r="BS73" s="3">
        <f>$B73*INDEX(Curves!$C$2:$BV$2,BS$2-68+1)</f>
        <v/>
      </c>
      <c r="BT73" s="3">
        <f>$B73*INDEX(Curves!$C$2:$BV$2,BT$2-68+1)</f>
        <v/>
      </c>
      <c r="BU73" s="3">
        <f>$B73*INDEX(Curves!$C$2:$BV$2,BU$2-68+1)</f>
        <v/>
      </c>
      <c r="BV73" s="3">
        <f>$B73*INDEX(Curves!$C$2:$BV$2,BV$2-68+1)</f>
        <v/>
      </c>
    </row>
    <row r="74">
      <c r="A74" t="inlineStr">
        <is>
          <t>cohort 2030-10</t>
        </is>
      </c>
      <c r="B74" s="3">
        <f>INDEX(Adds!$C$12:$BV$12,70)</f>
        <v/>
      </c>
      <c r="BT74" s="3">
        <f>$B74*INDEX(Curves!$C$2:$BV$2,BT$2-69+1)</f>
        <v/>
      </c>
      <c r="BU74" s="3">
        <f>$B74*INDEX(Curves!$C$2:$BV$2,BU$2-69+1)</f>
        <v/>
      </c>
      <c r="BV74" s="3">
        <f>$B74*INDEX(Curves!$C$2:$BV$2,BV$2-69+1)</f>
        <v/>
      </c>
    </row>
    <row r="75">
      <c r="A75" t="inlineStr">
        <is>
          <t>cohort 2030-11</t>
        </is>
      </c>
      <c r="B75" s="3">
        <f>INDEX(Adds!$C$12:$BV$12,71)</f>
        <v/>
      </c>
      <c r="BU75" s="3">
        <f>$B75*INDEX(Curves!$C$2:$BV$2,BU$2-70+1)</f>
        <v/>
      </c>
      <c r="BV75" s="3">
        <f>$B75*INDEX(Curves!$C$2:$BV$2,BV$2-70+1)</f>
        <v/>
      </c>
    </row>
    <row r="76">
      <c r="A76" t="inlineStr">
        <is>
          <t>cohort 2030-12</t>
        </is>
      </c>
      <c r="B76" s="3">
        <f>INDEX(Adds!$C$12:$BV$12,72)</f>
        <v/>
      </c>
      <c r="BV76" s="3">
        <f>$B76*INDEX(Curves!$C$2:$BV$2,BV$2-71+1)</f>
        <v/>
      </c>
    </row>
    <row r="78">
      <c r="A78" t="inlineStr">
        <is>
          <t>sum of cohorts</t>
        </is>
      </c>
      <c r="B78" t="inlineStr">
        <is>
          <t>US_CA|NITRO_M</t>
        </is>
      </c>
      <c r="C78" s="3">
        <f>SUM(C5:C76)</f>
        <v/>
      </c>
      <c r="D78" s="3">
        <f>SUM(D5:D76)</f>
        <v/>
      </c>
      <c r="E78" s="3">
        <f>SUM(E5:E76)</f>
        <v/>
      </c>
      <c r="F78" s="3">
        <f>SUM(F5:F76)</f>
        <v/>
      </c>
      <c r="G78" s="3">
        <f>SUM(G5:G76)</f>
        <v/>
      </c>
      <c r="H78" s="3">
        <f>SUM(H5:H76)</f>
        <v/>
      </c>
      <c r="I78" s="3">
        <f>SUM(I5:I76)</f>
        <v/>
      </c>
      <c r="J78" s="3">
        <f>SUM(J5:J76)</f>
        <v/>
      </c>
      <c r="K78" s="3">
        <f>SUM(K5:K76)</f>
        <v/>
      </c>
      <c r="L78" s="3">
        <f>SUM(L5:L76)</f>
        <v/>
      </c>
      <c r="M78" s="3">
        <f>SUM(M5:M76)</f>
        <v/>
      </c>
      <c r="N78" s="3">
        <f>SUM(N5:N76)</f>
        <v/>
      </c>
      <c r="O78" s="3">
        <f>SUM(O5:O76)</f>
        <v/>
      </c>
      <c r="P78" s="3">
        <f>SUM(P5:P76)</f>
        <v/>
      </c>
      <c r="Q78" s="3">
        <f>SUM(Q5:Q76)</f>
        <v/>
      </c>
      <c r="R78" s="3">
        <f>SUM(R5:R76)</f>
        <v/>
      </c>
      <c r="S78" s="3">
        <f>SUM(S5:S76)</f>
        <v/>
      </c>
      <c r="T78" s="3">
        <f>SUM(T5:T76)</f>
        <v/>
      </c>
      <c r="U78" s="3">
        <f>SUM(U5:U76)</f>
        <v/>
      </c>
      <c r="V78" s="3">
        <f>SUM(V5:V76)</f>
        <v/>
      </c>
      <c r="W78" s="3">
        <f>SUM(W5:W76)</f>
        <v/>
      </c>
      <c r="X78" s="3">
        <f>SUM(X5:X76)</f>
        <v/>
      </c>
      <c r="Y78" s="3">
        <f>SUM(Y5:Y76)</f>
        <v/>
      </c>
      <c r="Z78" s="3">
        <f>SUM(Z5:Z76)</f>
        <v/>
      </c>
      <c r="AA78" s="3">
        <f>SUM(AA5:AA76)</f>
        <v/>
      </c>
      <c r="AB78" s="3">
        <f>SUM(AB5:AB76)</f>
        <v/>
      </c>
      <c r="AC78" s="3">
        <f>SUM(AC5:AC76)</f>
        <v/>
      </c>
      <c r="AD78" s="3">
        <f>SUM(AD5:AD76)</f>
        <v/>
      </c>
      <c r="AE78" s="3">
        <f>SUM(AE5:AE76)</f>
        <v/>
      </c>
      <c r="AF78" s="3">
        <f>SUM(AF5:AF76)</f>
        <v/>
      </c>
      <c r="AG78" s="3">
        <f>SUM(AG5:AG76)</f>
        <v/>
      </c>
      <c r="AH78" s="3">
        <f>SUM(AH5:AH76)</f>
        <v/>
      </c>
      <c r="AI78" s="3">
        <f>SUM(AI5:AI76)</f>
        <v/>
      </c>
      <c r="AJ78" s="3">
        <f>SUM(AJ5:AJ76)</f>
        <v/>
      </c>
      <c r="AK78" s="3">
        <f>SUM(AK5:AK76)</f>
        <v/>
      </c>
      <c r="AL78" s="3">
        <f>SUM(AL5:AL76)</f>
        <v/>
      </c>
      <c r="AM78" s="3">
        <f>SUM(AM5:AM76)</f>
        <v/>
      </c>
      <c r="AN78" s="3">
        <f>SUM(AN5:AN76)</f>
        <v/>
      </c>
      <c r="AO78" s="3">
        <f>SUM(AO5:AO76)</f>
        <v/>
      </c>
      <c r="AP78" s="3">
        <f>SUM(AP5:AP76)</f>
        <v/>
      </c>
      <c r="AQ78" s="3">
        <f>SUM(AQ5:AQ76)</f>
        <v/>
      </c>
      <c r="AR78" s="3">
        <f>SUM(AR5:AR76)</f>
        <v/>
      </c>
      <c r="AS78" s="3">
        <f>SUM(AS5:AS76)</f>
        <v/>
      </c>
      <c r="AT78" s="3">
        <f>SUM(AT5:AT76)</f>
        <v/>
      </c>
      <c r="AU78" s="3">
        <f>SUM(AU5:AU76)</f>
        <v/>
      </c>
      <c r="AV78" s="3">
        <f>SUM(AV5:AV76)</f>
        <v/>
      </c>
      <c r="AW78" s="3">
        <f>SUM(AW5:AW76)</f>
        <v/>
      </c>
      <c r="AX78" s="3">
        <f>SUM(AX5:AX76)</f>
        <v/>
      </c>
      <c r="AY78" s="3">
        <f>SUM(AY5:AY76)</f>
        <v/>
      </c>
      <c r="AZ78" s="3">
        <f>SUM(AZ5:AZ76)</f>
        <v/>
      </c>
      <c r="BA78" s="3">
        <f>SUM(BA5:BA76)</f>
        <v/>
      </c>
      <c r="BB78" s="3">
        <f>SUM(BB5:BB76)</f>
        <v/>
      </c>
      <c r="BC78" s="3">
        <f>SUM(BC5:BC76)</f>
        <v/>
      </c>
      <c r="BD78" s="3">
        <f>SUM(BD5:BD76)</f>
        <v/>
      </c>
      <c r="BE78" s="3">
        <f>SUM(BE5:BE76)</f>
        <v/>
      </c>
      <c r="BF78" s="3">
        <f>SUM(BF5:BF76)</f>
        <v/>
      </c>
      <c r="BG78" s="3">
        <f>SUM(BG5:BG76)</f>
        <v/>
      </c>
      <c r="BH78" s="3">
        <f>SUM(BH5:BH76)</f>
        <v/>
      </c>
      <c r="BI78" s="3">
        <f>SUM(BI5:BI76)</f>
        <v/>
      </c>
      <c r="BJ78" s="3">
        <f>SUM(BJ5:BJ76)</f>
        <v/>
      </c>
      <c r="BK78" s="3">
        <f>SUM(BK5:BK76)</f>
        <v/>
      </c>
      <c r="BL78" s="3">
        <f>SUM(BL5:BL76)</f>
        <v/>
      </c>
      <c r="BM78" s="3">
        <f>SUM(BM5:BM76)</f>
        <v/>
      </c>
      <c r="BN78" s="3">
        <f>SUM(BN5:BN76)</f>
        <v/>
      </c>
      <c r="BO78" s="3">
        <f>SUM(BO5:BO76)</f>
        <v/>
      </c>
      <c r="BP78" s="3">
        <f>SUM(BP5:BP76)</f>
        <v/>
      </c>
      <c r="BQ78" s="3">
        <f>SUM(BQ5:BQ76)</f>
        <v/>
      </c>
      <c r="BR78" s="3">
        <f>SUM(BR5:BR76)</f>
        <v/>
      </c>
      <c r="BS78" s="3">
        <f>SUM(BS5:BS76)</f>
        <v/>
      </c>
      <c r="BT78" s="3">
        <f>SUM(BT5:BT76)</f>
        <v/>
      </c>
      <c r="BU78" s="3">
        <f>SUM(BU5:BU76)</f>
        <v/>
      </c>
      <c r="BV78" s="3">
        <f>SUM(BV5:BV76)</f>
        <v/>
      </c>
    </row>
    <row r="79">
      <c r="A79" t="inlineStr">
        <is>
          <t>Paid sheet active</t>
        </is>
      </c>
      <c r="B79" t="inlineStr">
        <is>
          <t>US_CA|NITRO_M</t>
        </is>
      </c>
      <c r="C79" s="3">
        <f>Paid!C3</f>
        <v/>
      </c>
      <c r="D79" s="3">
        <f>Paid!D3</f>
        <v/>
      </c>
      <c r="E79" s="3">
        <f>Paid!E3</f>
        <v/>
      </c>
      <c r="F79" s="3">
        <f>Paid!F3</f>
        <v/>
      </c>
      <c r="G79" s="3">
        <f>Paid!G3</f>
        <v/>
      </c>
      <c r="H79" s="3">
        <f>Paid!H3</f>
        <v/>
      </c>
      <c r="I79" s="3">
        <f>Paid!I3</f>
        <v/>
      </c>
      <c r="J79" s="3">
        <f>Paid!J3</f>
        <v/>
      </c>
      <c r="K79" s="3">
        <f>Paid!K3</f>
        <v/>
      </c>
      <c r="L79" s="3">
        <f>Paid!L3</f>
        <v/>
      </c>
      <c r="M79" s="3">
        <f>Paid!M3</f>
        <v/>
      </c>
      <c r="N79" s="3">
        <f>Paid!N3</f>
        <v/>
      </c>
      <c r="O79" s="3">
        <f>Paid!O3</f>
        <v/>
      </c>
      <c r="P79" s="3">
        <f>Paid!P3</f>
        <v/>
      </c>
      <c r="Q79" s="3">
        <f>Paid!Q3</f>
        <v/>
      </c>
      <c r="R79" s="3">
        <f>Paid!R3</f>
        <v/>
      </c>
      <c r="S79" s="3">
        <f>Paid!S3</f>
        <v/>
      </c>
      <c r="T79" s="3">
        <f>Paid!T3</f>
        <v/>
      </c>
      <c r="U79" s="3">
        <f>Paid!U3</f>
        <v/>
      </c>
      <c r="V79" s="3">
        <f>Paid!V3</f>
        <v/>
      </c>
      <c r="W79" s="3">
        <f>Paid!W3</f>
        <v/>
      </c>
      <c r="X79" s="3">
        <f>Paid!X3</f>
        <v/>
      </c>
      <c r="Y79" s="3">
        <f>Paid!Y3</f>
        <v/>
      </c>
      <c r="Z79" s="3">
        <f>Paid!Z3</f>
        <v/>
      </c>
      <c r="AA79" s="3">
        <f>Paid!AA3</f>
        <v/>
      </c>
      <c r="AB79" s="3">
        <f>Paid!AB3</f>
        <v/>
      </c>
      <c r="AC79" s="3">
        <f>Paid!AC3</f>
        <v/>
      </c>
      <c r="AD79" s="3">
        <f>Paid!AD3</f>
        <v/>
      </c>
      <c r="AE79" s="3">
        <f>Paid!AE3</f>
        <v/>
      </c>
      <c r="AF79" s="3">
        <f>Paid!AF3</f>
        <v/>
      </c>
      <c r="AG79" s="3">
        <f>Paid!AG3</f>
        <v/>
      </c>
      <c r="AH79" s="3">
        <f>Paid!AH3</f>
        <v/>
      </c>
      <c r="AI79" s="3">
        <f>Paid!AI3</f>
        <v/>
      </c>
      <c r="AJ79" s="3">
        <f>Paid!AJ3</f>
        <v/>
      </c>
      <c r="AK79" s="3">
        <f>Paid!AK3</f>
        <v/>
      </c>
      <c r="AL79" s="3">
        <f>Paid!AL3</f>
        <v/>
      </c>
      <c r="AM79" s="3">
        <f>Paid!AM3</f>
        <v/>
      </c>
      <c r="AN79" s="3">
        <f>Paid!AN3</f>
        <v/>
      </c>
      <c r="AO79" s="3">
        <f>Paid!AO3</f>
        <v/>
      </c>
      <c r="AP79" s="3">
        <f>Paid!AP3</f>
        <v/>
      </c>
      <c r="AQ79" s="3">
        <f>Paid!AQ3</f>
        <v/>
      </c>
      <c r="AR79" s="3">
        <f>Paid!AR3</f>
        <v/>
      </c>
      <c r="AS79" s="3">
        <f>Paid!AS3</f>
        <v/>
      </c>
      <c r="AT79" s="3">
        <f>Paid!AT3</f>
        <v/>
      </c>
      <c r="AU79" s="3">
        <f>Paid!AU3</f>
        <v/>
      </c>
      <c r="AV79" s="3">
        <f>Paid!AV3</f>
        <v/>
      </c>
      <c r="AW79" s="3">
        <f>Paid!AW3</f>
        <v/>
      </c>
      <c r="AX79" s="3">
        <f>Paid!AX3</f>
        <v/>
      </c>
      <c r="AY79" s="3">
        <f>Paid!AY3</f>
        <v/>
      </c>
      <c r="AZ79" s="3">
        <f>Paid!AZ3</f>
        <v/>
      </c>
      <c r="BA79" s="3">
        <f>Paid!BA3</f>
        <v/>
      </c>
      <c r="BB79" s="3">
        <f>Paid!BB3</f>
        <v/>
      </c>
      <c r="BC79" s="3">
        <f>Paid!BC3</f>
        <v/>
      </c>
      <c r="BD79" s="3">
        <f>Paid!BD3</f>
        <v/>
      </c>
      <c r="BE79" s="3">
        <f>Paid!BE3</f>
        <v/>
      </c>
      <c r="BF79" s="3">
        <f>Paid!BF3</f>
        <v/>
      </c>
      <c r="BG79" s="3">
        <f>Paid!BG3</f>
        <v/>
      </c>
      <c r="BH79" s="3">
        <f>Paid!BH3</f>
        <v/>
      </c>
      <c r="BI79" s="3">
        <f>Paid!BI3</f>
        <v/>
      </c>
      <c r="BJ79" s="3">
        <f>Paid!BJ3</f>
        <v/>
      </c>
      <c r="BK79" s="3">
        <f>Paid!BK3</f>
        <v/>
      </c>
      <c r="BL79" s="3">
        <f>Paid!BL3</f>
        <v/>
      </c>
      <c r="BM79" s="3">
        <f>Paid!BM3</f>
        <v/>
      </c>
      <c r="BN79" s="3">
        <f>Paid!BN3</f>
        <v/>
      </c>
      <c r="BO79" s="3">
        <f>Paid!BO3</f>
        <v/>
      </c>
      <c r="BP79" s="3">
        <f>Paid!BP3</f>
        <v/>
      </c>
      <c r="BQ79" s="3">
        <f>Paid!BQ3</f>
        <v/>
      </c>
      <c r="BR79" s="3">
        <f>Paid!BR3</f>
        <v/>
      </c>
      <c r="BS79" s="3">
        <f>Paid!BS3</f>
        <v/>
      </c>
      <c r="BT79" s="3">
        <f>Paid!BT3</f>
        <v/>
      </c>
      <c r="BU79" s="3">
        <f>Paid!BU3</f>
        <v/>
      </c>
      <c r="BV79" s="3">
        <f>Paid!BV3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V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roll-forward gap</t>
        </is>
      </c>
      <c r="B3" t="inlineStr">
        <is>
          <t>TOTAL</t>
        </is>
      </c>
      <c r="C3" s="10">
        <f>Subs!C3+Subs!C4+Subs!C5-Subs!C6-Subs!C7</f>
        <v/>
      </c>
      <c r="D3" s="10">
        <f>Subs!D3+Subs!D4+Subs!D5-Subs!D6-Subs!D7</f>
        <v/>
      </c>
      <c r="E3" s="10">
        <f>Subs!E3+Subs!E4+Subs!E5-Subs!E6-Subs!E7</f>
        <v/>
      </c>
      <c r="F3" s="10">
        <f>Subs!F3+Subs!F4+Subs!F5-Subs!F6-Subs!F7</f>
        <v/>
      </c>
      <c r="G3" s="10">
        <f>Subs!G3+Subs!G4+Subs!G5-Subs!G6-Subs!G7</f>
        <v/>
      </c>
      <c r="H3" s="10">
        <f>Subs!H3+Subs!H4+Subs!H5-Subs!H6-Subs!H7</f>
        <v/>
      </c>
      <c r="I3" s="10">
        <f>Subs!I3+Subs!I4+Subs!I5-Subs!I6-Subs!I7</f>
        <v/>
      </c>
      <c r="J3" s="10">
        <f>Subs!J3+Subs!J4+Subs!J5-Subs!J6-Subs!J7</f>
        <v/>
      </c>
      <c r="K3" s="10">
        <f>Subs!K3+Subs!K4+Subs!K5-Subs!K6-Subs!K7</f>
        <v/>
      </c>
      <c r="L3" s="10">
        <f>Subs!L3+Subs!L4+Subs!L5-Subs!L6-Subs!L7</f>
        <v/>
      </c>
      <c r="M3" s="10">
        <f>Subs!M3+Subs!M4+Subs!M5-Subs!M6-Subs!M7</f>
        <v/>
      </c>
      <c r="N3" s="10">
        <f>Subs!N3+Subs!N4+Subs!N5-Subs!N6-Subs!N7</f>
        <v/>
      </c>
      <c r="O3" s="10">
        <f>Subs!O3+Subs!O4+Subs!O5-Subs!O6-Subs!O7</f>
        <v/>
      </c>
      <c r="P3" s="10">
        <f>Subs!P3+Subs!P4+Subs!P5-Subs!P6-Subs!P7</f>
        <v/>
      </c>
      <c r="Q3" s="10">
        <f>Subs!Q3+Subs!Q4+Subs!Q5-Subs!Q6-Subs!Q7</f>
        <v/>
      </c>
      <c r="R3" s="10">
        <f>Subs!R3+Subs!R4+Subs!R5-Subs!R6-Subs!R7</f>
        <v/>
      </c>
      <c r="S3" s="10">
        <f>Subs!S3+Subs!S4+Subs!S5-Subs!S6-Subs!S7</f>
        <v/>
      </c>
      <c r="T3" s="10">
        <f>Subs!T3+Subs!T4+Subs!T5-Subs!T6-Subs!T7</f>
        <v/>
      </c>
      <c r="U3" s="10">
        <f>Subs!U3+Subs!U4+Subs!U5-Subs!U6-Subs!U7</f>
        <v/>
      </c>
      <c r="V3" s="10">
        <f>Subs!V3+Subs!V4+Subs!V5-Subs!V6-Subs!V7</f>
        <v/>
      </c>
      <c r="W3" s="10">
        <f>Subs!W3+Subs!W4+Subs!W5-Subs!W6-Subs!W7</f>
        <v/>
      </c>
      <c r="X3" s="10">
        <f>Subs!X3+Subs!X4+Subs!X5-Subs!X6-Subs!X7</f>
        <v/>
      </c>
      <c r="Y3" s="10">
        <f>Subs!Y3+Subs!Y4+Subs!Y5-Subs!Y6-Subs!Y7</f>
        <v/>
      </c>
      <c r="Z3" s="10">
        <f>Subs!Z3+Subs!Z4+Subs!Z5-Subs!Z6-Subs!Z7</f>
        <v/>
      </c>
      <c r="AA3" s="10">
        <f>Subs!AA3+Subs!AA4+Subs!AA5-Subs!AA6-Subs!AA7</f>
        <v/>
      </c>
      <c r="AB3" s="10">
        <f>Subs!AB3+Subs!AB4+Subs!AB5-Subs!AB6-Subs!AB7</f>
        <v/>
      </c>
      <c r="AC3" s="10">
        <f>Subs!AC3+Subs!AC4+Subs!AC5-Subs!AC6-Subs!AC7</f>
        <v/>
      </c>
      <c r="AD3" s="10">
        <f>Subs!AD3+Subs!AD4+Subs!AD5-Subs!AD6-Subs!AD7</f>
        <v/>
      </c>
      <c r="AE3" s="10">
        <f>Subs!AE3+Subs!AE4+Subs!AE5-Subs!AE6-Subs!AE7</f>
        <v/>
      </c>
      <c r="AF3" s="10">
        <f>Subs!AF3+Subs!AF4+Subs!AF5-Subs!AF6-Subs!AF7</f>
        <v/>
      </c>
      <c r="AG3" s="10">
        <f>Subs!AG3+Subs!AG4+Subs!AG5-Subs!AG6-Subs!AG7</f>
        <v/>
      </c>
      <c r="AH3" s="10">
        <f>Subs!AH3+Subs!AH4+Subs!AH5-Subs!AH6-Subs!AH7</f>
        <v/>
      </c>
      <c r="AI3" s="10">
        <f>Subs!AI3+Subs!AI4+Subs!AI5-Subs!AI6-Subs!AI7</f>
        <v/>
      </c>
      <c r="AJ3" s="10">
        <f>Subs!AJ3+Subs!AJ4+Subs!AJ5-Subs!AJ6-Subs!AJ7</f>
        <v/>
      </c>
      <c r="AK3" s="10">
        <f>Subs!AK3+Subs!AK4+Subs!AK5-Subs!AK6-Subs!AK7</f>
        <v/>
      </c>
      <c r="AL3" s="10">
        <f>Subs!AL3+Subs!AL4+Subs!AL5-Subs!AL6-Subs!AL7</f>
        <v/>
      </c>
      <c r="AM3" s="10">
        <f>Subs!AM3+Subs!AM4+Subs!AM5-Subs!AM6-Subs!AM7</f>
        <v/>
      </c>
      <c r="AN3" s="10">
        <f>Subs!AN3+Subs!AN4+Subs!AN5-Subs!AN6-Subs!AN7</f>
        <v/>
      </c>
      <c r="AO3" s="10">
        <f>Subs!AO3+Subs!AO4+Subs!AO5-Subs!AO6-Subs!AO7</f>
        <v/>
      </c>
      <c r="AP3" s="10">
        <f>Subs!AP3+Subs!AP4+Subs!AP5-Subs!AP6-Subs!AP7</f>
        <v/>
      </c>
      <c r="AQ3" s="10">
        <f>Subs!AQ3+Subs!AQ4+Subs!AQ5-Subs!AQ6-Subs!AQ7</f>
        <v/>
      </c>
      <c r="AR3" s="10">
        <f>Subs!AR3+Subs!AR4+Subs!AR5-Subs!AR6-Subs!AR7</f>
        <v/>
      </c>
      <c r="AS3" s="10">
        <f>Subs!AS3+Subs!AS4+Subs!AS5-Subs!AS6-Subs!AS7</f>
        <v/>
      </c>
      <c r="AT3" s="10">
        <f>Subs!AT3+Subs!AT4+Subs!AT5-Subs!AT6-Subs!AT7</f>
        <v/>
      </c>
      <c r="AU3" s="10">
        <f>Subs!AU3+Subs!AU4+Subs!AU5-Subs!AU6-Subs!AU7</f>
        <v/>
      </c>
      <c r="AV3" s="10">
        <f>Subs!AV3+Subs!AV4+Subs!AV5-Subs!AV6-Subs!AV7</f>
        <v/>
      </c>
      <c r="AW3" s="10">
        <f>Subs!AW3+Subs!AW4+Subs!AW5-Subs!AW6-Subs!AW7</f>
        <v/>
      </c>
      <c r="AX3" s="10">
        <f>Subs!AX3+Subs!AX4+Subs!AX5-Subs!AX6-Subs!AX7</f>
        <v/>
      </c>
      <c r="AY3" s="10">
        <f>Subs!AY3+Subs!AY4+Subs!AY5-Subs!AY6-Subs!AY7</f>
        <v/>
      </c>
      <c r="AZ3" s="10">
        <f>Subs!AZ3+Subs!AZ4+Subs!AZ5-Subs!AZ6-Subs!AZ7</f>
        <v/>
      </c>
      <c r="BA3" s="10">
        <f>Subs!BA3+Subs!BA4+Subs!BA5-Subs!BA6-Subs!BA7</f>
        <v/>
      </c>
      <c r="BB3" s="10">
        <f>Subs!BB3+Subs!BB4+Subs!BB5-Subs!BB6-Subs!BB7</f>
        <v/>
      </c>
      <c r="BC3" s="10">
        <f>Subs!BC3+Subs!BC4+Subs!BC5-Subs!BC6-Subs!BC7</f>
        <v/>
      </c>
      <c r="BD3" s="10">
        <f>Subs!BD3+Subs!BD4+Subs!BD5-Subs!BD6-Subs!BD7</f>
        <v/>
      </c>
      <c r="BE3" s="10">
        <f>Subs!BE3+Subs!BE4+Subs!BE5-Subs!BE6-Subs!BE7</f>
        <v/>
      </c>
      <c r="BF3" s="10">
        <f>Subs!BF3+Subs!BF4+Subs!BF5-Subs!BF6-Subs!BF7</f>
        <v/>
      </c>
      <c r="BG3" s="10">
        <f>Subs!BG3+Subs!BG4+Subs!BG5-Subs!BG6-Subs!BG7</f>
        <v/>
      </c>
      <c r="BH3" s="10">
        <f>Subs!BH3+Subs!BH4+Subs!BH5-Subs!BH6-Subs!BH7</f>
        <v/>
      </c>
      <c r="BI3" s="10">
        <f>Subs!BI3+Subs!BI4+Subs!BI5-Subs!BI6-Subs!BI7</f>
        <v/>
      </c>
      <c r="BJ3" s="10">
        <f>Subs!BJ3+Subs!BJ4+Subs!BJ5-Subs!BJ6-Subs!BJ7</f>
        <v/>
      </c>
      <c r="BK3" s="10">
        <f>Subs!BK3+Subs!BK4+Subs!BK5-Subs!BK6-Subs!BK7</f>
        <v/>
      </c>
      <c r="BL3" s="10">
        <f>Subs!BL3+Subs!BL4+Subs!BL5-Subs!BL6-Subs!BL7</f>
        <v/>
      </c>
      <c r="BM3" s="10">
        <f>Subs!BM3+Subs!BM4+Subs!BM5-Subs!BM6-Subs!BM7</f>
        <v/>
      </c>
      <c r="BN3" s="10">
        <f>Subs!BN3+Subs!BN4+Subs!BN5-Subs!BN6-Subs!BN7</f>
        <v/>
      </c>
      <c r="BO3" s="10">
        <f>Subs!BO3+Subs!BO4+Subs!BO5-Subs!BO6-Subs!BO7</f>
        <v/>
      </c>
      <c r="BP3" s="10">
        <f>Subs!BP3+Subs!BP4+Subs!BP5-Subs!BP6-Subs!BP7</f>
        <v/>
      </c>
      <c r="BQ3" s="10">
        <f>Subs!BQ3+Subs!BQ4+Subs!BQ5-Subs!BQ6-Subs!BQ7</f>
        <v/>
      </c>
      <c r="BR3" s="10">
        <f>Subs!BR3+Subs!BR4+Subs!BR5-Subs!BR6-Subs!BR7</f>
        <v/>
      </c>
      <c r="BS3" s="10">
        <f>Subs!BS3+Subs!BS4+Subs!BS5-Subs!BS6-Subs!BS7</f>
        <v/>
      </c>
      <c r="BT3" s="10">
        <f>Subs!BT3+Subs!BT4+Subs!BT5-Subs!BT6-Subs!BT7</f>
        <v/>
      </c>
      <c r="BU3" s="10">
        <f>Subs!BU3+Subs!BU4+Subs!BU5-Subs!BU6-Subs!BU7</f>
        <v/>
      </c>
      <c r="BV3" s="10">
        <f>Subs!BV3+Subs!BV4+Subs!BV5-Subs!BV6-Subs!BV7</f>
        <v/>
      </c>
    </row>
    <row r="4">
      <c r="A4" t="inlineStr">
        <is>
          <t>cohort triangle tie gap</t>
        </is>
      </c>
      <c r="B4" t="inlineStr">
        <is>
          <t>US_CA|NITRO_M</t>
        </is>
      </c>
      <c r="C4" s="10">
        <f>Cohort_US_NitroM!C78-Cohort_US_NitroM!C79</f>
        <v/>
      </c>
      <c r="D4" s="10">
        <f>Cohort_US_NitroM!D78-Cohort_US_NitroM!D79</f>
        <v/>
      </c>
      <c r="E4" s="10">
        <f>Cohort_US_NitroM!E78-Cohort_US_NitroM!E79</f>
        <v/>
      </c>
      <c r="F4" s="10">
        <f>Cohort_US_NitroM!F78-Cohort_US_NitroM!F79</f>
        <v/>
      </c>
      <c r="G4" s="10">
        <f>Cohort_US_NitroM!G78-Cohort_US_NitroM!G79</f>
        <v/>
      </c>
      <c r="H4" s="10">
        <f>Cohort_US_NitroM!H78-Cohort_US_NitroM!H79</f>
        <v/>
      </c>
      <c r="I4" s="10">
        <f>Cohort_US_NitroM!I78-Cohort_US_NitroM!I79</f>
        <v/>
      </c>
      <c r="J4" s="10">
        <f>Cohort_US_NitroM!J78-Cohort_US_NitroM!J79</f>
        <v/>
      </c>
      <c r="K4" s="10">
        <f>Cohort_US_NitroM!K78-Cohort_US_NitroM!K79</f>
        <v/>
      </c>
      <c r="L4" s="10">
        <f>Cohort_US_NitroM!L78-Cohort_US_NitroM!L79</f>
        <v/>
      </c>
      <c r="M4" s="10">
        <f>Cohort_US_NitroM!M78-Cohort_US_NitroM!M79</f>
        <v/>
      </c>
      <c r="N4" s="10">
        <f>Cohort_US_NitroM!N78-Cohort_US_NitroM!N79</f>
        <v/>
      </c>
      <c r="O4" s="10">
        <f>Cohort_US_NitroM!O78-Cohort_US_NitroM!O79</f>
        <v/>
      </c>
      <c r="P4" s="10">
        <f>Cohort_US_NitroM!P78-Cohort_US_NitroM!P79</f>
        <v/>
      </c>
      <c r="Q4" s="10">
        <f>Cohort_US_NitroM!Q78-Cohort_US_NitroM!Q79</f>
        <v/>
      </c>
      <c r="R4" s="10">
        <f>Cohort_US_NitroM!R78-Cohort_US_NitroM!R79</f>
        <v/>
      </c>
      <c r="S4" s="10">
        <f>Cohort_US_NitroM!S78-Cohort_US_NitroM!S79</f>
        <v/>
      </c>
      <c r="T4" s="10">
        <f>Cohort_US_NitroM!T78-Cohort_US_NitroM!T79</f>
        <v/>
      </c>
      <c r="U4" s="10">
        <f>Cohort_US_NitroM!U78-Cohort_US_NitroM!U79</f>
        <v/>
      </c>
      <c r="V4" s="10">
        <f>Cohort_US_NitroM!V78-Cohort_US_NitroM!V79</f>
        <v/>
      </c>
      <c r="W4" s="10">
        <f>Cohort_US_NitroM!W78-Cohort_US_NitroM!W79</f>
        <v/>
      </c>
      <c r="X4" s="10">
        <f>Cohort_US_NitroM!X78-Cohort_US_NitroM!X79</f>
        <v/>
      </c>
      <c r="Y4" s="10">
        <f>Cohort_US_NitroM!Y78-Cohort_US_NitroM!Y79</f>
        <v/>
      </c>
      <c r="Z4" s="10">
        <f>Cohort_US_NitroM!Z78-Cohort_US_NitroM!Z79</f>
        <v/>
      </c>
      <c r="AA4" s="10">
        <f>Cohort_US_NitroM!AA78-Cohort_US_NitroM!AA79</f>
        <v/>
      </c>
      <c r="AB4" s="10">
        <f>Cohort_US_NitroM!AB78-Cohort_US_NitroM!AB79</f>
        <v/>
      </c>
      <c r="AC4" s="10">
        <f>Cohort_US_NitroM!AC78-Cohort_US_NitroM!AC79</f>
        <v/>
      </c>
      <c r="AD4" s="10">
        <f>Cohort_US_NitroM!AD78-Cohort_US_NitroM!AD79</f>
        <v/>
      </c>
      <c r="AE4" s="10">
        <f>Cohort_US_NitroM!AE78-Cohort_US_NitroM!AE79</f>
        <v/>
      </c>
      <c r="AF4" s="10">
        <f>Cohort_US_NitroM!AF78-Cohort_US_NitroM!AF79</f>
        <v/>
      </c>
      <c r="AG4" s="10">
        <f>Cohort_US_NitroM!AG78-Cohort_US_NitroM!AG79</f>
        <v/>
      </c>
      <c r="AH4" s="10">
        <f>Cohort_US_NitroM!AH78-Cohort_US_NitroM!AH79</f>
        <v/>
      </c>
      <c r="AI4" s="10">
        <f>Cohort_US_NitroM!AI78-Cohort_US_NitroM!AI79</f>
        <v/>
      </c>
      <c r="AJ4" s="10">
        <f>Cohort_US_NitroM!AJ78-Cohort_US_NitroM!AJ79</f>
        <v/>
      </c>
      <c r="AK4" s="10">
        <f>Cohort_US_NitroM!AK78-Cohort_US_NitroM!AK79</f>
        <v/>
      </c>
      <c r="AL4" s="10">
        <f>Cohort_US_NitroM!AL78-Cohort_US_NitroM!AL79</f>
        <v/>
      </c>
      <c r="AM4" s="10">
        <f>Cohort_US_NitroM!AM78-Cohort_US_NitroM!AM79</f>
        <v/>
      </c>
      <c r="AN4" s="10">
        <f>Cohort_US_NitroM!AN78-Cohort_US_NitroM!AN79</f>
        <v/>
      </c>
      <c r="AO4" s="10">
        <f>Cohort_US_NitroM!AO78-Cohort_US_NitroM!AO79</f>
        <v/>
      </c>
      <c r="AP4" s="10">
        <f>Cohort_US_NitroM!AP78-Cohort_US_NitroM!AP79</f>
        <v/>
      </c>
      <c r="AQ4" s="10">
        <f>Cohort_US_NitroM!AQ78-Cohort_US_NitroM!AQ79</f>
        <v/>
      </c>
      <c r="AR4" s="10">
        <f>Cohort_US_NitroM!AR78-Cohort_US_NitroM!AR79</f>
        <v/>
      </c>
      <c r="AS4" s="10">
        <f>Cohort_US_NitroM!AS78-Cohort_US_NitroM!AS79</f>
        <v/>
      </c>
      <c r="AT4" s="10">
        <f>Cohort_US_NitroM!AT78-Cohort_US_NitroM!AT79</f>
        <v/>
      </c>
      <c r="AU4" s="10">
        <f>Cohort_US_NitroM!AU78-Cohort_US_NitroM!AU79</f>
        <v/>
      </c>
      <c r="AV4" s="10">
        <f>Cohort_US_NitroM!AV78-Cohort_US_NitroM!AV79</f>
        <v/>
      </c>
      <c r="AW4" s="10">
        <f>Cohort_US_NitroM!AW78-Cohort_US_NitroM!AW79</f>
        <v/>
      </c>
      <c r="AX4" s="10">
        <f>Cohort_US_NitroM!AX78-Cohort_US_NitroM!AX79</f>
        <v/>
      </c>
      <c r="AY4" s="10">
        <f>Cohort_US_NitroM!AY78-Cohort_US_NitroM!AY79</f>
        <v/>
      </c>
      <c r="AZ4" s="10">
        <f>Cohort_US_NitroM!AZ78-Cohort_US_NitroM!AZ79</f>
        <v/>
      </c>
      <c r="BA4" s="10">
        <f>Cohort_US_NitroM!BA78-Cohort_US_NitroM!BA79</f>
        <v/>
      </c>
      <c r="BB4" s="10">
        <f>Cohort_US_NitroM!BB78-Cohort_US_NitroM!BB79</f>
        <v/>
      </c>
      <c r="BC4" s="10">
        <f>Cohort_US_NitroM!BC78-Cohort_US_NitroM!BC79</f>
        <v/>
      </c>
      <c r="BD4" s="10">
        <f>Cohort_US_NitroM!BD78-Cohort_US_NitroM!BD79</f>
        <v/>
      </c>
      <c r="BE4" s="10">
        <f>Cohort_US_NitroM!BE78-Cohort_US_NitroM!BE79</f>
        <v/>
      </c>
      <c r="BF4" s="10">
        <f>Cohort_US_NitroM!BF78-Cohort_US_NitroM!BF79</f>
        <v/>
      </c>
      <c r="BG4" s="10">
        <f>Cohort_US_NitroM!BG78-Cohort_US_NitroM!BG79</f>
        <v/>
      </c>
      <c r="BH4" s="10">
        <f>Cohort_US_NitroM!BH78-Cohort_US_NitroM!BH79</f>
        <v/>
      </c>
      <c r="BI4" s="10">
        <f>Cohort_US_NitroM!BI78-Cohort_US_NitroM!BI79</f>
        <v/>
      </c>
      <c r="BJ4" s="10">
        <f>Cohort_US_NitroM!BJ78-Cohort_US_NitroM!BJ79</f>
        <v/>
      </c>
      <c r="BK4" s="10">
        <f>Cohort_US_NitroM!BK78-Cohort_US_NitroM!BK79</f>
        <v/>
      </c>
      <c r="BL4" s="10">
        <f>Cohort_US_NitroM!BL78-Cohort_US_NitroM!BL79</f>
        <v/>
      </c>
      <c r="BM4" s="10">
        <f>Cohort_US_NitroM!BM78-Cohort_US_NitroM!BM79</f>
        <v/>
      </c>
      <c r="BN4" s="10">
        <f>Cohort_US_NitroM!BN78-Cohort_US_NitroM!BN79</f>
        <v/>
      </c>
      <c r="BO4" s="10">
        <f>Cohort_US_NitroM!BO78-Cohort_US_NitroM!BO79</f>
        <v/>
      </c>
      <c r="BP4" s="10">
        <f>Cohort_US_NitroM!BP78-Cohort_US_NitroM!BP79</f>
        <v/>
      </c>
      <c r="BQ4" s="10">
        <f>Cohort_US_NitroM!BQ78-Cohort_US_NitroM!BQ79</f>
        <v/>
      </c>
      <c r="BR4" s="10">
        <f>Cohort_US_NitroM!BR78-Cohort_US_NitroM!BR79</f>
        <v/>
      </c>
      <c r="BS4" s="10">
        <f>Cohort_US_NitroM!BS78-Cohort_US_NitroM!BS79</f>
        <v/>
      </c>
      <c r="BT4" s="10">
        <f>Cohort_US_NitroM!BT78-Cohort_US_NitroM!BT79</f>
        <v/>
      </c>
      <c r="BU4" s="10">
        <f>Cohort_US_NitroM!BU78-Cohort_US_NitroM!BU79</f>
        <v/>
      </c>
      <c r="BV4" s="10">
        <f>Cohort_US_NitroM!BV78-Cohort_US_NitroM!BV79</f>
        <v/>
      </c>
    </row>
    <row r="6">
      <c r="A6" t="inlineStr">
        <is>
          <t>Roll-forward holds every month</t>
        </is>
      </c>
      <c r="C6" s="3">
        <f>MAX(C3:BV3)-MIN(C3:BV3)&lt;0.001</f>
        <v/>
      </c>
    </row>
    <row r="7">
      <c r="A7" t="inlineStr">
        <is>
          <t>Cohort triangle ties every month</t>
        </is>
      </c>
      <c r="C7" s="3">
        <f>MAX(C4:BV4)-MIN(C4:BV4)&lt;0.001</f>
        <v/>
      </c>
    </row>
    <row r="8">
      <c r="A8" t="inlineStr">
        <is>
          <t>Subscribers at calibration month</t>
        </is>
      </c>
      <c r="C8" s="3">
        <f>INDEX(Subs!$C$7:$BV$7,Params!$B$28)</f>
        <v/>
      </c>
    </row>
    <row r="9">
      <c r="A9" t="inlineStr">
        <is>
          <t>Anchor</t>
        </is>
      </c>
      <c r="C9" s="3">
        <f>Params!$B$27</f>
        <v/>
      </c>
    </row>
    <row r="10">
      <c r="A10" t="inlineStr">
        <is>
          <t>Calibration hits anchor</t>
        </is>
      </c>
      <c r="C10" s="3">
        <f>ABS(C8-C9)&lt;1</f>
        <v/>
      </c>
    </row>
    <row r="11">
      <c r="A11" t="inlineStr">
        <is>
          <t>FY2025 net revenue</t>
        </is>
      </c>
      <c r="C11" s="3">
        <f>SUM(Revenue!$C$3:$N$3)</f>
        <v/>
      </c>
    </row>
    <row r="12">
      <c r="A12" t="inlineStr">
        <is>
          <t>Inside public band</t>
        </is>
      </c>
      <c r="C12" s="3">
        <f>AND(C11&gt;=Params!$B$29,C11&lt;=Params!$B$30)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2026-10-28T16:52:07Z</dcterms:created>
  <dcterms:modified xsi:type="dcterms:W3CDTF">2026-10-28T16:52:07Z</dcterms:modified>
</cp:coreProperties>
</file>